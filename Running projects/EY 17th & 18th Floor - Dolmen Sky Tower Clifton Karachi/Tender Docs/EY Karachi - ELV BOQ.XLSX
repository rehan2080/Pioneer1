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filterPrivacy="1" codeName="ThisWorkbook" defaultThemeVersion="124226"/>
  <xr:revisionPtr revIDLastSave="4" documentId="13_ncr:1_{DA330732-94E2-4F50-927D-CAEC215F03FF}" xr6:coauthVersionLast="47" xr6:coauthVersionMax="47" xr10:uidLastSave="{7969123E-F72D-4F60-95CF-021BDEC0B524}"/>
  <bookViews>
    <workbookView xWindow="-108" yWindow="-108" windowWidth="23256" windowHeight="12456" tabRatio="763" activeTab="6" xr2:uid="{00000000-000D-0000-FFFF-FFFF00000000}"/>
  </bookViews>
  <sheets>
    <sheet name="Grand Summary" sheetId="50" r:id="rId1"/>
    <sheet name="Sum-17F" sheetId="40" r:id="rId2"/>
    <sheet name="BoQ-17F" sheetId="33" r:id="rId3"/>
    <sheet name="Sum-18F" sheetId="55" r:id="rId4"/>
    <sheet name="BoQ-18F" sheetId="56" r:id="rId5"/>
    <sheet name="Sum-19F" sheetId="57" r:id="rId6"/>
    <sheet name="BoQ-19F" sheetId="58" r:id="rId7"/>
  </sheets>
  <definedNames>
    <definedName name="_xlnm.Print_Area" localSheetId="2">'BoQ-17F'!$A$1:$M$50</definedName>
    <definedName name="_xlnm.Print_Area" localSheetId="4">'BoQ-18F'!$A$1:$J$46</definedName>
    <definedName name="_xlnm.Print_Area" localSheetId="6">'BoQ-19F'!$A$1:$J$49</definedName>
    <definedName name="_xlnm.Print_Area" localSheetId="0">'Grand Summary'!$A$1:$E$8</definedName>
    <definedName name="_xlnm.Print_Area" localSheetId="1">'Sum-17F'!$A$1:$E$6</definedName>
    <definedName name="_xlnm.Print_Area" localSheetId="3">'Sum-18F'!$A$1:$E$6</definedName>
    <definedName name="_xlnm.Print_Area" localSheetId="5">'Sum-19F'!$A$1:$E$6</definedName>
    <definedName name="_xlnm.Print_Titles" localSheetId="2">'BoQ-17F'!$1:$2</definedName>
    <definedName name="_xlnm.Print_Titles" localSheetId="4">'BoQ-18F'!$1:$2</definedName>
    <definedName name="_xlnm.Print_Titles" localSheetId="6">'BoQ-19F'!$1:$2</definedName>
    <definedName name="_xlnm.Print_Titles" localSheetId="0">'Grand Summary'!$1:$1</definedName>
    <definedName name="_xlnm.Print_Titles" localSheetId="1">'Sum-17F'!$1:$1</definedName>
    <definedName name="_xlnm.Print_Titles" localSheetId="3">'Sum-18F'!$1:$1</definedName>
    <definedName name="_xlnm.Print_Titles" localSheetId="5">'Sum-19F'!$1:$1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58" l="1"/>
  <c r="C43" i="56"/>
  <c r="C46" i="33"/>
</calcChain>
</file>

<file path=xl/sharedStrings.xml><?xml version="1.0" encoding="utf-8"?>
<sst xmlns="http://schemas.openxmlformats.org/spreadsheetml/2006/main" count="275" uniqueCount="76">
  <si>
    <t>UNIT</t>
  </si>
  <si>
    <t>No.</t>
  </si>
  <si>
    <t>DESCRIPTION</t>
  </si>
  <si>
    <t>S.#</t>
  </si>
  <si>
    <t>RATE
(Rs.)</t>
  </si>
  <si>
    <t>AMOUNT
(Rs.)</t>
  </si>
  <si>
    <t>Job</t>
  </si>
  <si>
    <t>Total Amount (Rs.)</t>
  </si>
  <si>
    <t>SUPPLY
(Rs.)</t>
  </si>
  <si>
    <t>INSTALLATION
(Rs.)</t>
  </si>
  <si>
    <t>SUPPLY</t>
  </si>
  <si>
    <t>INSTALLATION</t>
  </si>
  <si>
    <t>QTY</t>
  </si>
  <si>
    <t>Sub-Total (Rs.)</t>
  </si>
  <si>
    <t>BOQ - 17TH FLOOR</t>
  </si>
  <si>
    <t>BOQ - 18TH FLOOR</t>
  </si>
  <si>
    <t>BOQ - 19TH FLOOR</t>
  </si>
  <si>
    <t>FK 5-1-12 - 32Kg
5112 -(500 PSI)-HP SERIES ENGINEERED 75 LB. - S.S.
RED COLOR CYL. ASSEMBLY FILLING RANGE 16.4(36) TO 34.4(76) KG
 1-1/2" S.S .VALVE ASSEMBLY C/W TOP CAP ADAPTER,
PRESSURE GAUGE W/GUARD, PRESSURE SWITCH GUARD &amp; CYL.
MOUNTING BRACKET
Flow-Calc-New - Hydraulic Flow Calc for New Piping 1No.
Caution Label-"When alarm sounds…" 1No.
Caution Label-"Do not enter / Vacate Room…" 1No. 
Caution Label-"Operation of Manual Pull…" 1No.</t>
  </si>
  <si>
    <t>Set</t>
  </si>
  <si>
    <t>Discharge Hose</t>
  </si>
  <si>
    <r>
      <rPr>
        <b/>
        <sz val="11"/>
        <color theme="1"/>
        <rFont val="Century Gothic"/>
        <family val="2"/>
      </rPr>
      <t xml:space="preserve">Combined Fire &amp; Extinguishing Control Panel with Battery Backup </t>
    </r>
    <r>
      <rPr>
        <sz val="11"/>
        <color theme="1"/>
        <rFont val="Century Gothic"/>
        <family val="2"/>
      </rPr>
      <t>Features: Integral PSU (2.0 Amp), 4 x 20 LCD Display, Extinguishing Delay Timer (0-60 seconds), Flooding Time Programming, Optional 8 Way Relay, Alarm/Fault log (100 Events), Optional 8 Way Relay Output.</t>
    </r>
  </si>
  <si>
    <t>Conventional Smoke Detector with Base.</t>
  </si>
  <si>
    <t>Conventional Fire Alarm Sounder with Flasher</t>
  </si>
  <si>
    <t>Abort Switch</t>
  </si>
  <si>
    <t>MS Sch-40 piping with fitting accessories, paint works and pressure testing of piping works</t>
  </si>
  <si>
    <r>
      <rPr>
        <b/>
        <sz val="11"/>
        <color theme="1"/>
        <rFont val="Century Gothic"/>
        <family val="2"/>
      </rPr>
      <t xml:space="preserve">Programming, Testing &amp; Commissioning </t>
    </r>
    <r>
      <rPr>
        <sz val="11"/>
        <color theme="1"/>
        <rFont val="Century Gothic"/>
        <family val="2"/>
      </rPr>
      <t>of the complete system as per client's requirements with training sessions of maintenance personnel's along with consultant.</t>
    </r>
  </si>
  <si>
    <r>
      <rPr>
        <b/>
        <sz val="11"/>
        <rFont val="Century Gothic"/>
        <family val="2"/>
      </rPr>
      <t>Note:</t>
    </r>
    <r>
      <rPr>
        <sz val="11"/>
        <rFont val="Century Gothic"/>
        <family val="2"/>
      </rPr>
      <t xml:space="preserve">
- Contractor shall provide complete technical literature for the quoted equipment for approval of Consultant before procurement. </t>
    </r>
    <r>
      <rPr>
        <sz val="11"/>
        <color theme="1"/>
        <rFont val="Century Gothic"/>
        <family val="2"/>
      </rPr>
      <t xml:space="preserve">
- Contractor is advised to confirm the cable running lengths and termination as per site conditions before commencement of work.</t>
    </r>
  </si>
  <si>
    <r>
      <rPr>
        <b/>
        <sz val="11"/>
        <rFont val="Century Gothic"/>
        <family val="2"/>
      </rPr>
      <t>Supply, Installation, Testing and Commissioning</t>
    </r>
    <r>
      <rPr>
        <sz val="11"/>
        <rFont val="Century Gothic"/>
        <family val="2"/>
      </rPr>
      <t xml:space="preserve"> of following items for </t>
    </r>
    <r>
      <rPr>
        <b/>
        <sz val="11"/>
        <rFont val="Century Gothic"/>
        <family val="2"/>
      </rPr>
      <t>Addressable Fire Alarm System</t>
    </r>
    <r>
      <rPr>
        <sz val="11"/>
        <rFont val="Century Gothic"/>
        <family val="2"/>
      </rPr>
      <t xml:space="preserve"> comprising of following equipments including all accessories required for the completion of the system in all respects.
</t>
    </r>
    <r>
      <rPr>
        <b/>
        <sz val="11"/>
        <rFont val="Century Gothic"/>
        <family val="2"/>
      </rPr>
      <t>Cables shall be</t>
    </r>
    <r>
      <rPr>
        <sz val="11"/>
        <rFont val="Century Gothic"/>
        <family val="2"/>
      </rPr>
      <t xml:space="preserve"> </t>
    </r>
    <r>
      <rPr>
        <b/>
        <sz val="11"/>
        <rFont val="Century Gothic"/>
        <family val="2"/>
      </rPr>
      <t>Fire retardant, Low Smoke, Zero Halogen</t>
    </r>
    <r>
      <rPr>
        <sz val="11"/>
        <rFont val="Century Gothic"/>
        <family val="2"/>
      </rPr>
      <t xml:space="preserve"> and must comply </t>
    </r>
    <r>
      <rPr>
        <b/>
        <sz val="11"/>
        <rFont val="Century Gothic"/>
        <family val="2"/>
      </rPr>
      <t>BS 6387 standard
Note:
Thread rods cannot be installed directly to the ceiling.</t>
    </r>
    <r>
      <rPr>
        <sz val="11"/>
        <rFont val="Century Gothic"/>
        <family val="2"/>
      </rPr>
      <t xml:space="preserve"> Any conduit required to be hanged shall be  clamped with the Iron Girder using </t>
    </r>
    <r>
      <rPr>
        <b/>
        <sz val="11"/>
        <rFont val="Century Gothic"/>
        <family val="2"/>
      </rPr>
      <t>Type TR60.
(Refer Details).</t>
    </r>
  </si>
  <si>
    <r>
      <rPr>
        <b/>
        <sz val="11"/>
        <rFont val="Century Gothic"/>
        <family val="2"/>
      </rPr>
      <t>Addressable Smoke Detectors</t>
    </r>
    <r>
      <rPr>
        <sz val="11"/>
        <rFont val="Century Gothic"/>
        <family val="2"/>
      </rPr>
      <t xml:space="preserve"> incorporating an LED indication located in labyrinth with in the housing of the detector. Sensing of the detector shall be adjustable via software between 0-90 seconds. The detector shall have built in short circuit isolators on both inputs.</t>
    </r>
  </si>
  <si>
    <r>
      <rPr>
        <b/>
        <sz val="11"/>
        <rFont val="Century Gothic"/>
        <family val="2"/>
      </rPr>
      <t>Addressable Multi Detectors</t>
    </r>
    <r>
      <rPr>
        <sz val="11"/>
        <rFont val="Century Gothic"/>
        <family val="2"/>
      </rPr>
      <t xml:space="preserve"> incorporating an LED indication located in labyrinth with in the housing of the detector. Sensing of the detector shall be adjustable via software between 0-90 seconds. The detector shall have built in short circuit isolators on both inputs.</t>
    </r>
  </si>
  <si>
    <r>
      <rPr>
        <b/>
        <sz val="11"/>
        <rFont val="Century Gothic"/>
        <family val="2"/>
      </rPr>
      <t xml:space="preserve">Addressable Type Indoor Loop Powered electronic sounder with flasher </t>
    </r>
    <r>
      <rPr>
        <sz val="11"/>
        <rFont val="Century Gothic"/>
        <family val="2"/>
      </rPr>
      <t>and minimum sound out put 89 dB at 1 meter with frequencies for variety of sounds as required. Souder shall be loop wired and loop signaled, built in short circuit isolator, configured via software.</t>
    </r>
  </si>
  <si>
    <r>
      <rPr>
        <b/>
        <sz val="11"/>
        <rFont val="Century Gothic"/>
        <family val="2"/>
      </rPr>
      <t>I/O Relay</t>
    </r>
    <r>
      <rPr>
        <sz val="11"/>
        <rFont val="Century Gothic"/>
        <family val="2"/>
      </rPr>
      <t xml:space="preserve"> for connectivity with diferent systems</t>
    </r>
  </si>
  <si>
    <r>
      <rPr>
        <b/>
        <sz val="11"/>
        <rFont val="Century Gothic"/>
        <family val="2"/>
      </rPr>
      <t xml:space="preserve">Programming, testing and commissioning </t>
    </r>
    <r>
      <rPr>
        <sz val="11"/>
        <rFont val="Century Gothic"/>
        <family val="2"/>
      </rPr>
      <t>of complete system including on site demonstration and training of client's representative upto the entire satisfaction of consultant/client</t>
    </r>
  </si>
  <si>
    <t>Job.</t>
  </si>
  <si>
    <r>
      <rPr>
        <b/>
        <sz val="11"/>
        <rFont val="Century Gothic"/>
        <family val="2"/>
      </rPr>
      <t>Note:</t>
    </r>
    <r>
      <rPr>
        <sz val="11"/>
        <rFont val="Century Gothic"/>
        <family val="2"/>
      </rPr>
      <t xml:space="preserve">
1) Contractor is advised to </t>
    </r>
    <r>
      <rPr>
        <b/>
        <sz val="11"/>
        <rFont val="Century Gothic"/>
        <family val="2"/>
      </rPr>
      <t>confirm the cable running lengths</t>
    </r>
    <r>
      <rPr>
        <sz val="11"/>
        <rFont val="Century Gothic"/>
        <family val="2"/>
      </rPr>
      <t xml:space="preserve"> and termination as per site conditions </t>
    </r>
    <r>
      <rPr>
        <b/>
        <sz val="11"/>
        <rFont val="Century Gothic"/>
        <family val="2"/>
      </rPr>
      <t>before commencement of work.</t>
    </r>
  </si>
  <si>
    <r>
      <rPr>
        <b/>
        <sz val="11"/>
        <rFont val="Century Gothic"/>
        <family val="2"/>
      </rPr>
      <t xml:space="preserve">Supply, Installation, Testing &amp; Commissioning </t>
    </r>
    <r>
      <rPr>
        <sz val="11"/>
        <rFont val="Century Gothic"/>
        <family val="2"/>
      </rPr>
      <t xml:space="preserve">of following items for CCTV System (IP Based) including but not limited to the description given here under including all power and communication accessories, housings, mounting brackets, suspension rods etc. required for completion of the system.
</t>
    </r>
    <r>
      <rPr>
        <b/>
        <sz val="11"/>
        <rFont val="Century Gothic"/>
        <family val="2"/>
      </rPr>
      <t>Note:</t>
    </r>
    <r>
      <rPr>
        <sz val="11"/>
        <rFont val="Century Gothic"/>
        <family val="2"/>
      </rPr>
      <t xml:space="preserve">
</t>
    </r>
    <r>
      <rPr>
        <b/>
        <sz val="11"/>
        <rFont val="Century Gothic"/>
        <family val="2"/>
      </rPr>
      <t>Thread rods cannot be installed directly to the ceiling.</t>
    </r>
    <r>
      <rPr>
        <sz val="11"/>
        <rFont val="Century Gothic"/>
        <family val="2"/>
      </rPr>
      <t xml:space="preserve"> Any conduit required to be hanged shall be  clamped with the Iron Girder using </t>
    </r>
    <r>
      <rPr>
        <b/>
        <sz val="11"/>
        <rFont val="Century Gothic"/>
        <family val="2"/>
      </rPr>
      <t>Type TR60. (Refer Details).</t>
    </r>
  </si>
  <si>
    <r>
      <t>Surface/Recessed 2MP Ceiling mounted Mini Dome fixed type PoE I.P camera</t>
    </r>
    <r>
      <rPr>
        <sz val="11"/>
        <rFont val="Century Gothic"/>
        <family val="2"/>
      </rPr>
      <t xml:space="preserve"> with day and night feature with </t>
    </r>
    <r>
      <rPr>
        <b/>
        <sz val="11"/>
        <rFont val="Century Gothic"/>
        <family val="2"/>
      </rPr>
      <t xml:space="preserve">1080p resolution 1280 x 1024 @ </t>
    </r>
    <r>
      <rPr>
        <sz val="11"/>
        <rFont val="Century Gothic"/>
        <family val="2"/>
      </rPr>
      <t>25/30fps pixels with live and recording quality of minimum 15 fps, Varifocal Lens 3.3-12mm, along with all mounting accessories complete in all respect.</t>
    </r>
  </si>
  <si>
    <r>
      <rPr>
        <b/>
        <sz val="11"/>
        <rFont val="Century Gothic"/>
        <family val="2"/>
      </rPr>
      <t>Network Video Recorder (NVR) with 16 channel Video input</t>
    </r>
    <r>
      <rPr>
        <sz val="11"/>
        <rFont val="Century Gothic"/>
        <family val="2"/>
      </rPr>
      <t>. The NVR shall be equipped with LAN / WAN facility. NVR should have minimum 30 days storage capacity on 12 frame per second with 60 TB HDD or higher if required to cater 100% cameras, RW CD Drive. Complete with all connecting cords and accessories including SFP modules.</t>
    </r>
  </si>
  <si>
    <r>
      <rPr>
        <b/>
        <sz val="11"/>
        <rFont val="Century Gothic"/>
        <family val="2"/>
      </rPr>
      <t xml:space="preserve">12 Port PoE Switch </t>
    </r>
    <r>
      <rPr>
        <sz val="11"/>
        <rFont val="Century Gothic"/>
        <family val="2"/>
      </rPr>
      <t xml:space="preserve"> to be installed in Comm. Room in racks with all  mounting accessories.</t>
    </r>
  </si>
  <si>
    <r>
      <rPr>
        <b/>
        <sz val="11"/>
        <rFont val="Century Gothic"/>
        <family val="2"/>
      </rPr>
      <t>32" LED Color Screen</t>
    </r>
    <r>
      <rPr>
        <sz val="11"/>
        <rFont val="Century Gothic"/>
        <family val="2"/>
      </rPr>
      <t xml:space="preserve"> to be installed in control Room in racks with all connecting cords and mounting stands.</t>
    </r>
  </si>
  <si>
    <r>
      <rPr>
        <b/>
        <sz val="11"/>
        <rFont val="Century Gothic"/>
        <family val="2"/>
      </rPr>
      <t>Work stations (Core i7 Ultra Slim Desktop PC</t>
    </r>
    <r>
      <rPr>
        <sz val="11"/>
        <rFont val="Century Gothic"/>
        <family val="2"/>
      </rPr>
      <t xml:space="preserve"> with Genuine Windows 10 Professional 64bit processor, 16GB ram, 4TB HDD, 4GB Graphics Card &amp; DVD Writer)</t>
    </r>
  </si>
  <si>
    <r>
      <t xml:space="preserve">Allow for </t>
    </r>
    <r>
      <rPr>
        <b/>
        <sz val="11"/>
        <color indexed="8"/>
        <rFont val="Century Gothic"/>
        <family val="2"/>
      </rPr>
      <t xml:space="preserve">any other item </t>
    </r>
    <r>
      <rPr>
        <sz val="11"/>
        <color indexed="8"/>
        <rFont val="Century Gothic"/>
        <family val="2"/>
      </rPr>
      <t>required for completion of system not covered in BOQ or specifications / drawings in accordance with the same standards and brands shown and approved by consultant. All such items shall be covered in this item but complete description, item rates, quantity required and brands shall be mentioned separately and to be attached with the BOQ.</t>
    </r>
  </si>
  <si>
    <r>
      <rPr>
        <b/>
        <sz val="11"/>
        <rFont val="Century Gothic"/>
        <family val="2"/>
      </rPr>
      <t>Note:</t>
    </r>
    <r>
      <rPr>
        <sz val="11"/>
        <rFont val="Century Gothic"/>
        <family val="2"/>
      </rPr>
      <t xml:space="preserve">
</t>
    </r>
    <r>
      <rPr>
        <b/>
        <sz val="11"/>
        <rFont val="Century Gothic"/>
        <family val="2"/>
      </rPr>
      <t>1)</t>
    </r>
    <r>
      <rPr>
        <sz val="11"/>
        <rFont val="Century Gothic"/>
        <family val="2"/>
      </rPr>
      <t xml:space="preserve"> The supplier to</t>
    </r>
    <r>
      <rPr>
        <b/>
        <sz val="11"/>
        <rFont val="Century Gothic"/>
        <family val="2"/>
      </rPr>
      <t xml:space="preserve"> confirm the storage requirement </t>
    </r>
    <r>
      <rPr>
        <sz val="11"/>
        <rFont val="Century Gothic"/>
        <family val="2"/>
      </rPr>
      <t>as per number of cameras, pixel resolutions,  video compression and number of recording days.</t>
    </r>
    <r>
      <rPr>
        <b/>
        <sz val="11"/>
        <rFont val="Century Gothic"/>
        <family val="2"/>
      </rPr>
      <t xml:space="preserve">
2) </t>
    </r>
    <r>
      <rPr>
        <sz val="11"/>
        <rFont val="Century Gothic"/>
        <family val="2"/>
      </rPr>
      <t xml:space="preserve">The Bidder shall provide the </t>
    </r>
    <r>
      <rPr>
        <b/>
        <sz val="11"/>
        <rFont val="Century Gothic"/>
        <family val="2"/>
      </rPr>
      <t>complete Technical Literature</t>
    </r>
    <r>
      <rPr>
        <sz val="11"/>
        <rFont val="Century Gothic"/>
        <family val="2"/>
      </rPr>
      <t xml:space="preserve"> for the system offered.
</t>
    </r>
    <r>
      <rPr>
        <b/>
        <sz val="11"/>
        <rFont val="Century Gothic"/>
        <family val="2"/>
      </rPr>
      <t>3)</t>
    </r>
    <r>
      <rPr>
        <sz val="11"/>
        <rFont val="Century Gothic"/>
        <family val="2"/>
      </rPr>
      <t xml:space="preserve"> The given quantities are </t>
    </r>
    <r>
      <rPr>
        <b/>
        <sz val="11"/>
        <rFont val="Century Gothic"/>
        <family val="2"/>
      </rPr>
      <t>slightly higher then those on drawings.</t>
    </r>
    <r>
      <rPr>
        <sz val="11"/>
        <rFont val="Century Gothic"/>
        <family val="2"/>
      </rPr>
      <t xml:space="preserve">
</t>
    </r>
    <r>
      <rPr>
        <b/>
        <sz val="11"/>
        <rFont val="Century Gothic"/>
        <family val="2"/>
      </rPr>
      <t xml:space="preserve">4) </t>
    </r>
    <r>
      <rPr>
        <sz val="11"/>
        <rFont val="Century Gothic"/>
        <family val="2"/>
      </rPr>
      <t xml:space="preserve">All the IT Equipements </t>
    </r>
    <r>
      <rPr>
        <b/>
        <sz val="11"/>
        <rFont val="Century Gothic"/>
        <family val="2"/>
      </rPr>
      <t>shall be verified by the Client IT. Team  before procurement</t>
    </r>
  </si>
  <si>
    <r>
      <rPr>
        <b/>
        <sz val="11"/>
        <rFont val="Century Gothic"/>
        <family val="2"/>
      </rPr>
      <t xml:space="preserve">Supply, Installation, testing &amp; commissioning </t>
    </r>
    <r>
      <rPr>
        <sz val="11"/>
        <rFont val="Century Gothic"/>
        <family val="2"/>
      </rPr>
      <t xml:space="preserve">of following items for </t>
    </r>
    <r>
      <rPr>
        <b/>
        <sz val="11"/>
        <rFont val="Century Gothic"/>
        <family val="2"/>
      </rPr>
      <t>Public Address System</t>
    </r>
    <r>
      <rPr>
        <sz val="11"/>
        <rFont val="Century Gothic"/>
        <family val="2"/>
      </rPr>
      <t xml:space="preserve"> as described below including all accessories. Complete with mounting brackets, wiring, adapters etc.</t>
    </r>
  </si>
  <si>
    <r>
      <t xml:space="preserve">300W - 2 Channel Power Amplifier with Voice Evacuation Manager </t>
    </r>
    <r>
      <rPr>
        <sz val="11"/>
        <rFont val="Century Gothic"/>
        <family val="2"/>
      </rPr>
      <t>operating at 220V, AC suitable for rack mounting incorporates two audio line level inputs: a Music input and a priority call input. A built-in relay switches the amplifier from the music input of priority call input.</t>
    </r>
  </si>
  <si>
    <r>
      <rPr>
        <b/>
        <sz val="11"/>
        <rFont val="Century Gothic"/>
        <family val="2"/>
      </rPr>
      <t xml:space="preserve">6W Recessed Ceiling Speakers with Fire Rated (EN-54) back boxes  </t>
    </r>
    <r>
      <rPr>
        <sz val="11"/>
        <rFont val="Century Gothic"/>
        <family val="2"/>
      </rPr>
      <t>intended for high quality speech and music reproduction with sealed enclosure protective against moisture and dust. The speaker shall have output power adjustments for full, half and quarter power outputs, including back boxes if required.</t>
    </r>
  </si>
  <si>
    <t>Table Mounted Gooseneck Microphone</t>
  </si>
  <si>
    <r>
      <rPr>
        <b/>
        <sz val="11"/>
        <rFont val="Century Gothic"/>
        <family val="2"/>
      </rPr>
      <t>Note:</t>
    </r>
    <r>
      <rPr>
        <sz val="11"/>
        <rFont val="Century Gothic"/>
        <family val="2"/>
      </rPr>
      <t xml:space="preserve">
</t>
    </r>
    <r>
      <rPr>
        <b/>
        <sz val="11"/>
        <rFont val="Century Gothic"/>
        <family val="2"/>
      </rPr>
      <t xml:space="preserve">- </t>
    </r>
    <r>
      <rPr>
        <sz val="11"/>
        <rFont val="Century Gothic"/>
        <family val="2"/>
      </rPr>
      <t>Contractor is advised to confirm the cable running lengths and termination as per site conditions before commencement of work.
- The Bidder shall provide the complete Technical Literature for the system offered.</t>
    </r>
  </si>
  <si>
    <r>
      <t xml:space="preserve">Supply, Installation, Testing &amp; Commissioning of Fire Suppression System </t>
    </r>
    <r>
      <rPr>
        <sz val="11"/>
        <rFont val="Century Gothic"/>
        <family val="2"/>
      </rPr>
      <t>comprising of following equipments including all accessories required for the completion of the system in all respects</t>
    </r>
  </si>
  <si>
    <r>
      <rPr>
        <b/>
        <sz val="11"/>
        <color indexed="8"/>
        <rFont val="Century Gothic"/>
        <family val="2"/>
      </rPr>
      <t xml:space="preserve">Fire Repeater Panel Loop Powered </t>
    </r>
    <r>
      <rPr>
        <sz val="11"/>
        <color indexed="8"/>
        <rFont val="Century Gothic"/>
        <family val="2"/>
      </rPr>
      <t>along with termination of all Control / Signal cables complete in all aspects. Panel to have all loops marked in distinguishable colors with individual LED's</t>
    </r>
  </si>
  <si>
    <r>
      <rPr>
        <b/>
        <sz val="11"/>
        <rFont val="Century Gothic"/>
        <family val="2"/>
      </rPr>
      <t>6W Recessed type Speakers</t>
    </r>
    <r>
      <rPr>
        <sz val="11"/>
        <rFont val="Century Gothic"/>
        <family val="2"/>
      </rPr>
      <t xml:space="preserve"> intended for high quality speech and music reproduction with sealed enclosure protective against moisture and dust. The speaker shall have output power adjustments for full, half and quarter power outputs, including back boxes if required.</t>
    </r>
  </si>
  <si>
    <r>
      <rPr>
        <b/>
        <sz val="11"/>
        <rFont val="Century Gothic"/>
        <family val="2"/>
      </rPr>
      <t xml:space="preserve">Note:
●  </t>
    </r>
    <r>
      <rPr>
        <sz val="11"/>
        <rFont val="Century Gothic"/>
        <family val="2"/>
      </rPr>
      <t>Contractor is advised to inform missing items (if any) in BOQ at time of submitting this tender. No escalation will be considered at time of execution of work.
●  Owner can supply any material of Contractor scope at any stage and its cost will be completely deleted from Contractor scope without any kind of adjustment.
●  Contractor should mark the selected brands and vendors in approved manufacturer list with submission of Tender Documents.
●  Owner / Consultant have all the rights to select any brand / vendor from provided approved manufacturer list, Contractor shall not finalize any brand / vendor without written  approval from consultant / owner.</t>
    </r>
  </si>
  <si>
    <t>Lead Time</t>
  </si>
  <si>
    <t>Brand</t>
  </si>
  <si>
    <t>Remarks</t>
  </si>
  <si>
    <t>Verified QTY</t>
  </si>
  <si>
    <t>BOQ QTY</t>
  </si>
  <si>
    <t>SECTION - A
FIRE SUPPRESSION SYSTEM</t>
  </si>
  <si>
    <t>SECTION - B
FIRE ALARM SYSTEM</t>
  </si>
  <si>
    <t>SECTION - C
CCTV SYSTEM (IP BASED)</t>
  </si>
  <si>
    <t>SECTION - D
PUBLIC ADDRESS SYSTEM</t>
  </si>
  <si>
    <r>
      <t xml:space="preserve">SECTION - A
</t>
    </r>
    <r>
      <rPr>
        <sz val="11"/>
        <color theme="1"/>
        <rFont val="Century Gothic"/>
        <family val="2"/>
      </rPr>
      <t>FIRE SUPPRESSION SYSTEM</t>
    </r>
  </si>
  <si>
    <r>
      <t xml:space="preserve">SECTION - B
</t>
    </r>
    <r>
      <rPr>
        <sz val="11"/>
        <color theme="1"/>
        <rFont val="Century Gothic"/>
        <family val="2"/>
      </rPr>
      <t>ADDRESSABLE FIRE ALARM SYSTEM</t>
    </r>
  </si>
  <si>
    <r>
      <t xml:space="preserve">SECTION - C
</t>
    </r>
    <r>
      <rPr>
        <sz val="11"/>
        <color theme="1"/>
        <rFont val="Century Gothic"/>
        <family val="2"/>
      </rPr>
      <t>CCTV SYSTEM</t>
    </r>
  </si>
  <si>
    <r>
      <t xml:space="preserve">SECTION - D
</t>
    </r>
    <r>
      <rPr>
        <sz val="11"/>
        <color theme="1"/>
        <rFont val="Century Gothic"/>
        <family val="2"/>
      </rPr>
      <t>PUBLIC ADDRESS SYSTEM</t>
    </r>
  </si>
  <si>
    <t>GST and SST taxes</t>
  </si>
  <si>
    <t>Grand Total</t>
  </si>
  <si>
    <r>
      <t xml:space="preserve">Total Amount (Rs.) Sec - A
</t>
    </r>
    <r>
      <rPr>
        <sz val="11"/>
        <rFont val="Century Gothic"/>
        <family val="2"/>
      </rPr>
      <t>(CARRIED FORWARD TO SUMMARY)</t>
    </r>
  </si>
  <si>
    <r>
      <t xml:space="preserve">Total Amount (Rs.) Sec - B
</t>
    </r>
    <r>
      <rPr>
        <sz val="11"/>
        <rFont val="Century Gothic"/>
        <family val="2"/>
      </rPr>
      <t>(CARRIED FORWARD TO SUMMARY)</t>
    </r>
  </si>
  <si>
    <r>
      <t xml:space="preserve">Total Amount (Rs.) Sec - C
</t>
    </r>
    <r>
      <rPr>
        <sz val="11"/>
        <rFont val="Century Gothic"/>
        <family val="2"/>
      </rPr>
      <t>(CARRIED FORWARD TO SUMMARY)</t>
    </r>
  </si>
  <si>
    <r>
      <t xml:space="preserve">Total Amount (Rs.) Sec - D
</t>
    </r>
    <r>
      <rPr>
        <sz val="11"/>
        <rFont val="Century Gothic"/>
        <family val="2"/>
      </rPr>
      <t>(CARRIED FORWARD TO SUMMARY)</t>
    </r>
  </si>
  <si>
    <r>
      <rPr>
        <b/>
        <sz val="11"/>
        <color rgb="FF000000"/>
        <rFont val="Century Gothic"/>
        <family val="2"/>
      </rPr>
      <t>Loop card module</t>
    </r>
    <r>
      <rPr>
        <sz val="11"/>
        <color indexed="8"/>
        <rFont val="Century Gothic"/>
        <family val="2"/>
      </rPr>
      <t xml:space="preserve"> in existing fire alarm panel installed at 25th floor to integrate devices at 19th floor.</t>
    </r>
  </si>
  <si>
    <r>
      <rPr>
        <b/>
        <sz val="11"/>
        <rFont val="Century Gothic"/>
        <family val="2"/>
      </rPr>
      <t xml:space="preserve">Addressable resetable Type Manual Call Point </t>
    </r>
    <r>
      <rPr>
        <sz val="11"/>
        <rFont val="Century Gothic"/>
        <family val="2"/>
      </rPr>
      <t>having a built in short circuit isolator and built in microprocessor to ensure a response time of max 1 second. It also incorporates an indication LED, flashed after pressing the button to acknowledge the activation and a key operation facility for testing purposes.</t>
    </r>
  </si>
  <si>
    <r>
      <t xml:space="preserve">200W - 2 Channel Power Amplifier to be integrated with existing evacuation manager at 25th floor, </t>
    </r>
    <r>
      <rPr>
        <sz val="11"/>
        <rFont val="Century Gothic"/>
        <family val="2"/>
      </rPr>
      <t>operating at 220V, AC suitable for rack mounting incorporates two audio line level inputs: a Music input and a priority call input. A built-in relay switches the amplifier from the music input of priority call input.</t>
    </r>
  </si>
  <si>
    <r>
      <rPr>
        <b/>
        <sz val="11"/>
        <rFont val="Century Gothic"/>
        <family val="2"/>
      </rPr>
      <t>Addressable Fire Alarm Control Panel</t>
    </r>
    <r>
      <rPr>
        <sz val="11"/>
        <rFont val="Century Gothic"/>
        <family val="2"/>
      </rPr>
      <t xml:space="preserve"> of </t>
    </r>
    <r>
      <rPr>
        <b/>
        <sz val="11"/>
        <rFont val="Century Gothic"/>
        <family val="2"/>
      </rPr>
      <t>4-loop</t>
    </r>
    <r>
      <rPr>
        <sz val="11"/>
        <rFont val="Century Gothic"/>
        <family val="2"/>
      </rPr>
      <t xml:space="preserve"> having maximum </t>
    </r>
    <r>
      <rPr>
        <b/>
        <sz val="11"/>
        <rFont val="Century Gothic"/>
        <family val="2"/>
      </rPr>
      <t>250 devices</t>
    </r>
    <r>
      <rPr>
        <sz val="11"/>
        <rFont val="Century Gothic"/>
        <family val="2"/>
      </rPr>
      <t xml:space="preserve"> per loop. The FACP shall be self powered with built in 12V batteries for 24 Hrs backup with charging unit. It can be programmed using Windows based software for peripheral devices like display unit, printers etc. 
</t>
    </r>
    <r>
      <rPr>
        <b/>
        <sz val="11"/>
        <rFont val="Century Gothic"/>
        <family val="2"/>
      </rPr>
      <t>NOTE:</t>
    </r>
    <r>
      <rPr>
        <sz val="11"/>
        <rFont val="Century Gothic"/>
        <family val="2"/>
      </rPr>
      <t xml:space="preserve">
1) The Panel should have GSM Module to send alters to alteast 3 persons of Client choice.
2) The Panel should have dry contacts for ZCU fault and alarm status.
3) The Panel should be integrated with Building FA System.
4) The Panel should be integrated with Access Control System.
5) The Panel should be able to integrate with BACnet BMS system without any additional item cost.</t>
    </r>
  </si>
  <si>
    <r>
      <rPr>
        <b/>
        <sz val="11"/>
        <rFont val="Calibri"/>
        <family val="2"/>
        <scheme val="minor"/>
      </rPr>
      <t xml:space="preserve">Sounder Module with Battery Bank </t>
    </r>
    <r>
      <rPr>
        <sz val="11"/>
        <rFont val="Calibri"/>
        <family val="2"/>
        <scheme val="minor"/>
      </rPr>
      <t>for integration with Building Fire Alarm System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</si>
</sst>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0"/>
      <name val="Times New Roman"/>
      <family val="1"/>
    </font>
    <font>
      <sz val="10"/>
      <name val="Times New Roman"/>
      <family val="1"/>
    </font>
    <font>
      <sz val="10"/>
      <name val="Arial"/>
      <family val="2"/>
    </font>
    <font>
      <b/>
      <sz val="11"/>
      <color theme="1"/>
      <name val="Century Gothic"/>
      <family val="2"/>
    </font>
    <font>
      <sz val="11"/>
      <color theme="1"/>
      <name val="Century Gothic"/>
      <family val="2"/>
    </font>
    <font>
      <b/>
      <sz val="11"/>
      <color rgb="FFFF0000"/>
      <name val="Century Gothic"/>
      <family val="2"/>
    </font>
    <font>
      <sz val="11"/>
      <name val="Century Gothic"/>
      <family val="2"/>
    </font>
    <font>
      <b/>
      <sz val="11"/>
      <name val="Century Gothic"/>
      <family val="2"/>
    </font>
    <font>
      <sz val="11"/>
      <color rgb="FFFF0000"/>
      <name val="Century Gothic"/>
      <family val="2"/>
    </font>
    <font>
      <sz val="11"/>
      <color indexed="8"/>
      <name val="Century Gothic"/>
      <family val="2"/>
    </font>
    <font>
      <b/>
      <sz val="11"/>
      <color indexed="8"/>
      <name val="Century Gothic"/>
      <family val="2"/>
    </font>
    <font>
      <sz val="9"/>
      <name val="Century Gothic"/>
      <family val="2"/>
    </font>
    <font>
      <b/>
      <sz val="11"/>
      <color rgb="FF000000"/>
      <name val="Century Gothic"/>
      <family val="2"/>
    </font>
    <font>
      <sz val="1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0">
    <xf numFmtId="0" fontId="0" fillId="0" borderId="0"/>
    <xf numFmtId="0" fontId="1" fillId="0" borderId="0"/>
    <xf numFmtId="0" fontId="2" fillId="0" borderId="0"/>
    <xf numFmtId="0" fontId="2"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2" fillId="0" borderId="0"/>
  </cellStyleXfs>
  <cellXfs count="89">
    <xf numFmtId="0" fontId="0" fillId="0" borderId="0" xfId="0"/>
    <xf numFmtId="0" fontId="5" fillId="0" borderId="0" xfId="0" applyFont="1" applyAlignment="1">
      <alignment horizontal="center" vertical="center"/>
    </xf>
    <xf numFmtId="0" fontId="5" fillId="0" borderId="0" xfId="0" applyFont="1"/>
    <xf numFmtId="0" fontId="7" fillId="0" borderId="0" xfId="0" applyFont="1" applyAlignment="1">
      <alignment horizontal="center" vertical="center"/>
    </xf>
    <xf numFmtId="0" fontId="7" fillId="0" borderId="0" xfId="0" applyFont="1" applyAlignment="1">
      <alignment horizontal="left" vertical="center"/>
    </xf>
    <xf numFmtId="3" fontId="5" fillId="0" borderId="0" xfId="0" applyNumberFormat="1" applyFont="1" applyAlignment="1">
      <alignment horizontal="center" vertical="center"/>
    </xf>
    <xf numFmtId="3" fontId="5"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2" fontId="4" fillId="0" borderId="1" xfId="5" applyNumberFormat="1" applyFont="1" applyBorder="1" applyAlignment="1">
      <alignment horizontal="center" vertical="center"/>
    </xf>
    <xf numFmtId="3"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indent="1"/>
    </xf>
    <xf numFmtId="0" fontId="7" fillId="0" borderId="1" xfId="0" applyFont="1" applyBorder="1" applyAlignment="1">
      <alignment horizontal="center" vertical="center"/>
    </xf>
    <xf numFmtId="1" fontId="7" fillId="0" borderId="0" xfId="0" applyNumberFormat="1" applyFont="1" applyAlignment="1">
      <alignment horizontal="center" vertical="center"/>
    </xf>
    <xf numFmtId="0" fontId="8" fillId="0" borderId="1" xfId="0" applyFont="1" applyBorder="1" applyAlignment="1">
      <alignment horizontal="center" vertical="center" wrapText="1"/>
    </xf>
    <xf numFmtId="3" fontId="4" fillId="0" borderId="1" xfId="0" applyNumberFormat="1" applyFont="1" applyBorder="1" applyAlignment="1" applyProtection="1">
      <alignment horizontal="center" vertical="center"/>
      <protection locked="0"/>
    </xf>
    <xf numFmtId="1" fontId="8" fillId="0" borderId="0" xfId="0" applyNumberFormat="1" applyFont="1" applyAlignment="1">
      <alignment horizontal="center" vertical="center"/>
    </xf>
    <xf numFmtId="0" fontId="7" fillId="0" borderId="1" xfId="0" applyFont="1" applyBorder="1" applyAlignment="1">
      <alignment horizontal="justify" vertical="center" wrapText="1"/>
    </xf>
    <xf numFmtId="3" fontId="7" fillId="0" borderId="0" xfId="0" applyNumberFormat="1" applyFont="1" applyAlignment="1">
      <alignment horizontal="center" vertical="center"/>
    </xf>
    <xf numFmtId="3" fontId="7" fillId="0" borderId="1" xfId="0" applyNumberFormat="1" applyFont="1" applyBorder="1" applyAlignment="1">
      <alignment horizontal="center" vertical="center"/>
    </xf>
    <xf numFmtId="0" fontId="9" fillId="0" borderId="0" xfId="0" applyFont="1" applyAlignment="1">
      <alignment vertical="center"/>
    </xf>
    <xf numFmtId="0" fontId="5" fillId="0" borderId="1" xfId="2" applyFont="1" applyBorder="1" applyAlignment="1">
      <alignment horizontal="center" vertical="center" wrapText="1"/>
    </xf>
    <xf numFmtId="0" fontId="8" fillId="0" borderId="1" xfId="7" applyFont="1" applyBorder="1" applyAlignment="1">
      <alignment horizontal="justify" vertical="center" wrapText="1"/>
    </xf>
    <xf numFmtId="3" fontId="6" fillId="0" borderId="0" xfId="7" applyNumberFormat="1" applyFont="1" applyAlignment="1">
      <alignment horizontal="center" vertical="center" wrapText="1"/>
    </xf>
    <xf numFmtId="0" fontId="9" fillId="0" borderId="0" xfId="7" applyFont="1" applyAlignment="1">
      <alignment horizontal="center" vertical="center"/>
    </xf>
    <xf numFmtId="0" fontId="9" fillId="0" borderId="0" xfId="7" applyFont="1" applyAlignment="1">
      <alignment vertical="center"/>
    </xf>
    <xf numFmtId="9" fontId="6" fillId="0" borderId="0" xfId="8" applyFont="1" applyFill="1" applyBorder="1" applyAlignment="1">
      <alignment horizontal="center" vertical="center" wrapText="1"/>
    </xf>
    <xf numFmtId="3" fontId="6" fillId="0" borderId="0" xfId="7" applyNumberFormat="1" applyFont="1" applyAlignment="1">
      <alignment horizontal="center" vertical="center"/>
    </xf>
    <xf numFmtId="0" fontId="7" fillId="0" borderId="1" xfId="7" applyFont="1" applyBorder="1" applyAlignment="1">
      <alignment horizontal="center" vertical="center" wrapText="1"/>
    </xf>
    <xf numFmtId="0" fontId="7" fillId="0" borderId="1" xfId="7" applyFont="1" applyBorder="1" applyAlignment="1">
      <alignment horizontal="justify" vertical="center" wrapText="1"/>
    </xf>
    <xf numFmtId="0" fontId="7" fillId="0" borderId="1" xfId="7" applyFont="1" applyBorder="1" applyAlignment="1">
      <alignment horizontal="center" vertical="center"/>
    </xf>
    <xf numFmtId="3" fontId="7" fillId="0" borderId="1" xfId="7" applyNumberFormat="1" applyFont="1" applyBorder="1" applyAlignment="1">
      <alignment horizontal="center" vertical="center"/>
    </xf>
    <xf numFmtId="3" fontId="9" fillId="0" borderId="0" xfId="7" applyNumberFormat="1" applyFont="1" applyAlignment="1">
      <alignment horizontal="center" vertical="center"/>
    </xf>
    <xf numFmtId="0" fontId="7" fillId="0" borderId="1" xfId="4" applyFont="1" applyBorder="1" applyAlignment="1">
      <alignment horizontal="center" vertical="center"/>
    </xf>
    <xf numFmtId="0" fontId="7" fillId="0" borderId="1" xfId="2" applyFont="1" applyBorder="1" applyAlignment="1">
      <alignment horizontal="center" vertical="center" wrapText="1"/>
    </xf>
    <xf numFmtId="0" fontId="7" fillId="0" borderId="1" xfId="2" applyFont="1" applyBorder="1" applyAlignment="1">
      <alignment horizontal="justify" vertical="center" wrapText="1"/>
    </xf>
    <xf numFmtId="1" fontId="7" fillId="0" borderId="1" xfId="2" applyNumberFormat="1" applyFont="1" applyBorder="1" applyAlignment="1">
      <alignment horizontal="center" vertical="center"/>
    </xf>
    <xf numFmtId="0" fontId="7" fillId="0" borderId="1" xfId="2" applyFont="1" applyBorder="1" applyAlignment="1">
      <alignment horizontal="center" vertical="center"/>
    </xf>
    <xf numFmtId="3" fontId="7" fillId="0" borderId="1" xfId="2" applyNumberFormat="1" applyFont="1" applyBorder="1" applyAlignment="1">
      <alignment horizontal="center" vertical="center"/>
    </xf>
    <xf numFmtId="3" fontId="9" fillId="0" borderId="0" xfId="2" applyNumberFormat="1" applyFont="1" applyAlignment="1">
      <alignment horizontal="center" vertical="center"/>
    </xf>
    <xf numFmtId="3" fontId="6" fillId="0" borderId="0" xfId="2" applyNumberFormat="1" applyFont="1" applyAlignment="1">
      <alignment horizontal="center" vertical="center"/>
    </xf>
    <xf numFmtId="0" fontId="9" fillId="0" borderId="0" xfId="2" applyFont="1" applyAlignment="1">
      <alignment vertical="center"/>
    </xf>
    <xf numFmtId="0" fontId="9" fillId="0" borderId="0" xfId="2" applyFont="1"/>
    <xf numFmtId="0" fontId="7" fillId="2" borderId="1" xfId="7" applyFont="1" applyFill="1" applyBorder="1" applyAlignment="1">
      <alignment vertical="center" wrapText="1"/>
    </xf>
    <xf numFmtId="0" fontId="8" fillId="0" borderId="1" xfId="7" applyFont="1" applyBorder="1" applyAlignment="1">
      <alignment horizontal="center" vertical="center" wrapText="1"/>
    </xf>
    <xf numFmtId="3" fontId="8" fillId="0" borderId="1" xfId="7" applyNumberFormat="1" applyFont="1" applyBorder="1" applyAlignment="1">
      <alignment horizontal="center" vertical="center"/>
    </xf>
    <xf numFmtId="0" fontId="7" fillId="0" borderId="1" xfId="0" applyFont="1" applyBorder="1" applyAlignment="1">
      <alignment horizontal="justify" vertical="center"/>
    </xf>
    <xf numFmtId="3" fontId="9" fillId="0" borderId="0" xfId="0" applyNumberFormat="1" applyFont="1" applyAlignment="1">
      <alignment horizontal="center" vertical="center"/>
    </xf>
    <xf numFmtId="3" fontId="6" fillId="0" borderId="0" xfId="0" applyNumberFormat="1" applyFont="1" applyAlignment="1">
      <alignment horizontal="center" vertical="center"/>
    </xf>
    <xf numFmtId="0" fontId="9" fillId="0" borderId="0" xfId="0" applyFont="1" applyAlignment="1">
      <alignment horizontal="center" vertical="center"/>
    </xf>
    <xf numFmtId="0" fontId="7" fillId="0" borderId="1" xfId="2" applyFont="1" applyBorder="1" applyAlignment="1">
      <alignment vertical="center" wrapText="1"/>
    </xf>
    <xf numFmtId="0" fontId="9" fillId="0" borderId="0" xfId="2" applyFont="1" applyAlignment="1">
      <alignment horizontal="center" vertical="center"/>
    </xf>
    <xf numFmtId="0" fontId="5" fillId="0" borderId="1" xfId="2" applyFont="1" applyBorder="1" applyAlignment="1">
      <alignment horizontal="justify" vertical="center" wrapText="1"/>
    </xf>
    <xf numFmtId="0" fontId="6" fillId="0" borderId="0" xfId="2" applyFont="1" applyAlignment="1">
      <alignment horizontal="center" vertical="center" wrapText="1"/>
    </xf>
    <xf numFmtId="1" fontId="8" fillId="0" borderId="1" xfId="7" applyNumberFormat="1" applyFont="1" applyBorder="1" applyAlignment="1">
      <alignment horizontal="center" vertical="center"/>
    </xf>
    <xf numFmtId="0" fontId="8" fillId="0" borderId="1" xfId="7" applyFont="1" applyBorder="1" applyAlignment="1">
      <alignment horizontal="justify" vertical="center"/>
    </xf>
    <xf numFmtId="3" fontId="7" fillId="0" borderId="1" xfId="0" applyNumberFormat="1" applyFont="1" applyBorder="1" applyAlignment="1">
      <alignment horizontal="justify" vertical="center"/>
    </xf>
    <xf numFmtId="3"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3" fontId="5" fillId="0" borderId="1" xfId="0" applyNumberFormat="1" applyFont="1" applyBorder="1" applyAlignment="1">
      <alignment horizontal="left" vertical="center"/>
    </xf>
    <xf numFmtId="3" fontId="5" fillId="0" borderId="1" xfId="0" applyNumberFormat="1" applyFont="1" applyBorder="1" applyAlignment="1" applyProtection="1">
      <alignment horizontal="center" vertical="center"/>
      <protection locked="0"/>
    </xf>
    <xf numFmtId="0" fontId="7" fillId="0" borderId="1" xfId="7" applyFont="1" applyBorder="1" applyAlignment="1">
      <alignment vertical="center" wrapText="1"/>
    </xf>
    <xf numFmtId="3" fontId="5" fillId="0" borderId="1" xfId="0" applyNumberFormat="1" applyFont="1" applyBorder="1" applyAlignment="1">
      <alignment horizontal="justify" vertical="center" wrapText="1"/>
    </xf>
    <xf numFmtId="0" fontId="5" fillId="0" borderId="0" xfId="0" applyFont="1" applyAlignment="1">
      <alignment horizontal="center"/>
    </xf>
    <xf numFmtId="0" fontId="10" fillId="0" borderId="1" xfId="2" applyFont="1" applyBorder="1" applyAlignment="1">
      <alignment horizontal="justify" vertical="center" wrapText="1"/>
    </xf>
    <xf numFmtId="0" fontId="7" fillId="0" borderId="1" xfId="7" applyFont="1" applyBorder="1" applyAlignment="1">
      <alignment horizontal="justify" vertical="center"/>
    </xf>
    <xf numFmtId="0" fontId="12" fillId="0" borderId="0" xfId="0" applyFont="1" applyAlignment="1">
      <alignment horizontal="center" vertical="center"/>
    </xf>
    <xf numFmtId="0" fontId="12" fillId="0" borderId="0" xfId="0" applyFont="1" applyAlignment="1">
      <alignment vertical="center"/>
    </xf>
    <xf numFmtId="3" fontId="12" fillId="0" borderId="0" xfId="0" applyNumberFormat="1" applyFont="1" applyAlignment="1">
      <alignment vertical="center"/>
    </xf>
    <xf numFmtId="0" fontId="5" fillId="0" borderId="1" xfId="0" applyFont="1" applyBorder="1" applyAlignment="1">
      <alignment horizontal="left" vertical="center" wrapText="1" indent="1"/>
    </xf>
    <xf numFmtId="0" fontId="14" fillId="0" borderId="1" xfId="9" applyFont="1" applyBorder="1" applyAlignment="1">
      <alignment horizontal="justify" vertical="center" wrapText="1"/>
    </xf>
    <xf numFmtId="0" fontId="14" fillId="0" borderId="1" xfId="4" applyFont="1" applyBorder="1" applyAlignment="1">
      <alignment horizontal="center" vertical="center"/>
    </xf>
    <xf numFmtId="0" fontId="14" fillId="0" borderId="1" xfId="9" applyFont="1" applyBorder="1" applyAlignment="1">
      <alignment horizontal="center" vertical="center"/>
    </xf>
    <xf numFmtId="0" fontId="7" fillId="0" borderId="2" xfId="0" applyFont="1" applyBorder="1" applyAlignment="1">
      <alignment horizontal="left" vertical="center" wrapText="1"/>
    </xf>
    <xf numFmtId="2" fontId="4" fillId="0" borderId="1" xfId="5" applyNumberFormat="1" applyFont="1" applyBorder="1" applyAlignment="1">
      <alignment horizontal="center" vertical="center"/>
    </xf>
    <xf numFmtId="0" fontId="7" fillId="0" borderId="1" xfId="7"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0" fontId="8" fillId="0" borderId="1" xfId="7" applyFont="1" applyBorder="1" applyAlignment="1">
      <alignment horizontal="left" vertical="center" wrapText="1"/>
    </xf>
    <xf numFmtId="3" fontId="7" fillId="0" borderId="1" xfId="7" applyNumberFormat="1" applyFont="1" applyBorder="1" applyAlignment="1">
      <alignment horizontal="center" vertical="center"/>
    </xf>
    <xf numFmtId="3" fontId="6" fillId="0" borderId="0" xfId="7" applyNumberFormat="1" applyFont="1" applyAlignment="1">
      <alignment horizontal="center" vertical="center" wrapText="1"/>
    </xf>
    <xf numFmtId="0" fontId="6" fillId="0" borderId="0" xfId="7" applyFont="1" applyAlignment="1">
      <alignment horizontal="center" vertical="center" wrapText="1"/>
    </xf>
    <xf numFmtId="3" fontId="6" fillId="0" borderId="0" xfId="7" applyNumberFormat="1" applyFont="1" applyAlignment="1">
      <alignment horizontal="center" vertical="center"/>
    </xf>
  </cellXfs>
  <cellStyles count="10">
    <cellStyle name="Normal" xfId="0" builtinId="0"/>
    <cellStyle name="Normal 11 2" xfId="9" xr:uid="{47A63255-5BCB-4795-821D-1A07A0EE6A15}"/>
    <cellStyle name="Normal 11 3" xfId="7" xr:uid="{00000000-0005-0000-0000-000002000000}"/>
    <cellStyle name="Normal 2" xfId="1" xr:uid="{00000000-0005-0000-0000-000003000000}"/>
    <cellStyle name="Normal 2 2" xfId="2" xr:uid="{00000000-0005-0000-0000-000004000000}"/>
    <cellStyle name="Normal 3" xfId="3" xr:uid="{00000000-0005-0000-0000-000005000000}"/>
    <cellStyle name="Normal 4" xfId="4" xr:uid="{00000000-0005-0000-0000-000006000000}"/>
    <cellStyle name="Normal 5" xfId="6" xr:uid="{00000000-0005-0000-0000-000007000000}"/>
    <cellStyle name="Normal_B.O.Q priced" xfId="5" xr:uid="{00000000-0005-0000-0000-000008000000}"/>
    <cellStyle name="Percent 2" xfId="8" xr:uid="{247F8A01-27B3-42BB-BF7B-F766C52A697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view="pageBreakPreview" zoomScale="90" zoomScaleNormal="90" zoomScaleSheetLayoutView="90" zoomScalePageLayoutView="70" workbookViewId="0">
      <selection activeCell="C7" sqref="C7"/>
    </sheetView>
  </sheetViews>
  <sheetFormatPr defaultColWidth="9.109375" defaultRowHeight="30" customHeight="1" x14ac:dyDescent="0.25"/>
  <cols>
    <col min="1" max="1" width="7.5546875" style="1" customWidth="1"/>
    <col min="2" max="2" width="63.109375" style="2" customWidth="1"/>
    <col min="3" max="5" width="21" style="5" customWidth="1"/>
    <col min="6" max="6" width="16" style="1" customWidth="1"/>
    <col min="7" max="7" width="12.109375" style="1" customWidth="1"/>
    <col min="8" max="9" width="7.6640625" style="1" customWidth="1"/>
    <col min="10" max="16384" width="9.109375" style="2"/>
  </cols>
  <sheetData>
    <row r="1" spans="1:13" ht="39.9" customHeight="1" x14ac:dyDescent="0.25">
      <c r="A1" s="7" t="s">
        <v>3</v>
      </c>
      <c r="B1" s="8" t="s">
        <v>2</v>
      </c>
      <c r="C1" s="9" t="s">
        <v>8</v>
      </c>
      <c r="D1" s="9" t="s">
        <v>9</v>
      </c>
      <c r="E1" s="9" t="s">
        <v>5</v>
      </c>
    </row>
    <row r="2" spans="1:13" s="4" customFormat="1" ht="39.9" customHeight="1" x14ac:dyDescent="0.3">
      <c r="A2" s="61">
        <v>1</v>
      </c>
      <c r="B2" s="73" t="s">
        <v>14</v>
      </c>
      <c r="C2" s="6"/>
      <c r="D2" s="6"/>
      <c r="E2" s="6"/>
      <c r="F2" s="3"/>
      <c r="G2" s="12"/>
      <c r="H2" s="3"/>
      <c r="I2" s="3"/>
    </row>
    <row r="3" spans="1:13" ht="39.9" customHeight="1" x14ac:dyDescent="0.25">
      <c r="A3" s="57">
        <v>2</v>
      </c>
      <c r="B3" s="73" t="s">
        <v>15</v>
      </c>
      <c r="C3" s="6"/>
      <c r="D3" s="6"/>
      <c r="E3" s="6"/>
      <c r="F3" s="17"/>
      <c r="G3" s="12"/>
    </row>
    <row r="4" spans="1:13" s="1" customFormat="1" ht="39.9" customHeight="1" x14ac:dyDescent="0.25">
      <c r="A4" s="61">
        <v>3</v>
      </c>
      <c r="B4" s="73" t="s">
        <v>16</v>
      </c>
      <c r="C4" s="6"/>
      <c r="D4" s="6"/>
      <c r="E4" s="6"/>
      <c r="F4" s="3"/>
      <c r="G4" s="12"/>
      <c r="J4" s="2"/>
      <c r="K4" s="2"/>
      <c r="L4" s="2"/>
      <c r="M4" s="2"/>
    </row>
    <row r="5" spans="1:13" ht="39.9" customHeight="1" x14ac:dyDescent="0.25">
      <c r="A5" s="11"/>
      <c r="B5" s="13" t="s">
        <v>13</v>
      </c>
      <c r="C5" s="14"/>
      <c r="D5" s="14"/>
      <c r="E5" s="14"/>
      <c r="F5" s="3"/>
      <c r="G5" s="15"/>
      <c r="H5" s="2"/>
      <c r="I5" s="2"/>
    </row>
    <row r="6" spans="1:13" ht="39.9" customHeight="1" x14ac:dyDescent="0.25">
      <c r="A6" s="11"/>
      <c r="B6" s="13" t="s">
        <v>65</v>
      </c>
      <c r="C6" s="14"/>
      <c r="D6" s="14"/>
      <c r="E6" s="14"/>
      <c r="F6" s="3"/>
      <c r="G6" s="15"/>
      <c r="H6" s="2"/>
      <c r="I6" s="2"/>
    </row>
    <row r="7" spans="1:13" ht="39.9" customHeight="1" x14ac:dyDescent="0.25">
      <c r="A7" s="11"/>
      <c r="B7" s="13" t="s">
        <v>66</v>
      </c>
      <c r="C7" s="14"/>
      <c r="D7" s="14"/>
      <c r="E7" s="14"/>
      <c r="F7" s="3"/>
      <c r="G7" s="15"/>
      <c r="H7" s="2"/>
      <c r="I7" s="2"/>
    </row>
    <row r="8" spans="1:13" s="71" customFormat="1" ht="216" customHeight="1" x14ac:dyDescent="0.3">
      <c r="A8" s="77" t="s">
        <v>51</v>
      </c>
      <c r="B8" s="77"/>
      <c r="C8" s="77"/>
      <c r="D8" s="77"/>
      <c r="E8" s="77"/>
      <c r="F8" s="70"/>
      <c r="G8" s="70"/>
      <c r="J8" s="72"/>
    </row>
  </sheetData>
  <mergeCells count="1">
    <mergeCell ref="A8:E8"/>
  </mergeCells>
  <printOptions horizontalCentered="1"/>
  <pageMargins left="0.32" right="0.18" top="1.29" bottom="0.37" header="0.53" footer="0.17"/>
  <pageSetup scale="60" fitToHeight="50" orientation="portrait" r:id="rId1"/>
  <headerFooter>
    <oddHeader>&amp;C&amp;"Century Gothic,Bold"&amp;UEY OFFICE
DOLMEN SKY TOWER, KARACHI
GRAND SUMMARY OF ESTIMATED AMOUNT
ELECTRICAL &amp;&amp; ALLIED WORKS</oddHeader>
    <oddFooter>&amp;L&amp;"Century Gothic,Bold"ElekEn &amp;"Century Gothic,Regular"Associates&amp;C&amp;"Century Gothic,Regular"Page: &amp;P of &amp;N&amp;R&amp;"Century Gothic,Regular"February 20, 2025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view="pageBreakPreview" zoomScale="80" zoomScaleNormal="90" zoomScaleSheetLayoutView="80" zoomScalePageLayoutView="70" workbookViewId="0">
      <selection activeCell="B14" sqref="B14"/>
    </sheetView>
  </sheetViews>
  <sheetFormatPr defaultColWidth="9.109375" defaultRowHeight="30" customHeight="1" x14ac:dyDescent="0.25"/>
  <cols>
    <col min="1" max="1" width="7.5546875" style="1" customWidth="1"/>
    <col min="2" max="2" width="66.44140625" style="2" customWidth="1"/>
    <col min="3" max="5" width="18.6640625" style="5" customWidth="1"/>
    <col min="6" max="6" width="12.109375" style="1" customWidth="1"/>
    <col min="7" max="7" width="20.5546875" style="1" customWidth="1"/>
    <col min="8" max="9" width="7.6640625" style="1" customWidth="1"/>
    <col min="10" max="16384" width="9.109375" style="2"/>
  </cols>
  <sheetData>
    <row r="1" spans="1:9" ht="39.9" customHeight="1" x14ac:dyDescent="0.25">
      <c r="A1" s="7" t="s">
        <v>3</v>
      </c>
      <c r="B1" s="8" t="s">
        <v>2</v>
      </c>
      <c r="C1" s="9" t="s">
        <v>8</v>
      </c>
      <c r="D1" s="9" t="s">
        <v>9</v>
      </c>
      <c r="E1" s="9" t="s">
        <v>5</v>
      </c>
    </row>
    <row r="2" spans="1:9" ht="39.9" customHeight="1" x14ac:dyDescent="0.25">
      <c r="A2" s="61">
        <v>1</v>
      </c>
      <c r="B2" s="10" t="s">
        <v>61</v>
      </c>
      <c r="C2" s="64"/>
      <c r="D2" s="64"/>
      <c r="E2" s="6"/>
      <c r="F2" s="3"/>
      <c r="G2" s="12"/>
      <c r="H2" s="2"/>
      <c r="I2" s="2"/>
    </row>
    <row r="3" spans="1:9" ht="39.9" customHeight="1" x14ac:dyDescent="0.25">
      <c r="A3" s="61">
        <v>2</v>
      </c>
      <c r="B3" s="10" t="s">
        <v>62</v>
      </c>
      <c r="C3" s="64"/>
      <c r="D3" s="64"/>
      <c r="E3" s="6"/>
      <c r="F3" s="3"/>
      <c r="G3" s="12"/>
      <c r="H3" s="2"/>
      <c r="I3" s="2"/>
    </row>
    <row r="4" spans="1:9" ht="39.9" customHeight="1" x14ac:dyDescent="0.25">
      <c r="A4" s="57">
        <v>3</v>
      </c>
      <c r="B4" s="10" t="s">
        <v>63</v>
      </c>
      <c r="C4" s="64"/>
      <c r="D4" s="64"/>
      <c r="E4" s="6"/>
      <c r="F4" s="3"/>
      <c r="G4" s="12"/>
      <c r="H4" s="2"/>
      <c r="I4" s="2"/>
    </row>
    <row r="5" spans="1:9" ht="39.9" customHeight="1" x14ac:dyDescent="0.25">
      <c r="A5" s="61">
        <v>4</v>
      </c>
      <c r="B5" s="10" t="s">
        <v>64</v>
      </c>
      <c r="C5" s="64"/>
      <c r="D5" s="64"/>
      <c r="E5" s="6"/>
      <c r="F5" s="3"/>
      <c r="G5" s="12"/>
      <c r="H5" s="2"/>
      <c r="I5" s="2"/>
    </row>
    <row r="6" spans="1:9" ht="39.9" customHeight="1" x14ac:dyDescent="0.25">
      <c r="A6" s="11"/>
      <c r="B6" s="13" t="s">
        <v>7</v>
      </c>
      <c r="C6" s="14"/>
      <c r="D6" s="14"/>
      <c r="E6" s="14"/>
      <c r="F6" s="3"/>
      <c r="G6" s="15"/>
      <c r="H6" s="2"/>
      <c r="I6" s="2"/>
    </row>
  </sheetData>
  <printOptions horizontalCentered="1"/>
  <pageMargins left="0.32" right="0.18" top="1.35" bottom="0.37" header="0.53" footer="0.17"/>
  <pageSetup scale="60" fitToHeight="50" orientation="portrait" r:id="rId1"/>
  <headerFooter>
    <oddHeader>&amp;C&amp;"Century Gothic,Bold"&amp;UEY OFFICE
DOLMEN SKY TOWER, KARACHI
SUMMARY OF ESTIMATED AMOUNT
ELECTRICAL &amp;&amp; ALLIED WORKS
17TH FLOOR</oddHeader>
    <oddFooter>&amp;L&amp;"Century Gothic,Bold"ElekEn &amp;"Century Gothic,Regular"Associates&amp;C&amp;"Century Gothic,Regular"Page: &amp;P of &amp;N&amp;R&amp;"Century Gothic,Regular"February 20, 2025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0"/>
  <sheetViews>
    <sheetView view="pageBreakPreview" zoomScale="80" zoomScaleNormal="90" zoomScaleSheetLayoutView="80" zoomScalePageLayoutView="70" workbookViewId="0">
      <selection activeCell="E1" sqref="E1:E2"/>
    </sheetView>
  </sheetViews>
  <sheetFormatPr defaultColWidth="9.109375" defaultRowHeight="30" customHeight="1" x14ac:dyDescent="0.25"/>
  <cols>
    <col min="1" max="1" width="6.6640625" style="67" customWidth="1"/>
    <col min="2" max="2" width="86.44140625" style="2" customWidth="1"/>
    <col min="3" max="3" width="12.88671875" style="5" customWidth="1"/>
    <col min="4" max="4" width="12.33203125" style="1" customWidth="1"/>
    <col min="5" max="5" width="12.44140625" style="1" customWidth="1"/>
    <col min="6" max="13" width="12.6640625" style="5" customWidth="1"/>
    <col min="14" max="16384" width="9.109375" style="2"/>
  </cols>
  <sheetData>
    <row r="1" spans="1:20" ht="39.9" customHeight="1" x14ac:dyDescent="0.25">
      <c r="A1" s="82" t="s">
        <v>3</v>
      </c>
      <c r="B1" s="78" t="s">
        <v>2</v>
      </c>
      <c r="C1" s="83" t="s">
        <v>56</v>
      </c>
      <c r="D1" s="78" t="s">
        <v>0</v>
      </c>
      <c r="E1" s="78" t="s">
        <v>55</v>
      </c>
      <c r="F1" s="81" t="s">
        <v>10</v>
      </c>
      <c r="G1" s="81"/>
      <c r="H1" s="81" t="s">
        <v>11</v>
      </c>
      <c r="I1" s="81"/>
      <c r="J1" s="80" t="s">
        <v>5</v>
      </c>
      <c r="K1" s="80" t="s">
        <v>52</v>
      </c>
      <c r="L1" s="80" t="s">
        <v>53</v>
      </c>
      <c r="M1" s="80" t="s">
        <v>54</v>
      </c>
    </row>
    <row r="2" spans="1:20" ht="39.9" customHeight="1" x14ac:dyDescent="0.25">
      <c r="A2" s="82"/>
      <c r="B2" s="78"/>
      <c r="C2" s="83"/>
      <c r="D2" s="78"/>
      <c r="E2" s="78"/>
      <c r="F2" s="9" t="s">
        <v>4</v>
      </c>
      <c r="G2" s="9" t="s">
        <v>5</v>
      </c>
      <c r="H2" s="9" t="s">
        <v>4</v>
      </c>
      <c r="I2" s="9" t="s">
        <v>5</v>
      </c>
      <c r="J2" s="80"/>
      <c r="K2" s="80"/>
      <c r="L2" s="80"/>
      <c r="M2" s="80"/>
    </row>
    <row r="3" spans="1:20" ht="39.9" customHeight="1" x14ac:dyDescent="0.25">
      <c r="A3" s="57"/>
      <c r="B3" s="62" t="s">
        <v>57</v>
      </c>
      <c r="C3" s="57"/>
      <c r="D3" s="57"/>
      <c r="E3" s="57"/>
      <c r="F3" s="63"/>
      <c r="G3" s="63"/>
      <c r="H3" s="63"/>
      <c r="I3" s="63"/>
      <c r="J3" s="63"/>
      <c r="K3" s="63"/>
      <c r="L3" s="63"/>
      <c r="M3" s="63"/>
    </row>
    <row r="4" spans="1:20" ht="56.25" customHeight="1" x14ac:dyDescent="0.25">
      <c r="A4" s="59"/>
      <c r="B4" s="60" t="s">
        <v>48</v>
      </c>
      <c r="C4" s="59"/>
      <c r="D4" s="59"/>
      <c r="E4" s="59"/>
      <c r="F4" s="6"/>
      <c r="G4" s="6"/>
      <c r="H4" s="6"/>
      <c r="I4" s="6"/>
      <c r="J4" s="6"/>
      <c r="K4" s="6"/>
      <c r="L4" s="6"/>
      <c r="M4" s="6"/>
    </row>
    <row r="5" spans="1:20" ht="173.25" customHeight="1" x14ac:dyDescent="0.25">
      <c r="A5" s="61">
        <v>1</v>
      </c>
      <c r="B5" s="58" t="s">
        <v>17</v>
      </c>
      <c r="C5" s="20">
        <v>1</v>
      </c>
      <c r="D5" s="61" t="s">
        <v>18</v>
      </c>
      <c r="E5" s="61"/>
      <c r="F5" s="6"/>
      <c r="G5" s="6"/>
      <c r="H5" s="6"/>
      <c r="I5" s="6"/>
      <c r="J5" s="6"/>
      <c r="K5" s="6"/>
      <c r="L5" s="6"/>
      <c r="M5" s="6"/>
    </row>
    <row r="6" spans="1:20" ht="39.9" customHeight="1" x14ac:dyDescent="0.25">
      <c r="A6" s="61">
        <v>2</v>
      </c>
      <c r="B6" s="58" t="s">
        <v>19</v>
      </c>
      <c r="C6" s="20">
        <v>1</v>
      </c>
      <c r="D6" s="61" t="s">
        <v>1</v>
      </c>
      <c r="E6" s="61"/>
      <c r="F6" s="6"/>
      <c r="G6" s="6"/>
      <c r="H6" s="6"/>
      <c r="I6" s="6"/>
      <c r="J6" s="6"/>
      <c r="K6" s="6"/>
      <c r="L6" s="6"/>
      <c r="M6" s="6"/>
    </row>
    <row r="7" spans="1:20" ht="74.25" customHeight="1" x14ac:dyDescent="0.25">
      <c r="A7" s="61">
        <v>3</v>
      </c>
      <c r="B7" s="58" t="s">
        <v>20</v>
      </c>
      <c r="C7" s="20">
        <v>1</v>
      </c>
      <c r="D7" s="61" t="s">
        <v>1</v>
      </c>
      <c r="E7" s="61"/>
      <c r="F7" s="6"/>
      <c r="G7" s="6"/>
      <c r="H7" s="6"/>
      <c r="I7" s="6"/>
      <c r="J7" s="6"/>
      <c r="K7" s="6"/>
      <c r="L7" s="6"/>
      <c r="M7" s="6"/>
    </row>
    <row r="8" spans="1:20" ht="39.9" customHeight="1" x14ac:dyDescent="0.25">
      <c r="A8" s="61">
        <v>4</v>
      </c>
      <c r="B8" s="58" t="s">
        <v>21</v>
      </c>
      <c r="C8" s="20">
        <v>4</v>
      </c>
      <c r="D8" s="61" t="s">
        <v>1</v>
      </c>
      <c r="E8" s="61"/>
      <c r="F8" s="6"/>
      <c r="G8" s="6"/>
      <c r="H8" s="6"/>
      <c r="I8" s="6"/>
      <c r="J8" s="6"/>
      <c r="K8" s="6"/>
      <c r="L8" s="6"/>
      <c r="M8" s="6"/>
    </row>
    <row r="9" spans="1:20" ht="39.9" customHeight="1" x14ac:dyDescent="0.25">
      <c r="A9" s="61">
        <v>5</v>
      </c>
      <c r="B9" s="58" t="s">
        <v>22</v>
      </c>
      <c r="C9" s="20">
        <v>1</v>
      </c>
      <c r="D9" s="61" t="s">
        <v>1</v>
      </c>
      <c r="E9" s="61"/>
      <c r="F9" s="6"/>
      <c r="G9" s="6"/>
      <c r="H9" s="6"/>
      <c r="I9" s="6"/>
      <c r="J9" s="6"/>
      <c r="K9" s="6"/>
      <c r="L9" s="6"/>
      <c r="M9" s="6"/>
    </row>
    <row r="10" spans="1:20" ht="39.9" customHeight="1" x14ac:dyDescent="0.25">
      <c r="A10" s="61">
        <v>6</v>
      </c>
      <c r="B10" s="58" t="s">
        <v>23</v>
      </c>
      <c r="C10" s="20">
        <v>1</v>
      </c>
      <c r="D10" s="61" t="s">
        <v>1</v>
      </c>
      <c r="E10" s="61"/>
      <c r="F10" s="6"/>
      <c r="G10" s="6"/>
      <c r="H10" s="6"/>
      <c r="I10" s="6"/>
      <c r="J10" s="6"/>
      <c r="K10" s="6"/>
      <c r="L10" s="6"/>
      <c r="M10" s="6"/>
    </row>
    <row r="11" spans="1:20" ht="39.9" customHeight="1" x14ac:dyDescent="0.25">
      <c r="A11" s="61">
        <v>7</v>
      </c>
      <c r="B11" s="58" t="s">
        <v>24</v>
      </c>
      <c r="C11" s="20">
        <v>1</v>
      </c>
      <c r="D11" s="61" t="s">
        <v>6</v>
      </c>
      <c r="E11" s="61"/>
      <c r="F11" s="6"/>
      <c r="G11" s="6"/>
      <c r="H11" s="6"/>
      <c r="I11" s="6"/>
      <c r="J11" s="6"/>
      <c r="K11" s="6"/>
      <c r="L11" s="6"/>
      <c r="M11" s="6"/>
    </row>
    <row r="12" spans="1:20" ht="57" customHeight="1" x14ac:dyDescent="0.25">
      <c r="A12" s="61">
        <v>8</v>
      </c>
      <c r="B12" s="58" t="s">
        <v>25</v>
      </c>
      <c r="C12" s="20">
        <v>1</v>
      </c>
      <c r="D12" s="61" t="s">
        <v>6</v>
      </c>
      <c r="E12" s="61"/>
      <c r="F12" s="6"/>
      <c r="G12" s="6"/>
      <c r="H12" s="6"/>
      <c r="I12" s="6"/>
      <c r="J12" s="6"/>
      <c r="K12" s="6"/>
      <c r="L12" s="6"/>
      <c r="M12" s="6"/>
    </row>
    <row r="13" spans="1:20" ht="88.5" customHeight="1" x14ac:dyDescent="0.25">
      <c r="A13" s="61"/>
      <c r="B13" s="62" t="s">
        <v>26</v>
      </c>
      <c r="C13" s="20"/>
      <c r="D13" s="61"/>
      <c r="E13" s="61"/>
      <c r="F13" s="6"/>
      <c r="G13" s="6"/>
      <c r="H13" s="6"/>
      <c r="I13" s="6"/>
      <c r="J13" s="6"/>
      <c r="K13" s="6"/>
      <c r="L13" s="6"/>
      <c r="M13" s="6"/>
    </row>
    <row r="14" spans="1:20" ht="39.9" customHeight="1" x14ac:dyDescent="0.25">
      <c r="A14" s="11"/>
      <c r="B14" s="13" t="s">
        <v>67</v>
      </c>
      <c r="C14" s="18"/>
      <c r="D14" s="11"/>
      <c r="E14" s="11"/>
      <c r="F14" s="6"/>
      <c r="G14" s="56"/>
      <c r="H14" s="56"/>
      <c r="I14" s="56"/>
      <c r="J14" s="56"/>
      <c r="K14" s="56"/>
      <c r="L14" s="56"/>
      <c r="M14" s="56"/>
    </row>
    <row r="15" spans="1:20" ht="39.9" customHeight="1" x14ac:dyDescent="0.25">
      <c r="A15" s="11"/>
      <c r="B15" s="13"/>
      <c r="C15" s="18"/>
      <c r="D15" s="11"/>
      <c r="E15" s="11"/>
      <c r="F15" s="6"/>
      <c r="G15" s="56"/>
      <c r="H15" s="56"/>
      <c r="I15" s="56"/>
      <c r="J15" s="56"/>
      <c r="K15" s="56"/>
      <c r="L15" s="56"/>
      <c r="M15" s="56"/>
    </row>
    <row r="16" spans="1:20" s="24" customFormat="1" ht="20.100000000000001" customHeight="1" x14ac:dyDescent="0.3">
      <c r="A16" s="79"/>
      <c r="B16" s="84" t="s">
        <v>58</v>
      </c>
      <c r="C16" s="79"/>
      <c r="D16" s="79"/>
      <c r="E16" s="79"/>
      <c r="F16" s="85"/>
      <c r="G16" s="79"/>
      <c r="H16" s="85"/>
      <c r="I16" s="79"/>
      <c r="J16" s="79"/>
      <c r="K16" s="79"/>
      <c r="L16" s="79"/>
      <c r="M16" s="79"/>
      <c r="N16" s="22"/>
      <c r="O16" s="22"/>
      <c r="P16" s="22"/>
      <c r="Q16" s="86"/>
      <c r="R16" s="87"/>
      <c r="S16" s="23"/>
      <c r="T16" s="86"/>
    </row>
    <row r="17" spans="1:20" s="24" customFormat="1" ht="20.100000000000001" customHeight="1" x14ac:dyDescent="0.3">
      <c r="A17" s="79"/>
      <c r="B17" s="84"/>
      <c r="C17" s="79"/>
      <c r="D17" s="79"/>
      <c r="E17" s="79"/>
      <c r="F17" s="85"/>
      <c r="G17" s="79"/>
      <c r="H17" s="85"/>
      <c r="I17" s="79"/>
      <c r="J17" s="79"/>
      <c r="K17" s="79"/>
      <c r="L17" s="79"/>
      <c r="M17" s="79"/>
      <c r="N17" s="25"/>
      <c r="O17" s="25"/>
      <c r="P17" s="25"/>
      <c r="Q17" s="86"/>
      <c r="R17" s="87"/>
      <c r="S17" s="23"/>
      <c r="T17" s="86"/>
    </row>
    <row r="18" spans="1:20" s="24" customFormat="1" ht="147.75" customHeight="1" x14ac:dyDescent="0.3">
      <c r="A18" s="27"/>
      <c r="B18" s="28" t="s">
        <v>27</v>
      </c>
      <c r="C18" s="29"/>
      <c r="D18" s="29"/>
      <c r="E18" s="29"/>
      <c r="F18" s="30"/>
      <c r="G18" s="30"/>
      <c r="H18" s="30"/>
      <c r="I18" s="30"/>
      <c r="J18" s="30"/>
      <c r="K18" s="30"/>
      <c r="L18" s="30"/>
      <c r="M18" s="30"/>
    </row>
    <row r="19" spans="1:20" s="24" customFormat="1" ht="199.5" customHeight="1" x14ac:dyDescent="0.3">
      <c r="A19" s="27">
        <v>1</v>
      </c>
      <c r="B19" s="28" t="s">
        <v>74</v>
      </c>
      <c r="C19" s="29">
        <v>1</v>
      </c>
      <c r="D19" s="29" t="s">
        <v>1</v>
      </c>
      <c r="E19" s="29"/>
      <c r="F19" s="30"/>
      <c r="G19" s="30"/>
      <c r="H19" s="30"/>
      <c r="I19" s="30"/>
      <c r="J19" s="30"/>
      <c r="K19" s="30"/>
      <c r="L19" s="30"/>
      <c r="M19" s="30"/>
      <c r="N19" s="31"/>
      <c r="O19" s="31"/>
      <c r="P19" s="31"/>
      <c r="Q19" s="31"/>
      <c r="R19" s="26"/>
      <c r="S19" s="23"/>
      <c r="T19" s="26"/>
    </row>
    <row r="20" spans="1:20" s="24" customFormat="1" ht="66.75" customHeight="1" x14ac:dyDescent="0.3">
      <c r="A20" s="27">
        <v>2</v>
      </c>
      <c r="B20" s="28" t="s">
        <v>28</v>
      </c>
      <c r="C20" s="29">
        <v>74</v>
      </c>
      <c r="D20" s="29" t="s">
        <v>1</v>
      </c>
      <c r="E20" s="29"/>
      <c r="F20" s="30"/>
      <c r="G20" s="30"/>
      <c r="H20" s="30"/>
      <c r="I20" s="30"/>
      <c r="J20" s="30"/>
      <c r="K20" s="30"/>
      <c r="L20" s="30"/>
      <c r="M20" s="30"/>
      <c r="N20" s="31"/>
      <c r="O20" s="31"/>
      <c r="P20" s="31"/>
      <c r="Q20" s="31"/>
      <c r="R20" s="26"/>
      <c r="S20" s="23"/>
      <c r="T20" s="26"/>
    </row>
    <row r="21" spans="1:20" s="24" customFormat="1" ht="66.75" customHeight="1" x14ac:dyDescent="0.3">
      <c r="A21" s="27">
        <v>3</v>
      </c>
      <c r="B21" s="28" t="s">
        <v>29</v>
      </c>
      <c r="C21" s="32">
        <v>4</v>
      </c>
      <c r="D21" s="29" t="s">
        <v>1</v>
      </c>
      <c r="E21" s="29"/>
      <c r="F21" s="30"/>
      <c r="G21" s="30"/>
      <c r="H21" s="30"/>
      <c r="I21" s="30"/>
      <c r="J21" s="30"/>
      <c r="K21" s="30"/>
      <c r="L21" s="30"/>
      <c r="M21" s="30"/>
      <c r="N21" s="31"/>
      <c r="O21" s="31"/>
      <c r="P21" s="31"/>
      <c r="Q21" s="31"/>
      <c r="R21" s="26"/>
      <c r="S21" s="23"/>
      <c r="T21" s="26"/>
    </row>
    <row r="22" spans="1:20" s="24" customFormat="1" ht="68.25" customHeight="1" x14ac:dyDescent="0.3">
      <c r="A22" s="27">
        <v>4</v>
      </c>
      <c r="B22" s="28" t="s">
        <v>72</v>
      </c>
      <c r="C22" s="32">
        <v>8</v>
      </c>
      <c r="D22" s="29" t="s">
        <v>1</v>
      </c>
      <c r="E22" s="29"/>
      <c r="F22" s="30"/>
      <c r="G22" s="30"/>
      <c r="H22" s="30"/>
      <c r="I22" s="30"/>
      <c r="J22" s="30"/>
      <c r="K22" s="30"/>
      <c r="L22" s="30"/>
      <c r="M22" s="30"/>
      <c r="N22" s="31"/>
      <c r="O22" s="31"/>
      <c r="P22" s="31"/>
      <c r="Q22" s="31"/>
      <c r="R22" s="26"/>
      <c r="S22" s="23"/>
      <c r="T22" s="26"/>
    </row>
    <row r="23" spans="1:20" s="24" customFormat="1" ht="71.25" customHeight="1" x14ac:dyDescent="0.3">
      <c r="A23" s="27">
        <v>5</v>
      </c>
      <c r="B23" s="28" t="s">
        <v>30</v>
      </c>
      <c r="C23" s="32">
        <v>9</v>
      </c>
      <c r="D23" s="29" t="s">
        <v>1</v>
      </c>
      <c r="E23" s="29"/>
      <c r="F23" s="30"/>
      <c r="G23" s="30"/>
      <c r="H23" s="30"/>
      <c r="I23" s="30"/>
      <c r="J23" s="30"/>
      <c r="K23" s="30"/>
      <c r="L23" s="30"/>
      <c r="M23" s="30"/>
      <c r="N23" s="31"/>
      <c r="O23" s="31"/>
      <c r="P23" s="31"/>
      <c r="Q23" s="31"/>
      <c r="R23" s="26"/>
      <c r="S23" s="23"/>
      <c r="T23" s="26"/>
    </row>
    <row r="24" spans="1:20" s="24" customFormat="1" ht="39.9" customHeight="1" x14ac:dyDescent="0.3">
      <c r="A24" s="27">
        <v>6</v>
      </c>
      <c r="B24" s="28" t="s">
        <v>31</v>
      </c>
      <c r="C24" s="32">
        <v>4</v>
      </c>
      <c r="D24" s="29" t="s">
        <v>1</v>
      </c>
      <c r="E24" s="29"/>
      <c r="F24" s="30"/>
      <c r="G24" s="30"/>
      <c r="H24" s="30"/>
      <c r="I24" s="30"/>
      <c r="J24" s="30"/>
      <c r="K24" s="30"/>
      <c r="L24" s="30"/>
      <c r="M24" s="30"/>
      <c r="N24" s="31"/>
      <c r="O24" s="31"/>
      <c r="P24" s="31"/>
      <c r="Q24" s="31"/>
      <c r="R24" s="26"/>
      <c r="S24" s="23"/>
      <c r="T24" s="26"/>
    </row>
    <row r="25" spans="1:20" s="24" customFormat="1" ht="39.9" customHeight="1" x14ac:dyDescent="0.3">
      <c r="A25" s="27">
        <v>7</v>
      </c>
      <c r="B25" s="74" t="s">
        <v>75</v>
      </c>
      <c r="C25" s="75">
        <v>2</v>
      </c>
      <c r="D25" s="76" t="s">
        <v>1</v>
      </c>
      <c r="E25" s="29"/>
      <c r="F25" s="30"/>
      <c r="G25" s="30"/>
      <c r="H25" s="30"/>
      <c r="I25" s="30"/>
      <c r="J25" s="30"/>
      <c r="K25" s="30"/>
      <c r="L25" s="30"/>
      <c r="M25" s="30"/>
      <c r="N25" s="31"/>
      <c r="O25" s="31"/>
      <c r="P25" s="31"/>
      <c r="Q25" s="31"/>
      <c r="R25" s="26"/>
      <c r="S25" s="23"/>
      <c r="T25" s="26"/>
    </row>
    <row r="26" spans="1:20" s="41" customFormat="1" ht="54" customHeight="1" x14ac:dyDescent="0.25">
      <c r="A26" s="27">
        <v>8</v>
      </c>
      <c r="B26" s="34" t="s">
        <v>32</v>
      </c>
      <c r="C26" s="35">
        <v>1</v>
      </c>
      <c r="D26" s="36" t="s">
        <v>33</v>
      </c>
      <c r="E26" s="36"/>
      <c r="F26" s="37"/>
      <c r="G26" s="37"/>
      <c r="H26" s="37"/>
      <c r="I26" s="37"/>
      <c r="J26" s="37"/>
      <c r="K26" s="37"/>
      <c r="L26" s="37"/>
      <c r="M26" s="37"/>
    </row>
    <row r="27" spans="1:20" s="24" customFormat="1" ht="59.25" customHeight="1" x14ac:dyDescent="0.3">
      <c r="A27" s="27"/>
      <c r="B27" s="65" t="s">
        <v>34</v>
      </c>
      <c r="C27" s="29"/>
      <c r="D27" s="29"/>
      <c r="E27" s="29"/>
      <c r="F27" s="30"/>
      <c r="G27" s="30"/>
      <c r="H27" s="30"/>
      <c r="I27" s="30"/>
      <c r="J27" s="30"/>
      <c r="K27" s="30"/>
      <c r="L27" s="30"/>
      <c r="M27" s="30"/>
    </row>
    <row r="28" spans="1:20" s="24" customFormat="1" ht="39.9" customHeight="1" x14ac:dyDescent="0.3">
      <c r="A28" s="27"/>
      <c r="B28" s="43" t="s">
        <v>68</v>
      </c>
      <c r="C28" s="29"/>
      <c r="D28" s="29"/>
      <c r="E28" s="29"/>
      <c r="F28" s="30"/>
      <c r="G28" s="44"/>
      <c r="H28" s="30"/>
      <c r="I28" s="44"/>
      <c r="J28" s="44"/>
      <c r="K28" s="44"/>
      <c r="L28" s="44"/>
      <c r="M28" s="44"/>
    </row>
    <row r="29" spans="1:20" s="24" customFormat="1" ht="39.9" customHeight="1" x14ac:dyDescent="0.3">
      <c r="A29" s="27"/>
      <c r="B29" s="43"/>
      <c r="C29" s="29"/>
      <c r="D29" s="29"/>
      <c r="E29" s="29"/>
      <c r="F29" s="30"/>
      <c r="G29" s="44"/>
      <c r="H29" s="30"/>
      <c r="I29" s="44"/>
      <c r="J29" s="44"/>
      <c r="K29" s="44"/>
      <c r="L29" s="44"/>
      <c r="M29" s="44"/>
    </row>
    <row r="30" spans="1:20" s="24" customFormat="1" ht="20.100000000000001" customHeight="1" x14ac:dyDescent="0.3">
      <c r="A30" s="79"/>
      <c r="B30" s="84" t="s">
        <v>59</v>
      </c>
      <c r="C30" s="79"/>
      <c r="D30" s="79"/>
      <c r="E30" s="79"/>
      <c r="F30" s="79"/>
      <c r="G30" s="79"/>
      <c r="H30" s="85"/>
      <c r="I30" s="79"/>
      <c r="J30" s="79"/>
      <c r="K30" s="79"/>
      <c r="L30" s="79"/>
      <c r="M30" s="79"/>
      <c r="N30" s="22"/>
      <c r="O30" s="22"/>
      <c r="P30" s="22"/>
      <c r="Q30" s="86"/>
      <c r="R30" s="87"/>
      <c r="S30" s="23"/>
      <c r="T30" s="86"/>
    </row>
    <row r="31" spans="1:20" s="24" customFormat="1" ht="20.100000000000001" customHeight="1" x14ac:dyDescent="0.3">
      <c r="A31" s="79"/>
      <c r="B31" s="84"/>
      <c r="C31" s="79"/>
      <c r="D31" s="79"/>
      <c r="E31" s="79"/>
      <c r="F31" s="79"/>
      <c r="G31" s="79"/>
      <c r="H31" s="85"/>
      <c r="I31" s="79"/>
      <c r="J31" s="79"/>
      <c r="K31" s="79"/>
      <c r="L31" s="79"/>
      <c r="M31" s="79"/>
      <c r="N31" s="25"/>
      <c r="O31" s="25"/>
      <c r="P31" s="25"/>
      <c r="Q31" s="86"/>
      <c r="R31" s="87"/>
      <c r="S31" s="23"/>
      <c r="T31" s="86"/>
    </row>
    <row r="32" spans="1:20" s="24" customFormat="1" ht="135.75" customHeight="1" x14ac:dyDescent="0.3">
      <c r="A32" s="27"/>
      <c r="B32" s="28" t="s">
        <v>35</v>
      </c>
      <c r="C32" s="29"/>
      <c r="D32" s="29"/>
      <c r="E32" s="29"/>
      <c r="F32" s="30"/>
      <c r="G32" s="30"/>
      <c r="H32" s="30"/>
      <c r="I32" s="30"/>
      <c r="J32" s="30"/>
      <c r="K32" s="30"/>
      <c r="L32" s="30"/>
      <c r="M32" s="30"/>
      <c r="N32" s="26"/>
      <c r="O32" s="22"/>
      <c r="P32" s="22"/>
    </row>
    <row r="33" spans="1:20" s="24" customFormat="1" ht="69.75" customHeight="1" x14ac:dyDescent="0.3">
      <c r="A33" s="27">
        <v>1</v>
      </c>
      <c r="B33" s="21" t="s">
        <v>36</v>
      </c>
      <c r="C33" s="29">
        <v>12</v>
      </c>
      <c r="D33" s="29" t="s">
        <v>1</v>
      </c>
      <c r="E33" s="29"/>
      <c r="F33" s="30"/>
      <c r="G33" s="30"/>
      <c r="H33" s="30"/>
      <c r="I33" s="30"/>
      <c r="J33" s="30"/>
      <c r="K33" s="30"/>
      <c r="L33" s="30"/>
      <c r="M33" s="30"/>
      <c r="N33" s="31"/>
      <c r="O33" s="31"/>
      <c r="P33" s="31"/>
      <c r="Q33" s="31"/>
      <c r="R33" s="26"/>
      <c r="S33" s="23"/>
      <c r="T33" s="26"/>
    </row>
    <row r="34" spans="1:20" s="24" customFormat="1" ht="87" customHeight="1" x14ac:dyDescent="0.3">
      <c r="A34" s="27">
        <v>2</v>
      </c>
      <c r="B34" s="28" t="s">
        <v>37</v>
      </c>
      <c r="C34" s="29">
        <v>1</v>
      </c>
      <c r="D34" s="29" t="s">
        <v>1</v>
      </c>
      <c r="E34" s="29"/>
      <c r="F34" s="30"/>
      <c r="G34" s="30"/>
      <c r="H34" s="30"/>
      <c r="I34" s="30"/>
      <c r="J34" s="30"/>
      <c r="K34" s="30"/>
      <c r="L34" s="30"/>
      <c r="M34" s="30"/>
      <c r="N34" s="31"/>
      <c r="O34" s="31"/>
      <c r="P34" s="31"/>
      <c r="Q34" s="31"/>
      <c r="R34" s="26"/>
      <c r="S34" s="23"/>
      <c r="T34" s="26"/>
    </row>
    <row r="35" spans="1:20" s="19" customFormat="1" ht="39.9" customHeight="1" x14ac:dyDescent="0.3">
      <c r="A35" s="27">
        <v>3</v>
      </c>
      <c r="B35" s="45" t="s">
        <v>38</v>
      </c>
      <c r="C35" s="11">
        <v>1</v>
      </c>
      <c r="D35" s="11" t="s">
        <v>1</v>
      </c>
      <c r="E35" s="11"/>
      <c r="F35" s="18"/>
      <c r="G35" s="18"/>
      <c r="H35" s="18"/>
      <c r="I35" s="18"/>
      <c r="J35" s="18"/>
      <c r="K35" s="18"/>
      <c r="L35" s="18"/>
      <c r="M35" s="18"/>
      <c r="N35" s="47"/>
    </row>
    <row r="36" spans="1:20" s="19" customFormat="1" ht="39.9" customHeight="1" x14ac:dyDescent="0.3">
      <c r="A36" s="27">
        <v>4</v>
      </c>
      <c r="B36" s="45" t="s">
        <v>39</v>
      </c>
      <c r="C36" s="11">
        <v>1</v>
      </c>
      <c r="D36" s="11" t="s">
        <v>1</v>
      </c>
      <c r="E36" s="11"/>
      <c r="F36" s="18"/>
      <c r="G36" s="18"/>
      <c r="H36" s="18"/>
      <c r="I36" s="18"/>
      <c r="J36" s="18"/>
      <c r="K36" s="18"/>
      <c r="L36" s="18"/>
      <c r="M36" s="18"/>
      <c r="N36" s="47"/>
    </row>
    <row r="37" spans="1:20" s="19" customFormat="1" ht="39.9" customHeight="1" x14ac:dyDescent="0.3">
      <c r="A37" s="27">
        <v>5</v>
      </c>
      <c r="B37" s="16" t="s">
        <v>40</v>
      </c>
      <c r="C37" s="11">
        <v>1</v>
      </c>
      <c r="D37" s="11" t="s">
        <v>1</v>
      </c>
      <c r="E37" s="11"/>
      <c r="F37" s="18"/>
      <c r="G37" s="18"/>
      <c r="H37" s="18"/>
      <c r="I37" s="18"/>
      <c r="J37" s="18"/>
      <c r="K37" s="18"/>
      <c r="L37" s="18"/>
      <c r="M37" s="18"/>
      <c r="N37" s="47"/>
    </row>
    <row r="38" spans="1:20" s="40" customFormat="1" ht="51" customHeight="1" x14ac:dyDescent="0.3">
      <c r="A38" s="27">
        <v>6</v>
      </c>
      <c r="B38" s="49" t="s">
        <v>32</v>
      </c>
      <c r="C38" s="37">
        <v>1</v>
      </c>
      <c r="D38" s="36" t="s">
        <v>6</v>
      </c>
      <c r="E38" s="36"/>
      <c r="F38" s="37"/>
      <c r="G38" s="37"/>
      <c r="H38" s="37"/>
      <c r="I38" s="37"/>
      <c r="J38" s="37"/>
      <c r="K38" s="37"/>
      <c r="L38" s="37"/>
      <c r="M38" s="37"/>
    </row>
    <row r="39" spans="1:20" s="24" customFormat="1" ht="136.5" customHeight="1" x14ac:dyDescent="0.3">
      <c r="A39" s="27"/>
      <c r="B39" s="65" t="s">
        <v>42</v>
      </c>
      <c r="C39" s="29"/>
      <c r="D39" s="29"/>
      <c r="E39" s="29"/>
      <c r="F39" s="30"/>
      <c r="G39" s="30"/>
      <c r="H39" s="30"/>
      <c r="I39" s="30"/>
      <c r="J39" s="30"/>
      <c r="K39" s="30"/>
      <c r="L39" s="30"/>
      <c r="M39" s="30"/>
    </row>
    <row r="40" spans="1:20" s="24" customFormat="1" ht="39.9" customHeight="1" x14ac:dyDescent="0.3">
      <c r="A40" s="29"/>
      <c r="B40" s="43" t="s">
        <v>69</v>
      </c>
      <c r="C40" s="53"/>
      <c r="D40" s="29"/>
      <c r="E40" s="29"/>
      <c r="F40" s="44"/>
      <c r="G40" s="44"/>
      <c r="H40" s="44"/>
      <c r="I40" s="44"/>
      <c r="J40" s="44"/>
      <c r="K40" s="44"/>
      <c r="L40" s="44"/>
      <c r="M40" s="44"/>
    </row>
    <row r="41" spans="1:20" s="24" customFormat="1" ht="39.9" customHeight="1" x14ac:dyDescent="0.3">
      <c r="A41" s="29"/>
      <c r="B41" s="43"/>
      <c r="C41" s="53"/>
      <c r="D41" s="29"/>
      <c r="E41" s="29"/>
      <c r="F41" s="44"/>
      <c r="G41" s="44"/>
      <c r="H41" s="44"/>
      <c r="I41" s="44"/>
      <c r="J41" s="44"/>
      <c r="K41" s="44"/>
      <c r="L41" s="44"/>
      <c r="M41" s="44"/>
    </row>
    <row r="42" spans="1:20" s="24" customFormat="1" ht="20.100000000000001" customHeight="1" x14ac:dyDescent="0.3">
      <c r="A42" s="79"/>
      <c r="B42" s="84" t="s">
        <v>60</v>
      </c>
      <c r="C42" s="79"/>
      <c r="D42" s="79"/>
      <c r="E42" s="79"/>
      <c r="F42" s="85"/>
      <c r="G42" s="79"/>
      <c r="H42" s="85"/>
      <c r="I42" s="79"/>
      <c r="J42" s="79"/>
      <c r="K42" s="79"/>
      <c r="L42" s="79"/>
      <c r="M42" s="79"/>
    </row>
    <row r="43" spans="1:20" s="24" customFormat="1" ht="20.100000000000001" customHeight="1" x14ac:dyDescent="0.3">
      <c r="A43" s="79"/>
      <c r="B43" s="84"/>
      <c r="C43" s="79"/>
      <c r="D43" s="79"/>
      <c r="E43" s="79"/>
      <c r="F43" s="85"/>
      <c r="G43" s="79"/>
      <c r="H43" s="85"/>
      <c r="I43" s="79"/>
      <c r="J43" s="79"/>
      <c r="K43" s="79"/>
      <c r="L43" s="79"/>
      <c r="M43" s="79"/>
    </row>
    <row r="44" spans="1:20" s="24" customFormat="1" ht="50.25" customHeight="1" x14ac:dyDescent="0.3">
      <c r="A44" s="27"/>
      <c r="B44" s="28" t="s">
        <v>43</v>
      </c>
      <c r="C44" s="29"/>
      <c r="D44" s="29"/>
      <c r="E44" s="29"/>
      <c r="F44" s="30"/>
      <c r="G44" s="30"/>
      <c r="H44" s="30"/>
      <c r="I44" s="30"/>
      <c r="J44" s="30"/>
      <c r="K44" s="30"/>
      <c r="L44" s="30"/>
      <c r="M44" s="30"/>
    </row>
    <row r="45" spans="1:20" s="24" customFormat="1" ht="69.75" customHeight="1" x14ac:dyDescent="0.3">
      <c r="A45" s="27">
        <v>1</v>
      </c>
      <c r="B45" s="54" t="s">
        <v>44</v>
      </c>
      <c r="C45" s="29">
        <v>1</v>
      </c>
      <c r="D45" s="29" t="s">
        <v>1</v>
      </c>
      <c r="E45" s="29"/>
      <c r="F45" s="30"/>
      <c r="G45" s="30"/>
      <c r="H45" s="30"/>
      <c r="I45" s="30"/>
      <c r="J45" s="30"/>
      <c r="K45" s="30"/>
      <c r="L45" s="30"/>
      <c r="M45" s="30"/>
    </row>
    <row r="46" spans="1:20" s="24" customFormat="1" ht="67.5" customHeight="1" x14ac:dyDescent="0.3">
      <c r="A46" s="27">
        <v>2</v>
      </c>
      <c r="B46" s="55" t="s">
        <v>45</v>
      </c>
      <c r="C46" s="36">
        <f>23</f>
        <v>23</v>
      </c>
      <c r="D46" s="29" t="s">
        <v>1</v>
      </c>
      <c r="E46" s="29"/>
      <c r="F46" s="30"/>
      <c r="G46" s="30"/>
      <c r="H46" s="30"/>
      <c r="I46" s="30"/>
      <c r="J46" s="30"/>
      <c r="K46" s="30"/>
      <c r="L46" s="30"/>
      <c r="M46" s="30"/>
    </row>
    <row r="47" spans="1:20" s="24" customFormat="1" ht="39.9" customHeight="1" x14ac:dyDescent="0.3">
      <c r="A47" s="27">
        <v>3</v>
      </c>
      <c r="B47" s="66" t="s">
        <v>46</v>
      </c>
      <c r="C47" s="36">
        <v>1</v>
      </c>
      <c r="D47" s="29" t="s">
        <v>1</v>
      </c>
      <c r="E47" s="29"/>
      <c r="F47" s="30"/>
      <c r="G47" s="30"/>
      <c r="H47" s="30"/>
      <c r="I47" s="30"/>
      <c r="J47" s="30"/>
      <c r="K47" s="30"/>
      <c r="L47" s="30"/>
      <c r="M47" s="30"/>
    </row>
    <row r="48" spans="1:20" s="41" customFormat="1" ht="60.75" customHeight="1" x14ac:dyDescent="0.25">
      <c r="A48" s="27">
        <v>4</v>
      </c>
      <c r="B48" s="34" t="s">
        <v>32</v>
      </c>
      <c r="C48" s="35">
        <v>1</v>
      </c>
      <c r="D48" s="36" t="s">
        <v>33</v>
      </c>
      <c r="E48" s="36"/>
      <c r="F48" s="37"/>
      <c r="G48" s="37"/>
      <c r="H48" s="37"/>
      <c r="I48" s="37"/>
      <c r="J48" s="37"/>
      <c r="K48" s="37"/>
      <c r="L48" s="37"/>
      <c r="M48" s="37"/>
    </row>
    <row r="49" spans="1:13" s="24" customFormat="1" ht="88.5" customHeight="1" x14ac:dyDescent="0.3">
      <c r="A49" s="27"/>
      <c r="B49" s="28" t="s">
        <v>47</v>
      </c>
      <c r="C49" s="29"/>
      <c r="D49" s="29"/>
      <c r="E49" s="29"/>
      <c r="F49" s="30"/>
      <c r="G49" s="30"/>
      <c r="H49" s="30"/>
      <c r="I49" s="30"/>
      <c r="J49" s="30"/>
      <c r="K49" s="30"/>
      <c r="L49" s="30"/>
      <c r="M49" s="30"/>
    </row>
    <row r="50" spans="1:13" s="24" customFormat="1" ht="39.9" customHeight="1" x14ac:dyDescent="0.3">
      <c r="A50" s="27"/>
      <c r="B50" s="43" t="s">
        <v>70</v>
      </c>
      <c r="C50" s="29"/>
      <c r="D50" s="29"/>
      <c r="E50" s="29"/>
      <c r="F50" s="30"/>
      <c r="G50" s="44"/>
      <c r="H50" s="30"/>
      <c r="I50" s="44"/>
      <c r="J50" s="44"/>
      <c r="K50" s="44"/>
      <c r="L50" s="44"/>
      <c r="M50" s="44"/>
    </row>
  </sheetData>
  <mergeCells count="56">
    <mergeCell ref="A42:A43"/>
    <mergeCell ref="B42:B43"/>
    <mergeCell ref="C42:C43"/>
    <mergeCell ref="D42:D43"/>
    <mergeCell ref="F42:F43"/>
    <mergeCell ref="A30:A31"/>
    <mergeCell ref="B30:B31"/>
    <mergeCell ref="C30:C31"/>
    <mergeCell ref="D30:D31"/>
    <mergeCell ref="F30:F31"/>
    <mergeCell ref="Q16:Q17"/>
    <mergeCell ref="R16:R17"/>
    <mergeCell ref="T16:T17"/>
    <mergeCell ref="I16:I17"/>
    <mergeCell ref="J16:J17"/>
    <mergeCell ref="T30:T31"/>
    <mergeCell ref="G30:G31"/>
    <mergeCell ref="H30:H31"/>
    <mergeCell ref="I30:I31"/>
    <mergeCell ref="J30:J31"/>
    <mergeCell ref="R30:R31"/>
    <mergeCell ref="K30:K31"/>
    <mergeCell ref="L30:L31"/>
    <mergeCell ref="Q30:Q31"/>
    <mergeCell ref="A16:A17"/>
    <mergeCell ref="B16:B17"/>
    <mergeCell ref="C16:C17"/>
    <mergeCell ref="D16:D17"/>
    <mergeCell ref="F16:F17"/>
    <mergeCell ref="A1:A2"/>
    <mergeCell ref="B1:B2"/>
    <mergeCell ref="C1:C2"/>
    <mergeCell ref="D1:D2"/>
    <mergeCell ref="F1:G1"/>
    <mergeCell ref="L1:L2"/>
    <mergeCell ref="M1:M2"/>
    <mergeCell ref="M16:M17"/>
    <mergeCell ref="M30:M31"/>
    <mergeCell ref="K42:K43"/>
    <mergeCell ref="M42:M43"/>
    <mergeCell ref="K16:K17"/>
    <mergeCell ref="L16:L17"/>
    <mergeCell ref="L42:L43"/>
    <mergeCell ref="E1:E2"/>
    <mergeCell ref="E16:E17"/>
    <mergeCell ref="E30:E31"/>
    <mergeCell ref="E42:E43"/>
    <mergeCell ref="K1:K2"/>
    <mergeCell ref="H1:I1"/>
    <mergeCell ref="J1:J2"/>
    <mergeCell ref="G16:G17"/>
    <mergeCell ref="H16:H17"/>
    <mergeCell ref="G42:G43"/>
    <mergeCell ref="H42:H43"/>
    <mergeCell ref="I42:I43"/>
    <mergeCell ref="J42:J43"/>
  </mergeCells>
  <pageMargins left="0.34" right="0.19" top="0.75" bottom="0.37" header="0.45" footer="0.17"/>
  <pageSetup scale="47" fitToHeight="50" orientation="portrait" r:id="rId1"/>
  <headerFooter>
    <oddHeader>&amp;L&amp;"Century Gothic,Bold"BILL OF QUANTITIES
ELECTRICAL &amp;&amp; ALLIED WORKS&amp;C&amp;"Century Gothic,Bold"&amp;UEY OFFICES
DOLMEN SKY TOWER, KARACHI&amp;R&amp;"Century Gothic,Bold"17TH FLOOR</oddHeader>
    <oddFooter>&amp;L&amp;"Century Gothic,Bold"ElekEn &amp;"Century Gothic,Regular"Associates&amp;C&amp;"Century Gothic,Regular"Page: &amp;P of &amp;N&amp;R&amp;"Century Gothic,Regular"February 20, 2025</oddFooter>
  </headerFooter>
  <rowBreaks count="1" manualBreakCount="1">
    <brk id="22"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
  <sheetViews>
    <sheetView view="pageBreakPreview" zoomScale="80" zoomScaleNormal="90" zoomScaleSheetLayoutView="80" zoomScalePageLayoutView="70" workbookViewId="0">
      <selection sqref="A1:XFD1048576"/>
    </sheetView>
  </sheetViews>
  <sheetFormatPr defaultColWidth="9.109375" defaultRowHeight="30" customHeight="1" x14ac:dyDescent="0.25"/>
  <cols>
    <col min="1" max="1" width="7.5546875" style="1" customWidth="1"/>
    <col min="2" max="2" width="66.44140625" style="2" customWidth="1"/>
    <col min="3" max="5" width="18.6640625" style="5" customWidth="1"/>
    <col min="6" max="6" width="12.109375" style="1" customWidth="1"/>
    <col min="7" max="7" width="20.5546875" style="1" customWidth="1"/>
    <col min="8" max="9" width="7.6640625" style="1" customWidth="1"/>
    <col min="10" max="16384" width="9.109375" style="2"/>
  </cols>
  <sheetData>
    <row r="1" spans="1:9" ht="39.9" customHeight="1" x14ac:dyDescent="0.25">
      <c r="A1" s="7" t="s">
        <v>3</v>
      </c>
      <c r="B1" s="8" t="s">
        <v>2</v>
      </c>
      <c r="C1" s="9" t="s">
        <v>8</v>
      </c>
      <c r="D1" s="9" t="s">
        <v>9</v>
      </c>
      <c r="E1" s="9" t="s">
        <v>5</v>
      </c>
    </row>
    <row r="2" spans="1:9" ht="39.9" customHeight="1" x14ac:dyDescent="0.25">
      <c r="A2" s="61">
        <v>1</v>
      </c>
      <c r="B2" s="10" t="s">
        <v>61</v>
      </c>
      <c r="C2" s="64"/>
      <c r="D2" s="64"/>
      <c r="E2" s="6"/>
      <c r="F2" s="3"/>
      <c r="G2" s="12"/>
      <c r="H2" s="2"/>
      <c r="I2" s="2"/>
    </row>
    <row r="3" spans="1:9" ht="39.9" customHeight="1" x14ac:dyDescent="0.25">
      <c r="A3" s="61">
        <v>2</v>
      </c>
      <c r="B3" s="10" t="s">
        <v>62</v>
      </c>
      <c r="C3" s="64"/>
      <c r="D3" s="64"/>
      <c r="E3" s="6"/>
      <c r="F3" s="3"/>
      <c r="G3" s="12"/>
      <c r="H3" s="2"/>
      <c r="I3" s="2"/>
    </row>
    <row r="4" spans="1:9" ht="39.9" customHeight="1" x14ac:dyDescent="0.25">
      <c r="A4" s="57">
        <v>3</v>
      </c>
      <c r="B4" s="10" t="s">
        <v>63</v>
      </c>
      <c r="C4" s="64"/>
      <c r="D4" s="64"/>
      <c r="E4" s="6"/>
      <c r="F4" s="3"/>
      <c r="G4" s="12"/>
      <c r="H4" s="2"/>
      <c r="I4" s="2"/>
    </row>
    <row r="5" spans="1:9" ht="39.9" customHeight="1" x14ac:dyDescent="0.25">
      <c r="A5" s="61">
        <v>4</v>
      </c>
      <c r="B5" s="10" t="s">
        <v>64</v>
      </c>
      <c r="C5" s="64"/>
      <c r="D5" s="64"/>
      <c r="E5" s="6"/>
      <c r="F5" s="3"/>
      <c r="G5" s="12"/>
      <c r="H5" s="2"/>
      <c r="I5" s="2"/>
    </row>
    <row r="6" spans="1:9" ht="39.9" customHeight="1" x14ac:dyDescent="0.25">
      <c r="A6" s="11"/>
      <c r="B6" s="13" t="s">
        <v>7</v>
      </c>
      <c r="C6" s="14"/>
      <c r="D6" s="14"/>
      <c r="E6" s="14"/>
      <c r="F6" s="3"/>
      <c r="G6" s="15"/>
      <c r="H6" s="2"/>
      <c r="I6" s="2"/>
    </row>
  </sheetData>
  <printOptions horizontalCentered="1"/>
  <pageMargins left="0.32" right="0.18" top="1.35" bottom="0.37" header="0.53" footer="0.17"/>
  <pageSetup scale="60" fitToHeight="50" orientation="portrait" r:id="rId1"/>
  <headerFooter>
    <oddHeader>&amp;C&amp;"Century Gothic,Bold"&amp;UEY OFFICE
DOLMEN SKY TOWER, KARACHI
SUMMARY OF ESTIMATED AMOUNT
ELECTRICAL &amp;&amp; ALLIED WORKS
18TH FLOOR</oddHeader>
    <oddFooter>&amp;L&amp;"Century Gothic,Bold"ElekEn &amp;"Century Gothic,Regular"Associates&amp;C&amp;"Century Gothic,Regular"Page: &amp;P of &amp;N&amp;R&amp;"Century Gothic,Regular"February 20, 2025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6"/>
  <sheetViews>
    <sheetView view="pageBreakPreview" zoomScale="80" zoomScaleNormal="90" zoomScaleSheetLayoutView="80" zoomScalePageLayoutView="70" workbookViewId="0">
      <selection activeCell="E1" sqref="E1:E1048576"/>
    </sheetView>
  </sheetViews>
  <sheetFormatPr defaultColWidth="9.109375" defaultRowHeight="30" customHeight="1" x14ac:dyDescent="0.25"/>
  <cols>
    <col min="1" max="1" width="6.6640625" style="67" customWidth="1"/>
    <col min="2" max="2" width="86.44140625" style="2" customWidth="1"/>
    <col min="3" max="3" width="6.6640625" style="5" customWidth="1"/>
    <col min="4" max="4" width="6.6640625" style="1" customWidth="1"/>
    <col min="5" max="5" width="14.88671875" style="1" customWidth="1"/>
    <col min="6" max="10" width="12.6640625" style="5" customWidth="1"/>
    <col min="11" max="16384" width="9.109375" style="2"/>
  </cols>
  <sheetData>
    <row r="1" spans="1:23" ht="39.9" customHeight="1" x14ac:dyDescent="0.25">
      <c r="A1" s="82" t="s">
        <v>3</v>
      </c>
      <c r="B1" s="78" t="s">
        <v>2</v>
      </c>
      <c r="C1" s="83" t="s">
        <v>12</v>
      </c>
      <c r="D1" s="78" t="s">
        <v>0</v>
      </c>
      <c r="E1" s="78" t="s">
        <v>55</v>
      </c>
      <c r="F1" s="81" t="s">
        <v>10</v>
      </c>
      <c r="G1" s="81"/>
      <c r="H1" s="81" t="s">
        <v>11</v>
      </c>
      <c r="I1" s="81"/>
      <c r="J1" s="80" t="s">
        <v>5</v>
      </c>
    </row>
    <row r="2" spans="1:23" ht="39.9" customHeight="1" x14ac:dyDescent="0.25">
      <c r="A2" s="82"/>
      <c r="B2" s="78"/>
      <c r="C2" s="83"/>
      <c r="D2" s="78"/>
      <c r="E2" s="78"/>
      <c r="F2" s="9" t="s">
        <v>4</v>
      </c>
      <c r="G2" s="9" t="s">
        <v>5</v>
      </c>
      <c r="H2" s="9" t="s">
        <v>4</v>
      </c>
      <c r="I2" s="9" t="s">
        <v>5</v>
      </c>
      <c r="J2" s="80"/>
    </row>
    <row r="3" spans="1:23" ht="39.9" customHeight="1" x14ac:dyDescent="0.25">
      <c r="A3" s="57"/>
      <c r="B3" s="62" t="s">
        <v>57</v>
      </c>
      <c r="C3" s="57"/>
      <c r="D3" s="57"/>
      <c r="E3" s="57"/>
      <c r="F3" s="63"/>
      <c r="G3" s="63"/>
      <c r="H3" s="63"/>
      <c r="I3" s="63"/>
      <c r="J3" s="63"/>
    </row>
    <row r="4" spans="1:23" ht="56.25" customHeight="1" x14ac:dyDescent="0.25">
      <c r="A4" s="59"/>
      <c r="B4" s="60" t="s">
        <v>48</v>
      </c>
      <c r="C4" s="59"/>
      <c r="D4" s="59"/>
      <c r="E4" s="59"/>
      <c r="F4" s="6"/>
      <c r="G4" s="6"/>
      <c r="H4" s="6"/>
      <c r="I4" s="6"/>
      <c r="J4" s="6"/>
    </row>
    <row r="5" spans="1:23" ht="173.25" customHeight="1" x14ac:dyDescent="0.25">
      <c r="A5" s="61">
        <v>1</v>
      </c>
      <c r="B5" s="58" t="s">
        <v>17</v>
      </c>
      <c r="C5" s="20">
        <v>1</v>
      </c>
      <c r="D5" s="61" t="s">
        <v>18</v>
      </c>
      <c r="E5" s="61"/>
      <c r="F5" s="6"/>
      <c r="G5" s="6"/>
      <c r="H5" s="6"/>
      <c r="I5" s="6"/>
      <c r="J5" s="6"/>
    </row>
    <row r="6" spans="1:23" ht="39.9" customHeight="1" x14ac:dyDescent="0.25">
      <c r="A6" s="61">
        <v>2</v>
      </c>
      <c r="B6" s="58" t="s">
        <v>19</v>
      </c>
      <c r="C6" s="20">
        <v>1</v>
      </c>
      <c r="D6" s="61" t="s">
        <v>1</v>
      </c>
      <c r="E6" s="61"/>
      <c r="F6" s="6"/>
      <c r="G6" s="6"/>
      <c r="H6" s="6"/>
      <c r="I6" s="6"/>
      <c r="J6" s="6"/>
    </row>
    <row r="7" spans="1:23" ht="74.25" customHeight="1" x14ac:dyDescent="0.25">
      <c r="A7" s="61">
        <v>3</v>
      </c>
      <c r="B7" s="58" t="s">
        <v>20</v>
      </c>
      <c r="C7" s="20">
        <v>1</v>
      </c>
      <c r="D7" s="61" t="s">
        <v>1</v>
      </c>
      <c r="E7" s="61"/>
      <c r="F7" s="6"/>
      <c r="G7" s="6"/>
      <c r="H7" s="6"/>
      <c r="I7" s="6"/>
      <c r="J7" s="6"/>
    </row>
    <row r="8" spans="1:23" ht="39.9" customHeight="1" x14ac:dyDescent="0.25">
      <c r="A8" s="61">
        <v>4</v>
      </c>
      <c r="B8" s="58" t="s">
        <v>21</v>
      </c>
      <c r="C8" s="20">
        <v>4</v>
      </c>
      <c r="D8" s="61" t="s">
        <v>1</v>
      </c>
      <c r="E8" s="61"/>
      <c r="F8" s="6"/>
      <c r="G8" s="6"/>
      <c r="H8" s="6"/>
      <c r="I8" s="6"/>
      <c r="J8" s="6"/>
    </row>
    <row r="9" spans="1:23" ht="39.9" customHeight="1" x14ac:dyDescent="0.25">
      <c r="A9" s="61">
        <v>5</v>
      </c>
      <c r="B9" s="58" t="s">
        <v>22</v>
      </c>
      <c r="C9" s="20">
        <v>1</v>
      </c>
      <c r="D9" s="61" t="s">
        <v>1</v>
      </c>
      <c r="E9" s="61"/>
      <c r="F9" s="6"/>
      <c r="G9" s="6"/>
      <c r="H9" s="6"/>
      <c r="I9" s="6"/>
      <c r="J9" s="6"/>
    </row>
    <row r="10" spans="1:23" ht="39.9" customHeight="1" x14ac:dyDescent="0.25">
      <c r="A10" s="61">
        <v>6</v>
      </c>
      <c r="B10" s="58" t="s">
        <v>23</v>
      </c>
      <c r="C10" s="20">
        <v>1</v>
      </c>
      <c r="D10" s="61" t="s">
        <v>1</v>
      </c>
      <c r="E10" s="61"/>
      <c r="F10" s="6"/>
      <c r="G10" s="6"/>
      <c r="H10" s="6"/>
      <c r="I10" s="6"/>
      <c r="J10" s="6"/>
    </row>
    <row r="11" spans="1:23" ht="39.9" customHeight="1" x14ac:dyDescent="0.25">
      <c r="A11" s="61">
        <v>7</v>
      </c>
      <c r="B11" s="58" t="s">
        <v>24</v>
      </c>
      <c r="C11" s="20">
        <v>1</v>
      </c>
      <c r="D11" s="61" t="s">
        <v>6</v>
      </c>
      <c r="E11" s="61"/>
      <c r="F11" s="6"/>
      <c r="G11" s="6"/>
      <c r="H11" s="6"/>
      <c r="I11" s="6"/>
      <c r="J11" s="6"/>
    </row>
    <row r="12" spans="1:23" ht="57" customHeight="1" x14ac:dyDescent="0.25">
      <c r="A12" s="61">
        <v>8</v>
      </c>
      <c r="B12" s="58" t="s">
        <v>25</v>
      </c>
      <c r="C12" s="20">
        <v>1</v>
      </c>
      <c r="D12" s="61" t="s">
        <v>6</v>
      </c>
      <c r="E12" s="61"/>
      <c r="F12" s="6"/>
      <c r="G12" s="6"/>
      <c r="H12" s="6"/>
      <c r="I12" s="6"/>
      <c r="J12" s="6"/>
    </row>
    <row r="13" spans="1:23" ht="88.5" customHeight="1" x14ac:dyDescent="0.25">
      <c r="A13" s="61"/>
      <c r="B13" s="62" t="s">
        <v>26</v>
      </c>
      <c r="C13" s="20"/>
      <c r="D13" s="61"/>
      <c r="E13" s="61"/>
      <c r="F13" s="6"/>
      <c r="G13" s="6"/>
      <c r="H13" s="6"/>
      <c r="I13" s="6"/>
      <c r="J13" s="6"/>
    </row>
    <row r="14" spans="1:23" ht="39.9" customHeight="1" x14ac:dyDescent="0.25">
      <c r="A14" s="11"/>
      <c r="B14" s="13" t="s">
        <v>67</v>
      </c>
      <c r="C14" s="18"/>
      <c r="D14" s="11"/>
      <c r="E14" s="11"/>
      <c r="F14" s="6"/>
      <c r="G14" s="56"/>
      <c r="H14" s="56"/>
      <c r="I14" s="56"/>
      <c r="J14" s="56"/>
    </row>
    <row r="15" spans="1:23" ht="39.9" customHeight="1" x14ac:dyDescent="0.25">
      <c r="A15" s="11"/>
      <c r="B15" s="13"/>
      <c r="C15" s="18"/>
      <c r="D15" s="11"/>
      <c r="E15" s="11"/>
      <c r="F15" s="6"/>
      <c r="G15" s="56"/>
      <c r="H15" s="56"/>
      <c r="I15" s="56"/>
      <c r="J15" s="56"/>
    </row>
    <row r="16" spans="1:23" s="24" customFormat="1" ht="20.100000000000001" customHeight="1" x14ac:dyDescent="0.3">
      <c r="A16" s="79"/>
      <c r="B16" s="84" t="s">
        <v>58</v>
      </c>
      <c r="C16" s="79"/>
      <c r="D16" s="79"/>
      <c r="E16" s="27"/>
      <c r="F16" s="85"/>
      <c r="G16" s="79"/>
      <c r="H16" s="85"/>
      <c r="I16" s="79"/>
      <c r="J16" s="79"/>
      <c r="K16" s="86"/>
      <c r="L16" s="22"/>
      <c r="M16" s="22"/>
      <c r="N16" s="86"/>
      <c r="O16" s="87"/>
      <c r="P16" s="23"/>
      <c r="Q16" s="22"/>
      <c r="R16" s="22"/>
      <c r="S16" s="22"/>
      <c r="T16" s="86"/>
      <c r="U16" s="87"/>
      <c r="V16" s="23"/>
      <c r="W16" s="86"/>
    </row>
    <row r="17" spans="1:23" s="24" customFormat="1" ht="20.100000000000001" customHeight="1" x14ac:dyDescent="0.3">
      <c r="A17" s="79"/>
      <c r="B17" s="84"/>
      <c r="C17" s="79"/>
      <c r="D17" s="79"/>
      <c r="E17" s="27"/>
      <c r="F17" s="85"/>
      <c r="G17" s="79"/>
      <c r="H17" s="85"/>
      <c r="I17" s="79"/>
      <c r="J17" s="79"/>
      <c r="K17" s="88"/>
      <c r="L17" s="25"/>
      <c r="M17" s="25"/>
      <c r="N17" s="86"/>
      <c r="O17" s="87"/>
      <c r="P17" s="23"/>
      <c r="Q17" s="25"/>
      <c r="R17" s="25"/>
      <c r="S17" s="25"/>
      <c r="T17" s="86"/>
      <c r="U17" s="87"/>
      <c r="V17" s="23"/>
      <c r="W17" s="86"/>
    </row>
    <row r="18" spans="1:23" s="24" customFormat="1" ht="147.75" customHeight="1" x14ac:dyDescent="0.3">
      <c r="A18" s="27"/>
      <c r="B18" s="28" t="s">
        <v>27</v>
      </c>
      <c r="C18" s="29"/>
      <c r="D18" s="29"/>
      <c r="E18" s="29"/>
      <c r="F18" s="30"/>
      <c r="G18" s="30"/>
      <c r="H18" s="30"/>
      <c r="I18" s="30"/>
      <c r="J18" s="30"/>
    </row>
    <row r="19" spans="1:23" s="40" customFormat="1" ht="52.5" customHeight="1" x14ac:dyDescent="0.3">
      <c r="A19" s="33">
        <v>1</v>
      </c>
      <c r="B19" s="68" t="s">
        <v>49</v>
      </c>
      <c r="C19" s="36">
        <v>1</v>
      </c>
      <c r="D19" s="36" t="s">
        <v>1</v>
      </c>
      <c r="E19" s="36"/>
      <c r="F19" s="37"/>
      <c r="G19" s="37"/>
      <c r="H19" s="37"/>
      <c r="I19" s="37"/>
      <c r="J19" s="37"/>
      <c r="K19" s="38"/>
      <c r="L19" s="38"/>
      <c r="M19" s="38"/>
      <c r="N19" s="38"/>
      <c r="O19" s="39"/>
      <c r="P19" s="50"/>
      <c r="Q19" s="38"/>
      <c r="R19" s="38"/>
      <c r="S19" s="38"/>
      <c r="T19" s="38"/>
      <c r="U19" s="39"/>
      <c r="V19" s="50"/>
      <c r="W19" s="39"/>
    </row>
    <row r="20" spans="1:23" s="24" customFormat="1" ht="66.75" customHeight="1" x14ac:dyDescent="0.3">
      <c r="A20" s="27">
        <v>2</v>
      </c>
      <c r="B20" s="28" t="s">
        <v>28</v>
      </c>
      <c r="C20" s="29">
        <v>65</v>
      </c>
      <c r="D20" s="29" t="s">
        <v>1</v>
      </c>
      <c r="E20" s="29"/>
      <c r="F20" s="30"/>
      <c r="G20" s="30"/>
      <c r="H20" s="30"/>
      <c r="I20" s="30"/>
      <c r="J20" s="30"/>
      <c r="K20" s="31"/>
      <c r="L20" s="31"/>
      <c r="M20" s="31"/>
      <c r="N20" s="31"/>
      <c r="O20" s="26"/>
      <c r="P20" s="23"/>
      <c r="Q20" s="31"/>
      <c r="R20" s="31"/>
      <c r="S20" s="31"/>
      <c r="T20" s="31"/>
      <c r="U20" s="26"/>
      <c r="V20" s="23"/>
      <c r="W20" s="26"/>
    </row>
    <row r="21" spans="1:23" s="24" customFormat="1" ht="66.75" customHeight="1" x14ac:dyDescent="0.3">
      <c r="A21" s="33">
        <v>3</v>
      </c>
      <c r="B21" s="28" t="s">
        <v>29</v>
      </c>
      <c r="C21" s="32">
        <v>3</v>
      </c>
      <c r="D21" s="29" t="s">
        <v>1</v>
      </c>
      <c r="E21" s="29"/>
      <c r="F21" s="30"/>
      <c r="G21" s="30"/>
      <c r="H21" s="30"/>
      <c r="I21" s="30"/>
      <c r="J21" s="30"/>
      <c r="K21" s="31"/>
      <c r="L21" s="31"/>
      <c r="M21" s="31"/>
      <c r="N21" s="31"/>
      <c r="O21" s="26"/>
      <c r="P21" s="23"/>
      <c r="Q21" s="31"/>
      <c r="R21" s="31"/>
      <c r="S21" s="31"/>
      <c r="T21" s="31"/>
      <c r="U21" s="26"/>
      <c r="V21" s="23"/>
      <c r="W21" s="26"/>
    </row>
    <row r="22" spans="1:23" s="24" customFormat="1" ht="68.25" customHeight="1" x14ac:dyDescent="0.3">
      <c r="A22" s="27">
        <v>4</v>
      </c>
      <c r="B22" s="28" t="s">
        <v>72</v>
      </c>
      <c r="C22" s="32">
        <v>6</v>
      </c>
      <c r="D22" s="29" t="s">
        <v>1</v>
      </c>
      <c r="E22" s="29"/>
      <c r="F22" s="30"/>
      <c r="G22" s="30"/>
      <c r="H22" s="30"/>
      <c r="I22" s="30"/>
      <c r="J22" s="30"/>
      <c r="K22" s="31"/>
      <c r="L22" s="31"/>
      <c r="M22" s="31"/>
      <c r="N22" s="31"/>
      <c r="O22" s="26"/>
      <c r="P22" s="23"/>
      <c r="Q22" s="31"/>
      <c r="R22" s="31"/>
      <c r="S22" s="31"/>
      <c r="T22" s="31"/>
      <c r="U22" s="26"/>
      <c r="V22" s="23"/>
      <c r="W22" s="26"/>
    </row>
    <row r="23" spans="1:23" s="24" customFormat="1" ht="71.25" customHeight="1" x14ac:dyDescent="0.3">
      <c r="A23" s="33">
        <v>5</v>
      </c>
      <c r="B23" s="28" t="s">
        <v>30</v>
      </c>
      <c r="C23" s="32">
        <v>7</v>
      </c>
      <c r="D23" s="29" t="s">
        <v>1</v>
      </c>
      <c r="E23" s="29"/>
      <c r="F23" s="30"/>
      <c r="G23" s="30"/>
      <c r="H23" s="30"/>
      <c r="I23" s="30"/>
      <c r="J23" s="30"/>
      <c r="K23" s="31"/>
      <c r="L23" s="31"/>
      <c r="M23" s="31"/>
      <c r="N23" s="31"/>
      <c r="O23" s="26"/>
      <c r="P23" s="23"/>
      <c r="Q23" s="31"/>
      <c r="R23" s="31"/>
      <c r="S23" s="31"/>
      <c r="T23" s="31"/>
      <c r="U23" s="26"/>
      <c r="V23" s="23"/>
      <c r="W23" s="26"/>
    </row>
    <row r="24" spans="1:23" s="24" customFormat="1" ht="39.9" customHeight="1" x14ac:dyDescent="0.3">
      <c r="A24" s="27">
        <v>6</v>
      </c>
      <c r="B24" s="28" t="s">
        <v>31</v>
      </c>
      <c r="C24" s="32">
        <v>4</v>
      </c>
      <c r="D24" s="29" t="s">
        <v>1</v>
      </c>
      <c r="E24" s="29"/>
      <c r="F24" s="30"/>
      <c r="G24" s="30"/>
      <c r="H24" s="30"/>
      <c r="I24" s="30"/>
      <c r="J24" s="30"/>
      <c r="K24" s="31"/>
      <c r="L24" s="31"/>
      <c r="M24" s="31"/>
      <c r="N24" s="31"/>
      <c r="O24" s="26"/>
      <c r="P24" s="23"/>
      <c r="Q24" s="31"/>
      <c r="R24" s="31"/>
      <c r="S24" s="31"/>
      <c r="T24" s="31"/>
      <c r="U24" s="26"/>
      <c r="V24" s="23"/>
      <c r="W24" s="26"/>
    </row>
    <row r="25" spans="1:23" s="24" customFormat="1" ht="39.9" customHeight="1" x14ac:dyDescent="0.3">
      <c r="A25" s="27">
        <v>7</v>
      </c>
      <c r="B25" s="74" t="s">
        <v>75</v>
      </c>
      <c r="C25" s="75">
        <v>2</v>
      </c>
      <c r="D25" s="76" t="s">
        <v>1</v>
      </c>
      <c r="E25" s="76"/>
      <c r="F25" s="29"/>
      <c r="G25" s="30"/>
      <c r="H25" s="30"/>
      <c r="I25" s="30"/>
      <c r="J25" s="30"/>
      <c r="K25" s="30"/>
      <c r="L25" s="30"/>
      <c r="M25" s="30"/>
      <c r="N25" s="30"/>
      <c r="O25" s="31"/>
      <c r="P25" s="31"/>
      <c r="Q25" s="31"/>
      <c r="R25" s="31"/>
      <c r="S25" s="26"/>
      <c r="T25" s="23"/>
      <c r="U25" s="26"/>
    </row>
    <row r="26" spans="1:23" s="41" customFormat="1" ht="54" customHeight="1" x14ac:dyDescent="0.25">
      <c r="A26" s="33">
        <v>8</v>
      </c>
      <c r="B26" s="34" t="s">
        <v>32</v>
      </c>
      <c r="C26" s="35">
        <v>1</v>
      </c>
      <c r="D26" s="36" t="s">
        <v>33</v>
      </c>
      <c r="E26" s="36"/>
      <c r="F26" s="37"/>
      <c r="G26" s="37"/>
      <c r="H26" s="37"/>
      <c r="I26" s="37"/>
      <c r="J26" s="37"/>
    </row>
    <row r="27" spans="1:23" s="24" customFormat="1" ht="59.25" customHeight="1" x14ac:dyDescent="0.3">
      <c r="A27" s="27"/>
      <c r="B27" s="42" t="s">
        <v>34</v>
      </c>
      <c r="C27" s="29"/>
      <c r="D27" s="29"/>
      <c r="E27" s="29"/>
      <c r="F27" s="30"/>
      <c r="G27" s="30"/>
      <c r="H27" s="30"/>
      <c r="I27" s="30"/>
      <c r="J27" s="30"/>
    </row>
    <row r="28" spans="1:23" s="24" customFormat="1" ht="39.9" customHeight="1" x14ac:dyDescent="0.3">
      <c r="A28" s="27"/>
      <c r="B28" s="43" t="s">
        <v>68</v>
      </c>
      <c r="C28" s="29"/>
      <c r="D28" s="29"/>
      <c r="E28" s="29"/>
      <c r="F28" s="30"/>
      <c r="G28" s="44"/>
      <c r="H28" s="30"/>
      <c r="I28" s="44"/>
      <c r="J28" s="44"/>
    </row>
    <row r="29" spans="1:23" s="24" customFormat="1" ht="39.9" customHeight="1" x14ac:dyDescent="0.3">
      <c r="A29" s="27"/>
      <c r="B29" s="43"/>
      <c r="C29" s="29"/>
      <c r="D29" s="29"/>
      <c r="E29" s="29"/>
      <c r="F29" s="30"/>
      <c r="G29" s="44"/>
      <c r="H29" s="30"/>
      <c r="I29" s="44"/>
      <c r="J29" s="44"/>
    </row>
    <row r="30" spans="1:23" s="24" customFormat="1" ht="20.100000000000001" customHeight="1" x14ac:dyDescent="0.3">
      <c r="A30" s="79"/>
      <c r="B30" s="84" t="s">
        <v>59</v>
      </c>
      <c r="C30" s="79"/>
      <c r="D30" s="79"/>
      <c r="E30" s="27"/>
      <c r="F30" s="79"/>
      <c r="G30" s="79"/>
      <c r="H30" s="85"/>
      <c r="I30" s="79"/>
      <c r="J30" s="79"/>
      <c r="K30" s="86"/>
      <c r="L30" s="22"/>
      <c r="M30" s="22"/>
      <c r="N30" s="86"/>
      <c r="O30" s="87"/>
      <c r="P30" s="23"/>
      <c r="Q30" s="22"/>
      <c r="R30" s="22"/>
      <c r="S30" s="22"/>
      <c r="T30" s="86"/>
      <c r="U30" s="87"/>
      <c r="V30" s="23"/>
      <c r="W30" s="86"/>
    </row>
    <row r="31" spans="1:23" s="24" customFormat="1" ht="20.100000000000001" customHeight="1" x14ac:dyDescent="0.3">
      <c r="A31" s="79"/>
      <c r="B31" s="84"/>
      <c r="C31" s="79"/>
      <c r="D31" s="79"/>
      <c r="E31" s="27"/>
      <c r="F31" s="79"/>
      <c r="G31" s="79"/>
      <c r="H31" s="85"/>
      <c r="I31" s="79"/>
      <c r="J31" s="79"/>
      <c r="K31" s="88"/>
      <c r="L31" s="25"/>
      <c r="M31" s="25"/>
      <c r="N31" s="86"/>
      <c r="O31" s="87"/>
      <c r="P31" s="23"/>
      <c r="Q31" s="25"/>
      <c r="R31" s="25"/>
      <c r="S31" s="25"/>
      <c r="T31" s="86"/>
      <c r="U31" s="87"/>
      <c r="V31" s="23"/>
      <c r="W31" s="86"/>
    </row>
    <row r="32" spans="1:23" s="24" customFormat="1" ht="135.75" customHeight="1" x14ac:dyDescent="0.3">
      <c r="A32" s="27"/>
      <c r="B32" s="28" t="s">
        <v>35</v>
      </c>
      <c r="C32" s="29"/>
      <c r="D32" s="29"/>
      <c r="E32" s="29"/>
      <c r="F32" s="30"/>
      <c r="G32" s="30"/>
      <c r="H32" s="30"/>
      <c r="I32" s="30"/>
      <c r="J32" s="30"/>
      <c r="O32" s="22"/>
      <c r="P32" s="22"/>
      <c r="Q32" s="26"/>
      <c r="R32" s="22"/>
      <c r="S32" s="22"/>
    </row>
    <row r="33" spans="1:23" s="24" customFormat="1" ht="69.75" customHeight="1" x14ac:dyDescent="0.3">
      <c r="A33" s="27">
        <v>1</v>
      </c>
      <c r="B33" s="21" t="s">
        <v>36</v>
      </c>
      <c r="C33" s="29">
        <v>12</v>
      </c>
      <c r="D33" s="29" t="s">
        <v>1</v>
      </c>
      <c r="E33" s="29"/>
      <c r="F33" s="30"/>
      <c r="G33" s="30"/>
      <c r="H33" s="30"/>
      <c r="I33" s="30"/>
      <c r="J33" s="30"/>
      <c r="K33" s="31"/>
      <c r="L33" s="31"/>
      <c r="M33" s="31"/>
      <c r="N33" s="31"/>
      <c r="O33" s="26"/>
      <c r="P33" s="23"/>
      <c r="Q33" s="31"/>
      <c r="R33" s="31"/>
      <c r="S33" s="31"/>
      <c r="T33" s="31"/>
      <c r="U33" s="26"/>
      <c r="V33" s="23"/>
      <c r="W33" s="26"/>
    </row>
    <row r="34" spans="1:23" s="24" customFormat="1" ht="87" customHeight="1" x14ac:dyDescent="0.3">
      <c r="A34" s="27">
        <v>2</v>
      </c>
      <c r="B34" s="28" t="s">
        <v>37</v>
      </c>
      <c r="C34" s="29">
        <v>1</v>
      </c>
      <c r="D34" s="29" t="s">
        <v>1</v>
      </c>
      <c r="E34" s="29"/>
      <c r="F34" s="30"/>
      <c r="G34" s="30"/>
      <c r="H34" s="30"/>
      <c r="I34" s="30"/>
      <c r="J34" s="30"/>
      <c r="K34" s="31"/>
      <c r="L34" s="31"/>
      <c r="M34" s="31"/>
      <c r="N34" s="31"/>
      <c r="O34" s="26"/>
      <c r="P34" s="23"/>
      <c r="Q34" s="31"/>
      <c r="R34" s="31"/>
      <c r="S34" s="31"/>
      <c r="T34" s="31"/>
      <c r="U34" s="26"/>
      <c r="V34" s="23"/>
      <c r="W34" s="26"/>
    </row>
    <row r="35" spans="1:23" s="19" customFormat="1" ht="39.9" customHeight="1" x14ac:dyDescent="0.3">
      <c r="A35" s="27">
        <v>3</v>
      </c>
      <c r="B35" s="45" t="s">
        <v>38</v>
      </c>
      <c r="C35" s="11">
        <v>1</v>
      </c>
      <c r="D35" s="11" t="s">
        <v>1</v>
      </c>
      <c r="E35" s="11"/>
      <c r="F35" s="18"/>
      <c r="G35" s="18"/>
      <c r="H35" s="18"/>
      <c r="I35" s="18"/>
      <c r="J35" s="18"/>
      <c r="K35" s="46"/>
      <c r="L35" s="46"/>
      <c r="M35" s="46"/>
      <c r="N35" s="46"/>
      <c r="O35" s="47"/>
      <c r="P35" s="48"/>
      <c r="Q35" s="47"/>
    </row>
    <row r="36" spans="1:23" s="40" customFormat="1" ht="51" customHeight="1" x14ac:dyDescent="0.3">
      <c r="A36" s="27">
        <v>4</v>
      </c>
      <c r="B36" s="49" t="s">
        <v>32</v>
      </c>
      <c r="C36" s="37">
        <v>1</v>
      </c>
      <c r="D36" s="36" t="s">
        <v>6</v>
      </c>
      <c r="E36" s="36"/>
      <c r="F36" s="37"/>
      <c r="G36" s="37"/>
      <c r="H36" s="37"/>
      <c r="I36" s="37"/>
      <c r="J36" s="37"/>
      <c r="K36" s="50"/>
      <c r="L36" s="39"/>
    </row>
    <row r="37" spans="1:23" s="24" customFormat="1" ht="136.5" customHeight="1" x14ac:dyDescent="0.3">
      <c r="A37" s="27"/>
      <c r="B37" s="42" t="s">
        <v>42</v>
      </c>
      <c r="C37" s="29"/>
      <c r="D37" s="29"/>
      <c r="E37" s="29"/>
      <c r="F37" s="30"/>
      <c r="G37" s="30"/>
      <c r="H37" s="30"/>
      <c r="I37" s="30"/>
      <c r="J37" s="30"/>
    </row>
    <row r="38" spans="1:23" s="24" customFormat="1" ht="39.9" customHeight="1" x14ac:dyDescent="0.3">
      <c r="A38" s="29"/>
      <c r="B38" s="43" t="s">
        <v>69</v>
      </c>
      <c r="C38" s="53"/>
      <c r="D38" s="29"/>
      <c r="E38" s="29"/>
      <c r="F38" s="44"/>
      <c r="G38" s="44"/>
      <c r="H38" s="44"/>
      <c r="I38" s="44"/>
      <c r="J38" s="44"/>
    </row>
    <row r="39" spans="1:23" s="24" customFormat="1" ht="39.9" customHeight="1" x14ac:dyDescent="0.3">
      <c r="A39" s="29"/>
      <c r="B39" s="43"/>
      <c r="C39" s="53"/>
      <c r="D39" s="29"/>
      <c r="E39" s="29"/>
      <c r="F39" s="44"/>
      <c r="G39" s="44"/>
      <c r="H39" s="44"/>
      <c r="I39" s="44"/>
      <c r="J39" s="44"/>
    </row>
    <row r="40" spans="1:23" s="24" customFormat="1" ht="20.100000000000001" customHeight="1" x14ac:dyDescent="0.3">
      <c r="A40" s="79"/>
      <c r="B40" s="84" t="s">
        <v>60</v>
      </c>
      <c r="C40" s="79"/>
      <c r="D40" s="79"/>
      <c r="E40" s="27"/>
      <c r="F40" s="85"/>
      <c r="G40" s="79"/>
      <c r="H40" s="85"/>
      <c r="I40" s="79"/>
      <c r="J40" s="79"/>
      <c r="K40" s="22"/>
      <c r="L40" s="86"/>
      <c r="M40" s="87"/>
      <c r="N40" s="23"/>
      <c r="O40" s="86"/>
    </row>
    <row r="41" spans="1:23" s="24" customFormat="1" ht="20.100000000000001" customHeight="1" x14ac:dyDescent="0.3">
      <c r="A41" s="79"/>
      <c r="B41" s="84"/>
      <c r="C41" s="79"/>
      <c r="D41" s="79"/>
      <c r="E41" s="27"/>
      <c r="F41" s="85"/>
      <c r="G41" s="79"/>
      <c r="H41" s="85"/>
      <c r="I41" s="79"/>
      <c r="J41" s="79"/>
      <c r="K41" s="25"/>
      <c r="L41" s="86"/>
      <c r="M41" s="87"/>
      <c r="N41" s="23"/>
      <c r="O41" s="86"/>
    </row>
    <row r="42" spans="1:23" s="24" customFormat="1" ht="50.25" customHeight="1" x14ac:dyDescent="0.3">
      <c r="A42" s="27"/>
      <c r="B42" s="28" t="s">
        <v>43</v>
      </c>
      <c r="C42" s="29"/>
      <c r="D42" s="29"/>
      <c r="E42" s="29"/>
      <c r="F42" s="30"/>
      <c r="G42" s="30"/>
      <c r="H42" s="30"/>
      <c r="I42" s="30"/>
      <c r="J42" s="30"/>
    </row>
    <row r="43" spans="1:23" s="24" customFormat="1" ht="71.25" customHeight="1" x14ac:dyDescent="0.3">
      <c r="A43" s="27">
        <v>1</v>
      </c>
      <c r="B43" s="55" t="s">
        <v>45</v>
      </c>
      <c r="C43" s="36">
        <f>21</f>
        <v>21</v>
      </c>
      <c r="D43" s="29" t="s">
        <v>1</v>
      </c>
      <c r="E43" s="29"/>
      <c r="F43" s="30"/>
      <c r="G43" s="30"/>
      <c r="H43" s="30"/>
      <c r="I43" s="30"/>
      <c r="J43" s="30"/>
      <c r="K43" s="31"/>
      <c r="L43" s="31"/>
      <c r="M43" s="26"/>
      <c r="N43" s="23"/>
      <c r="O43" s="26"/>
    </row>
    <row r="44" spans="1:23" s="41" customFormat="1" ht="60.75" customHeight="1" x14ac:dyDescent="0.25">
      <c r="A44" s="33">
        <v>2</v>
      </c>
      <c r="B44" s="34" t="s">
        <v>32</v>
      </c>
      <c r="C44" s="35">
        <v>1</v>
      </c>
      <c r="D44" s="36" t="s">
        <v>33</v>
      </c>
      <c r="E44" s="36"/>
      <c r="F44" s="37"/>
      <c r="G44" s="37"/>
      <c r="H44" s="37"/>
      <c r="I44" s="37"/>
      <c r="J44" s="37"/>
    </row>
    <row r="45" spans="1:23" s="24" customFormat="1" ht="88.5" customHeight="1" x14ac:dyDescent="0.3">
      <c r="A45" s="27"/>
      <c r="B45" s="28" t="s">
        <v>47</v>
      </c>
      <c r="C45" s="29"/>
      <c r="D45" s="29"/>
      <c r="E45" s="29"/>
      <c r="F45" s="30"/>
      <c r="G45" s="30"/>
      <c r="H45" s="30"/>
      <c r="I45" s="30"/>
      <c r="J45" s="30"/>
    </row>
    <row r="46" spans="1:23" s="24" customFormat="1" ht="39.9" customHeight="1" x14ac:dyDescent="0.3">
      <c r="A46" s="27"/>
      <c r="B46" s="43" t="s">
        <v>70</v>
      </c>
      <c r="C46" s="29"/>
      <c r="D46" s="29"/>
      <c r="E46" s="29"/>
      <c r="F46" s="30"/>
      <c r="G46" s="44"/>
      <c r="H46" s="30"/>
      <c r="I46" s="44"/>
      <c r="J46" s="44"/>
    </row>
  </sheetData>
  <mergeCells count="50">
    <mergeCell ref="A40:A41"/>
    <mergeCell ref="B40:B41"/>
    <mergeCell ref="C40:C41"/>
    <mergeCell ref="D40:D41"/>
    <mergeCell ref="F40:F41"/>
    <mergeCell ref="M40:M41"/>
    <mergeCell ref="O40:O41"/>
    <mergeCell ref="L40:L41"/>
    <mergeCell ref="G40:G41"/>
    <mergeCell ref="H40:H41"/>
    <mergeCell ref="I40:I41"/>
    <mergeCell ref="J40:J41"/>
    <mergeCell ref="A30:A31"/>
    <mergeCell ref="B30:B31"/>
    <mergeCell ref="C30:C31"/>
    <mergeCell ref="D30:D31"/>
    <mergeCell ref="F30:F31"/>
    <mergeCell ref="K16:K17"/>
    <mergeCell ref="G16:G17"/>
    <mergeCell ref="H16:H17"/>
    <mergeCell ref="I16:I17"/>
    <mergeCell ref="J16:J17"/>
    <mergeCell ref="N16:N17"/>
    <mergeCell ref="O16:O17"/>
    <mergeCell ref="T16:T17"/>
    <mergeCell ref="U16:U17"/>
    <mergeCell ref="W16:W17"/>
    <mergeCell ref="W30:W31"/>
    <mergeCell ref="K30:K31"/>
    <mergeCell ref="G30:G31"/>
    <mergeCell ref="H30:H31"/>
    <mergeCell ref="I30:I31"/>
    <mergeCell ref="J30:J31"/>
    <mergeCell ref="U30:U31"/>
    <mergeCell ref="N30:N31"/>
    <mergeCell ref="O30:O31"/>
    <mergeCell ref="T30:T31"/>
    <mergeCell ref="J1:J2"/>
    <mergeCell ref="A1:A2"/>
    <mergeCell ref="B1:B2"/>
    <mergeCell ref="C1:C2"/>
    <mergeCell ref="D1:D2"/>
    <mergeCell ref="F1:G1"/>
    <mergeCell ref="H1:I1"/>
    <mergeCell ref="E1:E2"/>
    <mergeCell ref="A16:A17"/>
    <mergeCell ref="B16:B17"/>
    <mergeCell ref="C16:C17"/>
    <mergeCell ref="D16:D17"/>
    <mergeCell ref="F16:F17"/>
  </mergeCells>
  <pageMargins left="0.34" right="0.19" top="0.75" bottom="0.37" header="0.45" footer="0.17"/>
  <pageSetup scale="47" fitToHeight="50" orientation="portrait" r:id="rId1"/>
  <headerFooter>
    <oddHeader>&amp;L&amp;"Century Gothic,Bold"BILL OF QUANTITIES
ELECTRICAL &amp;&amp; ALLIED WORKS&amp;C&amp;"Century Gothic,Bold"&amp;UEY OFFICES
DOLMEN SKY TOWER, KARACHI&amp;R&amp;"Century Gothic,Bold"18TH FLOOR</oddHeader>
    <oddFooter>&amp;L&amp;"Century Gothic,Bold"ElekEn &amp;"Century Gothic,Regular"Associates&amp;C&amp;"Century Gothic,Regular"Page: &amp;P of &amp;N&amp;R&amp;"Century Gothic,Regular"February 20, 2025</oddFooter>
  </headerFooter>
  <rowBreaks count="1" manualBreakCount="1">
    <brk id="2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view="pageBreakPreview" zoomScale="80" zoomScaleNormal="90" zoomScaleSheetLayoutView="80" zoomScalePageLayoutView="70" workbookViewId="0">
      <selection activeCell="B10" sqref="B10"/>
    </sheetView>
  </sheetViews>
  <sheetFormatPr defaultColWidth="9.109375" defaultRowHeight="30" customHeight="1" x14ac:dyDescent="0.25"/>
  <cols>
    <col min="1" max="1" width="7.5546875" style="1" customWidth="1"/>
    <col min="2" max="2" width="66.44140625" style="2" customWidth="1"/>
    <col min="3" max="5" width="18.6640625" style="5" customWidth="1"/>
    <col min="6" max="6" width="12.109375" style="1" customWidth="1"/>
    <col min="7" max="7" width="20.5546875" style="1" customWidth="1"/>
    <col min="8" max="9" width="7.6640625" style="1" customWidth="1"/>
    <col min="10" max="16384" width="9.109375" style="2"/>
  </cols>
  <sheetData>
    <row r="1" spans="1:9" ht="39.9" customHeight="1" x14ac:dyDescent="0.25">
      <c r="A1" s="7" t="s">
        <v>3</v>
      </c>
      <c r="B1" s="8" t="s">
        <v>2</v>
      </c>
      <c r="C1" s="9" t="s">
        <v>8</v>
      </c>
      <c r="D1" s="9" t="s">
        <v>9</v>
      </c>
      <c r="E1" s="9" t="s">
        <v>5</v>
      </c>
    </row>
    <row r="2" spans="1:9" ht="39.9" customHeight="1" x14ac:dyDescent="0.25">
      <c r="A2" s="61">
        <v>1</v>
      </c>
      <c r="B2" s="10" t="s">
        <v>61</v>
      </c>
      <c r="C2" s="64"/>
      <c r="D2" s="64"/>
      <c r="E2" s="6"/>
      <c r="F2" s="3"/>
      <c r="G2" s="12"/>
      <c r="H2" s="2"/>
      <c r="I2" s="2"/>
    </row>
    <row r="3" spans="1:9" ht="39.9" customHeight="1" x14ac:dyDescent="0.25">
      <c r="A3" s="61">
        <v>2</v>
      </c>
      <c r="B3" s="10" t="s">
        <v>62</v>
      </c>
      <c r="C3" s="64"/>
      <c r="D3" s="64"/>
      <c r="E3" s="6"/>
      <c r="F3" s="3"/>
      <c r="G3" s="12"/>
      <c r="H3" s="2"/>
      <c r="I3" s="2"/>
    </row>
    <row r="4" spans="1:9" ht="39.9" customHeight="1" x14ac:dyDescent="0.25">
      <c r="A4" s="57">
        <v>3</v>
      </c>
      <c r="B4" s="10" t="s">
        <v>63</v>
      </c>
      <c r="C4" s="64"/>
      <c r="D4" s="64"/>
      <c r="E4" s="6"/>
      <c r="F4" s="3"/>
      <c r="G4" s="12"/>
      <c r="H4" s="2"/>
      <c r="I4" s="2"/>
    </row>
    <row r="5" spans="1:9" ht="39.9" customHeight="1" x14ac:dyDescent="0.25">
      <c r="A5" s="61">
        <v>4</v>
      </c>
      <c r="B5" s="10" t="s">
        <v>64</v>
      </c>
      <c r="C5" s="64"/>
      <c r="D5" s="64"/>
      <c r="E5" s="6"/>
      <c r="F5" s="3"/>
      <c r="G5" s="12"/>
      <c r="H5" s="2"/>
      <c r="I5" s="2"/>
    </row>
    <row r="6" spans="1:9" ht="39.9" customHeight="1" x14ac:dyDescent="0.25">
      <c r="A6" s="11"/>
      <c r="B6" s="13" t="s">
        <v>7</v>
      </c>
      <c r="C6" s="14"/>
      <c r="D6" s="14"/>
      <c r="E6" s="14"/>
      <c r="F6" s="3"/>
      <c r="G6" s="15"/>
      <c r="H6" s="2"/>
      <c r="I6" s="2"/>
    </row>
  </sheetData>
  <printOptions horizontalCentered="1"/>
  <pageMargins left="0.32" right="0.18" top="1.35" bottom="0.37" header="0.53" footer="0.17"/>
  <pageSetup scale="60" fitToHeight="50" orientation="portrait" r:id="rId1"/>
  <headerFooter>
    <oddHeader>&amp;C&amp;"Century Gothic,Bold"&amp;UEY OFFICE
DOLMEN SKY TOWER, KARACHI
SUMMARY OF ESTIMATED AMOUNT
ELECTRICAL &amp;&amp; ALLIED WORKS
19TH FLOOR</oddHeader>
    <oddFooter>&amp;L&amp;"Century Gothic,Bold"ElekEn &amp;"Century Gothic,Regular"Associates&amp;C&amp;"Century Gothic,Regular"Page: &amp;P of &amp;N&amp;R&amp;"Century Gothic,Regular"February 20, 2025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X49"/>
  <sheetViews>
    <sheetView tabSelected="1" view="pageBreakPreview" zoomScale="80" zoomScaleNormal="90" zoomScaleSheetLayoutView="80" zoomScalePageLayoutView="70" workbookViewId="0">
      <selection activeCell="F5" sqref="F5"/>
    </sheetView>
  </sheetViews>
  <sheetFormatPr defaultColWidth="9.109375" defaultRowHeight="30" customHeight="1" x14ac:dyDescent="0.25"/>
  <cols>
    <col min="1" max="1" width="6.6640625" style="67" customWidth="1"/>
    <col min="2" max="2" width="86.44140625" style="2" customWidth="1"/>
    <col min="3" max="3" width="6.6640625" style="5" customWidth="1"/>
    <col min="4" max="4" width="6.6640625" style="1" customWidth="1"/>
    <col min="5" max="5" width="14.88671875" style="1" customWidth="1"/>
    <col min="6" max="10" width="12.6640625" style="5" customWidth="1"/>
    <col min="11" max="16384" width="9.109375" style="2"/>
  </cols>
  <sheetData>
    <row r="1" spans="1:21" ht="39.9" customHeight="1" x14ac:dyDescent="0.25">
      <c r="A1" s="82" t="s">
        <v>3</v>
      </c>
      <c r="B1" s="78" t="s">
        <v>2</v>
      </c>
      <c r="C1" s="83" t="s">
        <v>12</v>
      </c>
      <c r="D1" s="78" t="s">
        <v>0</v>
      </c>
      <c r="E1" s="78" t="s">
        <v>55</v>
      </c>
      <c r="F1" s="81" t="s">
        <v>10</v>
      </c>
      <c r="G1" s="81"/>
      <c r="H1" s="81" t="s">
        <v>11</v>
      </c>
      <c r="I1" s="81"/>
      <c r="J1" s="80" t="s">
        <v>5</v>
      </c>
    </row>
    <row r="2" spans="1:21" ht="39.9" customHeight="1" x14ac:dyDescent="0.25">
      <c r="A2" s="82"/>
      <c r="B2" s="78"/>
      <c r="C2" s="83"/>
      <c r="D2" s="78"/>
      <c r="E2" s="78"/>
      <c r="F2" s="9" t="s">
        <v>4</v>
      </c>
      <c r="G2" s="9" t="s">
        <v>5</v>
      </c>
      <c r="H2" s="9" t="s">
        <v>4</v>
      </c>
      <c r="I2" s="9" t="s">
        <v>5</v>
      </c>
      <c r="J2" s="80"/>
    </row>
    <row r="3" spans="1:21" ht="39.9" customHeight="1" x14ac:dyDescent="0.25">
      <c r="A3" s="57"/>
      <c r="B3" s="62" t="s">
        <v>57</v>
      </c>
      <c r="C3" s="57"/>
      <c r="D3" s="57"/>
      <c r="E3" s="57"/>
      <c r="F3" s="63"/>
      <c r="G3" s="63"/>
      <c r="H3" s="63"/>
      <c r="I3" s="63"/>
      <c r="J3" s="63"/>
    </row>
    <row r="4" spans="1:21" ht="56.25" customHeight="1" x14ac:dyDescent="0.25">
      <c r="A4" s="59"/>
      <c r="B4" s="60" t="s">
        <v>48</v>
      </c>
      <c r="C4" s="59"/>
      <c r="D4" s="59"/>
      <c r="E4" s="59"/>
      <c r="F4" s="6"/>
      <c r="G4" s="6"/>
      <c r="H4" s="6"/>
      <c r="I4" s="6"/>
      <c r="J4" s="6"/>
    </row>
    <row r="5" spans="1:21" ht="173.25" customHeight="1" x14ac:dyDescent="0.25">
      <c r="A5" s="61">
        <v>1</v>
      </c>
      <c r="B5" s="58" t="s">
        <v>17</v>
      </c>
      <c r="C5" s="20">
        <v>1</v>
      </c>
      <c r="D5" s="61" t="s">
        <v>18</v>
      </c>
      <c r="E5" s="61"/>
      <c r="F5" s="6"/>
      <c r="G5" s="6"/>
      <c r="H5" s="6"/>
      <c r="I5" s="6"/>
      <c r="J5" s="6"/>
    </row>
    <row r="6" spans="1:21" ht="39.9" customHeight="1" x14ac:dyDescent="0.25">
      <c r="A6" s="61">
        <v>2</v>
      </c>
      <c r="B6" s="58" t="s">
        <v>19</v>
      </c>
      <c r="C6" s="20">
        <v>1</v>
      </c>
      <c r="D6" s="61" t="s">
        <v>1</v>
      </c>
      <c r="E6" s="61"/>
      <c r="F6" s="6"/>
      <c r="G6" s="6"/>
      <c r="H6" s="6"/>
      <c r="I6" s="6"/>
      <c r="J6" s="6"/>
    </row>
    <row r="7" spans="1:21" ht="74.25" customHeight="1" x14ac:dyDescent="0.25">
      <c r="A7" s="61">
        <v>3</v>
      </c>
      <c r="B7" s="58" t="s">
        <v>20</v>
      </c>
      <c r="C7" s="20">
        <v>1</v>
      </c>
      <c r="D7" s="61" t="s">
        <v>1</v>
      </c>
      <c r="E7" s="61"/>
      <c r="F7" s="6"/>
      <c r="G7" s="6"/>
      <c r="H7" s="6"/>
      <c r="I7" s="6"/>
      <c r="J7" s="6"/>
    </row>
    <row r="8" spans="1:21" ht="39.9" customHeight="1" x14ac:dyDescent="0.25">
      <c r="A8" s="61">
        <v>4</v>
      </c>
      <c r="B8" s="58" t="s">
        <v>21</v>
      </c>
      <c r="C8" s="20">
        <v>4</v>
      </c>
      <c r="D8" s="61" t="s">
        <v>1</v>
      </c>
      <c r="E8" s="61"/>
      <c r="F8" s="6"/>
      <c r="G8" s="6"/>
      <c r="H8" s="6"/>
      <c r="I8" s="6"/>
      <c r="J8" s="6"/>
    </row>
    <row r="9" spans="1:21" ht="39.9" customHeight="1" x14ac:dyDescent="0.25">
      <c r="A9" s="61">
        <v>5</v>
      </c>
      <c r="B9" s="58" t="s">
        <v>22</v>
      </c>
      <c r="C9" s="20">
        <v>1</v>
      </c>
      <c r="D9" s="61" t="s">
        <v>1</v>
      </c>
      <c r="E9" s="61"/>
      <c r="F9" s="6"/>
      <c r="G9" s="6"/>
      <c r="H9" s="6"/>
      <c r="I9" s="6"/>
      <c r="J9" s="6"/>
    </row>
    <row r="10" spans="1:21" ht="39.9" customHeight="1" x14ac:dyDescent="0.25">
      <c r="A10" s="61">
        <v>6</v>
      </c>
      <c r="B10" s="58" t="s">
        <v>23</v>
      </c>
      <c r="C10" s="20">
        <v>1</v>
      </c>
      <c r="D10" s="61" t="s">
        <v>1</v>
      </c>
      <c r="E10" s="61"/>
      <c r="F10" s="6"/>
      <c r="G10" s="6"/>
      <c r="H10" s="6"/>
      <c r="I10" s="6"/>
      <c r="J10" s="6"/>
    </row>
    <row r="11" spans="1:21" ht="39.9" customHeight="1" x14ac:dyDescent="0.25">
      <c r="A11" s="61">
        <v>7</v>
      </c>
      <c r="B11" s="58" t="s">
        <v>24</v>
      </c>
      <c r="C11" s="20">
        <v>1</v>
      </c>
      <c r="D11" s="61" t="s">
        <v>6</v>
      </c>
      <c r="E11" s="61"/>
      <c r="F11" s="6"/>
      <c r="G11" s="6"/>
      <c r="H11" s="6"/>
      <c r="I11" s="6"/>
      <c r="J11" s="6"/>
    </row>
    <row r="12" spans="1:21" ht="57" customHeight="1" x14ac:dyDescent="0.25">
      <c r="A12" s="61">
        <v>8</v>
      </c>
      <c r="B12" s="58" t="s">
        <v>25</v>
      </c>
      <c r="C12" s="20">
        <v>1</v>
      </c>
      <c r="D12" s="61" t="s">
        <v>6</v>
      </c>
      <c r="E12" s="61"/>
      <c r="F12" s="6"/>
      <c r="G12" s="6"/>
      <c r="H12" s="6"/>
      <c r="I12" s="6"/>
      <c r="J12" s="6"/>
    </row>
    <row r="13" spans="1:21" ht="88.5" customHeight="1" x14ac:dyDescent="0.25">
      <c r="A13" s="61"/>
      <c r="B13" s="62" t="s">
        <v>26</v>
      </c>
      <c r="C13" s="20"/>
      <c r="D13" s="61"/>
      <c r="E13" s="61"/>
      <c r="F13" s="6"/>
      <c r="G13" s="6"/>
      <c r="H13" s="6"/>
      <c r="I13" s="6"/>
      <c r="J13" s="6"/>
    </row>
    <row r="14" spans="1:21" ht="39.9" customHeight="1" x14ac:dyDescent="0.25">
      <c r="A14" s="11"/>
      <c r="B14" s="13" t="s">
        <v>67</v>
      </c>
      <c r="C14" s="18"/>
      <c r="D14" s="11"/>
      <c r="E14" s="11"/>
      <c r="F14" s="6"/>
      <c r="G14" s="56"/>
      <c r="H14" s="56"/>
      <c r="I14" s="56"/>
      <c r="J14" s="56"/>
    </row>
    <row r="15" spans="1:21" ht="39.9" customHeight="1" x14ac:dyDescent="0.25">
      <c r="A15" s="11"/>
      <c r="B15" s="13"/>
      <c r="C15" s="18"/>
      <c r="D15" s="11"/>
      <c r="E15" s="11"/>
      <c r="F15" s="6"/>
      <c r="G15" s="56"/>
      <c r="H15" s="56"/>
      <c r="I15" s="56"/>
      <c r="J15" s="56"/>
    </row>
    <row r="16" spans="1:21" s="24" customFormat="1" ht="20.100000000000001" customHeight="1" x14ac:dyDescent="0.3">
      <c r="A16" s="79"/>
      <c r="B16" s="84" t="s">
        <v>58</v>
      </c>
      <c r="C16" s="79"/>
      <c r="D16" s="79"/>
      <c r="E16" s="27"/>
      <c r="F16" s="85"/>
      <c r="G16" s="79"/>
      <c r="H16" s="85"/>
      <c r="I16" s="79"/>
      <c r="J16" s="79"/>
      <c r="K16" s="22"/>
      <c r="L16" s="86"/>
      <c r="M16" s="87"/>
      <c r="N16" s="23"/>
      <c r="O16" s="22"/>
      <c r="P16" s="22"/>
      <c r="Q16" s="22"/>
      <c r="R16" s="86"/>
      <c r="S16" s="87"/>
      <c r="T16" s="23"/>
      <c r="U16" s="86"/>
    </row>
    <row r="17" spans="1:21" s="24" customFormat="1" ht="20.100000000000001" customHeight="1" x14ac:dyDescent="0.3">
      <c r="A17" s="79"/>
      <c r="B17" s="84"/>
      <c r="C17" s="79"/>
      <c r="D17" s="79"/>
      <c r="E17" s="27"/>
      <c r="F17" s="85"/>
      <c r="G17" s="79"/>
      <c r="H17" s="85"/>
      <c r="I17" s="79"/>
      <c r="J17" s="79"/>
      <c r="K17" s="25"/>
      <c r="L17" s="86"/>
      <c r="M17" s="87"/>
      <c r="N17" s="23"/>
      <c r="O17" s="25"/>
      <c r="P17" s="25"/>
      <c r="Q17" s="25"/>
      <c r="R17" s="86"/>
      <c r="S17" s="87"/>
      <c r="T17" s="23"/>
      <c r="U17" s="86"/>
    </row>
    <row r="18" spans="1:21" s="24" customFormat="1" ht="147.75" customHeight="1" x14ac:dyDescent="0.3">
      <c r="A18" s="27"/>
      <c r="B18" s="28" t="s">
        <v>27</v>
      </c>
      <c r="C18" s="29"/>
      <c r="D18" s="29"/>
      <c r="E18" s="29"/>
      <c r="F18" s="30"/>
      <c r="G18" s="30"/>
      <c r="H18" s="30"/>
      <c r="I18" s="30"/>
      <c r="J18" s="30"/>
    </row>
    <row r="19" spans="1:21" s="40" customFormat="1" ht="52.5" customHeight="1" x14ac:dyDescent="0.3">
      <c r="A19" s="33">
        <v>1</v>
      </c>
      <c r="B19" s="68" t="s">
        <v>71</v>
      </c>
      <c r="C19" s="36">
        <v>1</v>
      </c>
      <c r="D19" s="36" t="s">
        <v>1</v>
      </c>
      <c r="E19" s="36"/>
      <c r="F19" s="37"/>
      <c r="G19" s="37"/>
      <c r="H19" s="37"/>
      <c r="I19" s="37"/>
      <c r="J19" s="37"/>
      <c r="K19" s="38"/>
      <c r="L19" s="38"/>
      <c r="M19" s="39"/>
      <c r="N19" s="50"/>
      <c r="O19" s="38"/>
      <c r="P19" s="38"/>
      <c r="Q19" s="38"/>
      <c r="R19" s="38"/>
      <c r="S19" s="39"/>
      <c r="T19" s="50"/>
      <c r="U19" s="39"/>
    </row>
    <row r="20" spans="1:21" s="40" customFormat="1" ht="52.5" customHeight="1" x14ac:dyDescent="0.3">
      <c r="A20" s="33">
        <v>2</v>
      </c>
      <c r="B20" s="68" t="s">
        <v>49</v>
      </c>
      <c r="C20" s="36">
        <v>1</v>
      </c>
      <c r="D20" s="36" t="s">
        <v>1</v>
      </c>
      <c r="E20" s="29"/>
      <c r="F20" s="37"/>
      <c r="G20" s="37"/>
      <c r="H20" s="37"/>
      <c r="I20" s="37"/>
      <c r="J20" s="37"/>
      <c r="K20" s="38"/>
      <c r="L20" s="38"/>
      <c r="M20" s="39"/>
      <c r="N20" s="50"/>
      <c r="O20" s="38"/>
      <c r="P20" s="38"/>
      <c r="Q20" s="38"/>
      <c r="R20" s="38"/>
      <c r="S20" s="39"/>
      <c r="T20" s="50"/>
      <c r="U20" s="39"/>
    </row>
    <row r="21" spans="1:21" s="24" customFormat="1" ht="66.75" customHeight="1" x14ac:dyDescent="0.3">
      <c r="A21" s="33">
        <v>3</v>
      </c>
      <c r="B21" s="28" t="s">
        <v>28</v>
      </c>
      <c r="C21" s="29">
        <v>59</v>
      </c>
      <c r="D21" s="29" t="s">
        <v>1</v>
      </c>
      <c r="E21" s="29"/>
      <c r="F21" s="30"/>
      <c r="G21" s="30"/>
      <c r="H21" s="30"/>
      <c r="I21" s="30"/>
      <c r="J21" s="30"/>
      <c r="K21" s="31"/>
      <c r="L21" s="31"/>
      <c r="M21" s="26"/>
      <c r="N21" s="23"/>
      <c r="O21" s="31"/>
      <c r="P21" s="31"/>
      <c r="Q21" s="31"/>
      <c r="R21" s="31"/>
      <c r="S21" s="26"/>
      <c r="T21" s="23"/>
      <c r="U21" s="26"/>
    </row>
    <row r="22" spans="1:21" s="24" customFormat="1" ht="66.75" customHeight="1" x14ac:dyDescent="0.3">
      <c r="A22" s="33">
        <v>4</v>
      </c>
      <c r="B22" s="28" t="s">
        <v>29</v>
      </c>
      <c r="C22" s="32">
        <v>1</v>
      </c>
      <c r="D22" s="29" t="s">
        <v>1</v>
      </c>
      <c r="E22" s="29"/>
      <c r="F22" s="30"/>
      <c r="G22" s="30"/>
      <c r="H22" s="30"/>
      <c r="I22" s="30"/>
      <c r="J22" s="30"/>
      <c r="K22" s="31"/>
      <c r="L22" s="31"/>
      <c r="M22" s="26"/>
      <c r="N22" s="23"/>
      <c r="O22" s="31"/>
      <c r="P22" s="31"/>
      <c r="Q22" s="31"/>
      <c r="R22" s="31"/>
      <c r="S22" s="26"/>
      <c r="T22" s="23"/>
      <c r="U22" s="26"/>
    </row>
    <row r="23" spans="1:21" s="24" customFormat="1" ht="68.25" customHeight="1" x14ac:dyDescent="0.3">
      <c r="A23" s="33">
        <v>5</v>
      </c>
      <c r="B23" s="28" t="s">
        <v>72</v>
      </c>
      <c r="C23" s="32">
        <v>8</v>
      </c>
      <c r="D23" s="29" t="s">
        <v>1</v>
      </c>
      <c r="E23" s="29"/>
      <c r="F23" s="30"/>
      <c r="G23" s="30"/>
      <c r="H23" s="30"/>
      <c r="I23" s="30"/>
      <c r="J23" s="30"/>
      <c r="K23" s="31"/>
      <c r="L23" s="31"/>
      <c r="M23" s="26"/>
      <c r="N23" s="23"/>
      <c r="O23" s="31"/>
      <c r="P23" s="31"/>
      <c r="Q23" s="31"/>
      <c r="R23" s="31"/>
      <c r="S23" s="26"/>
      <c r="T23" s="23"/>
      <c r="U23" s="26"/>
    </row>
    <row r="24" spans="1:21" s="24" customFormat="1" ht="71.25" customHeight="1" x14ac:dyDescent="0.3">
      <c r="A24" s="33">
        <v>6</v>
      </c>
      <c r="B24" s="28" t="s">
        <v>30</v>
      </c>
      <c r="C24" s="32">
        <v>9</v>
      </c>
      <c r="D24" s="29" t="s">
        <v>1</v>
      </c>
      <c r="E24" s="29"/>
      <c r="F24" s="30"/>
      <c r="G24" s="30"/>
      <c r="H24" s="30"/>
      <c r="I24" s="30"/>
      <c r="J24" s="30"/>
      <c r="K24" s="31"/>
      <c r="L24" s="31"/>
      <c r="M24" s="26"/>
      <c r="N24" s="23"/>
      <c r="O24" s="31"/>
      <c r="P24" s="31"/>
      <c r="Q24" s="31"/>
      <c r="R24" s="31"/>
      <c r="S24" s="26"/>
      <c r="T24" s="23"/>
      <c r="U24" s="26"/>
    </row>
    <row r="25" spans="1:21" s="24" customFormat="1" ht="39.9" customHeight="1" x14ac:dyDescent="0.3">
      <c r="A25" s="33">
        <v>7</v>
      </c>
      <c r="B25" s="28" t="s">
        <v>31</v>
      </c>
      <c r="C25" s="32">
        <v>4</v>
      </c>
      <c r="D25" s="29" t="s">
        <v>1</v>
      </c>
      <c r="E25" s="76"/>
      <c r="F25" s="30"/>
      <c r="G25" s="30"/>
      <c r="H25" s="30"/>
      <c r="I25" s="30"/>
      <c r="J25" s="30"/>
      <c r="K25" s="31"/>
      <c r="L25" s="31"/>
      <c r="M25" s="26"/>
      <c r="N25" s="23"/>
      <c r="O25" s="31"/>
      <c r="P25" s="31"/>
      <c r="Q25" s="31"/>
      <c r="R25" s="31"/>
      <c r="S25" s="26"/>
      <c r="T25" s="23"/>
      <c r="U25" s="26"/>
    </row>
    <row r="26" spans="1:21" s="24" customFormat="1" ht="39.9" customHeight="1" x14ac:dyDescent="0.3">
      <c r="A26" s="27">
        <v>8</v>
      </c>
      <c r="B26" s="74" t="s">
        <v>75</v>
      </c>
      <c r="C26" s="75">
        <v>2</v>
      </c>
      <c r="D26" s="76" t="s">
        <v>1</v>
      </c>
      <c r="E26" s="36"/>
      <c r="F26" s="29"/>
      <c r="G26" s="30"/>
      <c r="H26" s="30"/>
      <c r="I26" s="30"/>
      <c r="J26" s="30"/>
      <c r="K26" s="30"/>
      <c r="L26" s="30"/>
      <c r="M26" s="30"/>
      <c r="N26" s="30"/>
      <c r="O26" s="31"/>
      <c r="P26" s="31"/>
      <c r="Q26" s="31"/>
      <c r="R26" s="31"/>
      <c r="S26" s="26"/>
      <c r="T26" s="23"/>
      <c r="U26" s="26"/>
    </row>
    <row r="27" spans="1:21" s="41" customFormat="1" ht="54" customHeight="1" x14ac:dyDescent="0.25">
      <c r="A27" s="33">
        <v>9</v>
      </c>
      <c r="B27" s="34" t="s">
        <v>32</v>
      </c>
      <c r="C27" s="35">
        <v>1</v>
      </c>
      <c r="D27" s="36" t="s">
        <v>33</v>
      </c>
      <c r="E27" s="29"/>
      <c r="F27" s="37"/>
      <c r="G27" s="37"/>
      <c r="H27" s="37"/>
      <c r="I27" s="37"/>
      <c r="J27" s="37"/>
    </row>
    <row r="28" spans="1:21" s="24" customFormat="1" ht="59.25" customHeight="1" x14ac:dyDescent="0.3">
      <c r="A28" s="27"/>
      <c r="B28" s="42" t="s">
        <v>34</v>
      </c>
      <c r="C28" s="29"/>
      <c r="D28" s="29"/>
      <c r="E28" s="29"/>
      <c r="F28" s="30"/>
      <c r="G28" s="30"/>
      <c r="H28" s="30"/>
      <c r="I28" s="30"/>
      <c r="J28" s="30"/>
    </row>
    <row r="29" spans="1:21" s="24" customFormat="1" ht="39.9" customHeight="1" x14ac:dyDescent="0.3">
      <c r="A29" s="27"/>
      <c r="B29" s="43" t="s">
        <v>68</v>
      </c>
      <c r="C29" s="29"/>
      <c r="D29" s="29"/>
      <c r="E29" s="29"/>
      <c r="F29" s="30"/>
      <c r="G29" s="44"/>
      <c r="H29" s="30"/>
      <c r="I29" s="44"/>
      <c r="J29" s="44"/>
    </row>
    <row r="30" spans="1:21" s="24" customFormat="1" ht="39.9" customHeight="1" x14ac:dyDescent="0.3">
      <c r="A30" s="27"/>
      <c r="B30" s="43"/>
      <c r="C30" s="29"/>
      <c r="D30" s="29"/>
      <c r="E30" s="27"/>
      <c r="F30" s="30"/>
      <c r="G30" s="44"/>
      <c r="H30" s="30"/>
      <c r="I30" s="44"/>
      <c r="J30" s="44"/>
    </row>
    <row r="31" spans="1:21" s="24" customFormat="1" ht="20.100000000000001" customHeight="1" x14ac:dyDescent="0.3">
      <c r="A31" s="79"/>
      <c r="B31" s="84" t="s">
        <v>59</v>
      </c>
      <c r="C31" s="79"/>
      <c r="D31" s="79"/>
      <c r="E31" s="27"/>
      <c r="F31" s="79"/>
      <c r="G31" s="79"/>
      <c r="H31" s="85"/>
      <c r="I31" s="79"/>
      <c r="J31" s="79"/>
      <c r="K31" s="22"/>
      <c r="L31" s="86"/>
      <c r="M31" s="87"/>
      <c r="N31" s="23"/>
      <c r="O31" s="22"/>
      <c r="P31" s="22"/>
      <c r="Q31" s="22"/>
      <c r="R31" s="86"/>
      <c r="S31" s="87"/>
      <c r="T31" s="23"/>
      <c r="U31" s="86"/>
    </row>
    <row r="32" spans="1:21" s="24" customFormat="1" ht="20.100000000000001" customHeight="1" x14ac:dyDescent="0.3">
      <c r="A32" s="79"/>
      <c r="B32" s="84"/>
      <c r="C32" s="79"/>
      <c r="D32" s="79"/>
      <c r="E32" s="29"/>
      <c r="F32" s="79"/>
      <c r="G32" s="79"/>
      <c r="H32" s="85"/>
      <c r="I32" s="79"/>
      <c r="J32" s="79"/>
      <c r="K32" s="25"/>
      <c r="L32" s="86"/>
      <c r="M32" s="87"/>
      <c r="N32" s="23"/>
      <c r="O32" s="25"/>
      <c r="P32" s="25"/>
      <c r="Q32" s="25"/>
      <c r="R32" s="86"/>
      <c r="S32" s="87"/>
      <c r="T32" s="23"/>
      <c r="U32" s="86"/>
    </row>
    <row r="33" spans="1:206" s="24" customFormat="1" ht="135.75" customHeight="1" x14ac:dyDescent="0.3">
      <c r="A33" s="27"/>
      <c r="B33" s="28" t="s">
        <v>35</v>
      </c>
      <c r="C33" s="29"/>
      <c r="D33" s="29"/>
      <c r="E33" s="29"/>
      <c r="F33" s="30"/>
      <c r="G33" s="30"/>
      <c r="H33" s="30"/>
      <c r="I33" s="30"/>
      <c r="J33" s="30"/>
      <c r="M33" s="22"/>
      <c r="N33" s="22"/>
      <c r="O33" s="26"/>
      <c r="P33" s="22"/>
      <c r="Q33" s="22"/>
    </row>
    <row r="34" spans="1:206" s="24" customFormat="1" ht="69.75" customHeight="1" x14ac:dyDescent="0.3">
      <c r="A34" s="27">
        <v>1</v>
      </c>
      <c r="B34" s="21" t="s">
        <v>36</v>
      </c>
      <c r="C34" s="29">
        <v>12</v>
      </c>
      <c r="D34" s="29" t="s">
        <v>1</v>
      </c>
      <c r="E34" s="29"/>
      <c r="F34" s="30"/>
      <c r="G34" s="30"/>
      <c r="H34" s="30"/>
      <c r="I34" s="30"/>
      <c r="J34" s="30"/>
      <c r="K34" s="31"/>
      <c r="L34" s="31"/>
      <c r="M34" s="26"/>
      <c r="N34" s="23"/>
      <c r="O34" s="31"/>
      <c r="P34" s="31"/>
      <c r="Q34" s="31"/>
      <c r="R34" s="31"/>
      <c r="S34" s="26"/>
      <c r="T34" s="23"/>
      <c r="U34" s="26"/>
    </row>
    <row r="35" spans="1:206" s="24" customFormat="1" ht="87" customHeight="1" x14ac:dyDescent="0.3">
      <c r="A35" s="27">
        <v>2</v>
      </c>
      <c r="B35" s="28" t="s">
        <v>37</v>
      </c>
      <c r="C35" s="29">
        <v>1</v>
      </c>
      <c r="D35" s="29" t="s">
        <v>1</v>
      </c>
      <c r="E35" s="11"/>
      <c r="F35" s="30"/>
      <c r="G35" s="30"/>
      <c r="H35" s="30"/>
      <c r="I35" s="30"/>
      <c r="J35" s="30"/>
      <c r="K35" s="31"/>
      <c r="L35" s="31"/>
      <c r="M35" s="26"/>
      <c r="N35" s="23"/>
      <c r="O35" s="31"/>
      <c r="P35" s="31"/>
      <c r="Q35" s="31"/>
      <c r="R35" s="31"/>
      <c r="S35" s="26"/>
      <c r="T35" s="23"/>
      <c r="U35" s="26"/>
    </row>
    <row r="36" spans="1:206" s="19" customFormat="1" ht="39.9" customHeight="1" x14ac:dyDescent="0.3">
      <c r="A36" s="27">
        <v>3</v>
      </c>
      <c r="B36" s="45" t="s">
        <v>38</v>
      </c>
      <c r="C36" s="11">
        <v>1</v>
      </c>
      <c r="D36" s="11" t="s">
        <v>1</v>
      </c>
      <c r="E36" s="36"/>
      <c r="F36" s="18"/>
      <c r="G36" s="18"/>
      <c r="H36" s="18"/>
      <c r="I36" s="18"/>
      <c r="J36" s="18"/>
      <c r="K36" s="46"/>
      <c r="L36" s="46"/>
      <c r="M36" s="47"/>
      <c r="N36" s="48"/>
      <c r="O36" s="47"/>
    </row>
    <row r="37" spans="1:206" s="40" customFormat="1" ht="51" customHeight="1" x14ac:dyDescent="0.3">
      <c r="A37" s="27">
        <v>4</v>
      </c>
      <c r="B37" s="49" t="s">
        <v>32</v>
      </c>
      <c r="C37" s="37">
        <v>1</v>
      </c>
      <c r="D37" s="36" t="s">
        <v>6</v>
      </c>
      <c r="E37" s="29"/>
      <c r="F37" s="37"/>
      <c r="G37" s="37"/>
      <c r="H37" s="37"/>
      <c r="I37" s="37"/>
      <c r="J37" s="37"/>
    </row>
    <row r="38" spans="1:206" s="40" customFormat="1" ht="88.5" customHeight="1" x14ac:dyDescent="0.3">
      <c r="A38" s="27">
        <v>5</v>
      </c>
      <c r="B38" s="51" t="s">
        <v>41</v>
      </c>
      <c r="C38" s="37">
        <v>1</v>
      </c>
      <c r="D38" s="37" t="s">
        <v>6</v>
      </c>
      <c r="E38" s="29"/>
      <c r="F38" s="37"/>
      <c r="G38" s="37"/>
      <c r="H38" s="37"/>
      <c r="I38" s="37"/>
      <c r="J38" s="37"/>
      <c r="L38" s="52"/>
      <c r="M38" s="50"/>
      <c r="N38" s="50"/>
      <c r="O38" s="50"/>
      <c r="P38" s="52"/>
      <c r="Q38" s="50"/>
      <c r="R38" s="50"/>
      <c r="S38" s="50"/>
      <c r="T38" s="52"/>
      <c r="U38" s="50"/>
      <c r="V38" s="50"/>
      <c r="W38" s="50"/>
      <c r="X38" s="52"/>
      <c r="Y38" s="50"/>
      <c r="Z38" s="50"/>
      <c r="AA38" s="50"/>
      <c r="AB38" s="52"/>
      <c r="AC38" s="50"/>
      <c r="AD38" s="50"/>
      <c r="AE38" s="50"/>
      <c r="AF38" s="52"/>
      <c r="AG38" s="50"/>
      <c r="AH38" s="50"/>
      <c r="AI38" s="50"/>
      <c r="AJ38" s="52"/>
      <c r="AK38" s="50"/>
      <c r="AL38" s="50"/>
      <c r="AM38" s="50"/>
      <c r="AN38" s="52"/>
      <c r="AO38" s="50"/>
      <c r="AP38" s="50"/>
      <c r="AQ38" s="50"/>
      <c r="AR38" s="52"/>
      <c r="AS38" s="50"/>
      <c r="AT38" s="50"/>
      <c r="AU38" s="50"/>
      <c r="AV38" s="52"/>
      <c r="AW38" s="50"/>
      <c r="AX38" s="50"/>
      <c r="AY38" s="50"/>
      <c r="AZ38" s="52"/>
      <c r="BA38" s="50"/>
      <c r="BB38" s="50"/>
      <c r="BC38" s="50"/>
      <c r="BD38" s="52"/>
      <c r="BE38" s="50"/>
      <c r="BF38" s="50"/>
      <c r="BG38" s="50"/>
      <c r="BH38" s="52"/>
      <c r="BI38" s="50"/>
      <c r="BJ38" s="50"/>
      <c r="BK38" s="50"/>
      <c r="BL38" s="52"/>
      <c r="BM38" s="50"/>
      <c r="BN38" s="50"/>
      <c r="BO38" s="50"/>
      <c r="BP38" s="52"/>
      <c r="BQ38" s="50"/>
      <c r="BR38" s="50"/>
      <c r="BS38" s="50"/>
      <c r="BT38" s="52"/>
      <c r="BU38" s="50"/>
      <c r="BV38" s="50"/>
      <c r="BW38" s="50"/>
      <c r="BX38" s="52"/>
      <c r="BY38" s="50"/>
      <c r="BZ38" s="50"/>
      <c r="CA38" s="50"/>
      <c r="CB38" s="52"/>
      <c r="CC38" s="50"/>
      <c r="CD38" s="50"/>
      <c r="CE38" s="50"/>
      <c r="CF38" s="52"/>
      <c r="CG38" s="50"/>
      <c r="CH38" s="50"/>
      <c r="CI38" s="50"/>
      <c r="CJ38" s="52"/>
      <c r="CK38" s="50"/>
      <c r="CL38" s="50"/>
      <c r="CM38" s="50"/>
      <c r="CN38" s="52"/>
      <c r="CO38" s="50"/>
      <c r="CP38" s="50"/>
      <c r="CQ38" s="50"/>
      <c r="CR38" s="52"/>
      <c r="CS38" s="50"/>
      <c r="CT38" s="50"/>
      <c r="CU38" s="50"/>
      <c r="CV38" s="52"/>
      <c r="CW38" s="50"/>
      <c r="CX38" s="50"/>
      <c r="CY38" s="50"/>
      <c r="CZ38" s="52"/>
      <c r="DA38" s="50"/>
      <c r="DB38" s="50"/>
      <c r="DC38" s="50"/>
      <c r="DD38" s="52"/>
      <c r="DE38" s="50"/>
      <c r="DF38" s="50"/>
      <c r="DG38" s="50"/>
      <c r="DH38" s="52"/>
      <c r="DI38" s="50"/>
      <c r="DJ38" s="50"/>
      <c r="DK38" s="50"/>
      <c r="DL38" s="52"/>
      <c r="DM38" s="50"/>
      <c r="DN38" s="50"/>
      <c r="DO38" s="50"/>
      <c r="DP38" s="52"/>
      <c r="DQ38" s="50"/>
      <c r="DR38" s="50"/>
      <c r="DS38" s="50"/>
      <c r="DT38" s="52"/>
      <c r="DU38" s="50"/>
      <c r="DV38" s="50"/>
      <c r="DW38" s="50"/>
      <c r="DX38" s="52"/>
      <c r="DY38" s="50"/>
      <c r="DZ38" s="50"/>
      <c r="EA38" s="50"/>
      <c r="EB38" s="52"/>
      <c r="EC38" s="50"/>
      <c r="ED38" s="50"/>
      <c r="EE38" s="50"/>
      <c r="EF38" s="52"/>
      <c r="EG38" s="50"/>
      <c r="EH38" s="50"/>
      <c r="EI38" s="50"/>
      <c r="EJ38" s="52"/>
      <c r="EK38" s="50"/>
      <c r="EL38" s="50"/>
      <c r="EM38" s="50"/>
      <c r="EN38" s="52"/>
      <c r="EO38" s="50"/>
      <c r="EP38" s="50"/>
      <c r="EQ38" s="50"/>
      <c r="ER38" s="52"/>
      <c r="ES38" s="50"/>
      <c r="ET38" s="50"/>
      <c r="EU38" s="50"/>
      <c r="EV38" s="52"/>
      <c r="EW38" s="50"/>
      <c r="EX38" s="50"/>
      <c r="EY38" s="50"/>
      <c r="EZ38" s="52"/>
      <c r="FA38" s="50"/>
      <c r="FB38" s="50"/>
      <c r="FC38" s="50"/>
      <c r="FD38" s="52"/>
      <c r="FE38" s="50"/>
      <c r="FF38" s="50"/>
      <c r="FG38" s="50"/>
      <c r="FH38" s="52"/>
      <c r="FI38" s="50"/>
      <c r="FJ38" s="50"/>
      <c r="FK38" s="50"/>
      <c r="FL38" s="52"/>
      <c r="FM38" s="50"/>
      <c r="FN38" s="50"/>
      <c r="FO38" s="50"/>
      <c r="FP38" s="52"/>
      <c r="FQ38" s="50"/>
      <c r="FR38" s="50"/>
      <c r="FS38" s="50"/>
      <c r="FT38" s="52"/>
      <c r="FU38" s="50"/>
      <c r="FV38" s="50"/>
      <c r="FW38" s="50"/>
      <c r="FX38" s="52"/>
      <c r="FY38" s="50"/>
      <c r="FZ38" s="50"/>
      <c r="GA38" s="50"/>
      <c r="GB38" s="52"/>
      <c r="GC38" s="50"/>
      <c r="GD38" s="50"/>
      <c r="GE38" s="50"/>
      <c r="GF38" s="52"/>
      <c r="GG38" s="50"/>
      <c r="GH38" s="50"/>
      <c r="GI38" s="50"/>
      <c r="GJ38" s="52"/>
      <c r="GK38" s="50"/>
      <c r="GL38" s="50"/>
      <c r="GM38" s="50"/>
      <c r="GN38" s="52"/>
      <c r="GO38" s="50"/>
      <c r="GP38" s="50"/>
      <c r="GQ38" s="50"/>
      <c r="GR38" s="52"/>
      <c r="GS38" s="50"/>
      <c r="GT38" s="50"/>
      <c r="GU38" s="50"/>
      <c r="GV38" s="52"/>
      <c r="GW38" s="50"/>
      <c r="GX38" s="50"/>
    </row>
    <row r="39" spans="1:206" s="24" customFormat="1" ht="136.5" customHeight="1" x14ac:dyDescent="0.3">
      <c r="A39" s="27"/>
      <c r="B39" s="42" t="s">
        <v>42</v>
      </c>
      <c r="C39" s="29"/>
      <c r="D39" s="29"/>
      <c r="E39" s="29"/>
      <c r="F39" s="30"/>
      <c r="G39" s="30"/>
      <c r="H39" s="30"/>
      <c r="I39" s="30"/>
      <c r="J39" s="30"/>
    </row>
    <row r="40" spans="1:206" s="24" customFormat="1" ht="39.9" customHeight="1" x14ac:dyDescent="0.3">
      <c r="A40" s="29"/>
      <c r="B40" s="43" t="s">
        <v>69</v>
      </c>
      <c r="C40" s="53"/>
      <c r="D40" s="29"/>
      <c r="E40" s="27"/>
      <c r="F40" s="44"/>
      <c r="G40" s="44"/>
      <c r="H40" s="44"/>
      <c r="I40" s="44"/>
      <c r="J40" s="44"/>
    </row>
    <row r="41" spans="1:206" s="24" customFormat="1" ht="39.9" customHeight="1" x14ac:dyDescent="0.3">
      <c r="A41" s="29"/>
      <c r="B41" s="43"/>
      <c r="C41" s="53"/>
      <c r="D41" s="29"/>
      <c r="E41" s="27"/>
      <c r="F41" s="44"/>
      <c r="G41" s="44"/>
      <c r="H41" s="44"/>
      <c r="I41" s="44"/>
      <c r="J41" s="44"/>
    </row>
    <row r="42" spans="1:206" s="24" customFormat="1" ht="20.100000000000001" customHeight="1" x14ac:dyDescent="0.3">
      <c r="A42" s="79"/>
      <c r="B42" s="84" t="s">
        <v>60</v>
      </c>
      <c r="C42" s="79"/>
      <c r="D42" s="79"/>
      <c r="E42" s="29"/>
      <c r="F42" s="85"/>
      <c r="G42" s="79"/>
      <c r="H42" s="85"/>
      <c r="I42" s="79"/>
      <c r="J42" s="79"/>
      <c r="K42" s="87"/>
      <c r="L42" s="23"/>
      <c r="M42" s="86"/>
    </row>
    <row r="43" spans="1:206" s="24" customFormat="1" ht="20.100000000000001" customHeight="1" x14ac:dyDescent="0.3">
      <c r="A43" s="79"/>
      <c r="B43" s="84"/>
      <c r="C43" s="79"/>
      <c r="D43" s="79"/>
      <c r="E43" s="29"/>
      <c r="F43" s="85"/>
      <c r="G43" s="79"/>
      <c r="H43" s="85"/>
      <c r="I43" s="79"/>
      <c r="J43" s="79"/>
      <c r="K43" s="87"/>
      <c r="L43" s="23"/>
      <c r="M43" s="86"/>
    </row>
    <row r="44" spans="1:206" s="24" customFormat="1" ht="50.25" customHeight="1" x14ac:dyDescent="0.3">
      <c r="A44" s="27"/>
      <c r="B44" s="28" t="s">
        <v>43</v>
      </c>
      <c r="C44" s="29"/>
      <c r="D44" s="29"/>
      <c r="E44" s="36"/>
      <c r="F44" s="30"/>
      <c r="G44" s="30"/>
      <c r="H44" s="30"/>
      <c r="I44" s="30"/>
      <c r="J44" s="30"/>
    </row>
    <row r="45" spans="1:206" s="24" customFormat="1" ht="69.75" customHeight="1" x14ac:dyDescent="0.3">
      <c r="A45" s="27">
        <v>1</v>
      </c>
      <c r="B45" s="54" t="s">
        <v>73</v>
      </c>
      <c r="C45" s="29">
        <v>1</v>
      </c>
      <c r="D45" s="29" t="s">
        <v>1</v>
      </c>
      <c r="E45" s="29"/>
      <c r="F45" s="30"/>
      <c r="G45" s="30"/>
      <c r="H45" s="30"/>
      <c r="I45" s="30"/>
      <c r="J45" s="30"/>
      <c r="K45" s="26"/>
      <c r="L45" s="23"/>
      <c r="M45" s="26"/>
    </row>
    <row r="46" spans="1:206" s="24" customFormat="1" ht="67.5" customHeight="1" x14ac:dyDescent="0.3">
      <c r="A46" s="27">
        <v>2</v>
      </c>
      <c r="B46" s="69" t="s">
        <v>50</v>
      </c>
      <c r="C46" s="36">
        <f>24</f>
        <v>24</v>
      </c>
      <c r="D46" s="29" t="s">
        <v>1</v>
      </c>
      <c r="E46" s="29"/>
      <c r="F46" s="30"/>
      <c r="G46" s="30"/>
      <c r="H46" s="30"/>
      <c r="I46" s="30"/>
      <c r="J46" s="30"/>
      <c r="K46" s="26"/>
      <c r="L46" s="23"/>
      <c r="M46" s="26"/>
    </row>
    <row r="47" spans="1:206" s="41" customFormat="1" ht="60.75" customHeight="1" x14ac:dyDescent="0.25">
      <c r="A47" s="33">
        <v>3</v>
      </c>
      <c r="B47" s="34" t="s">
        <v>32</v>
      </c>
      <c r="C47" s="35">
        <v>1</v>
      </c>
      <c r="D47" s="36" t="s">
        <v>33</v>
      </c>
      <c r="E47" s="1"/>
      <c r="F47" s="37"/>
      <c r="G47" s="37"/>
      <c r="H47" s="37"/>
      <c r="I47" s="37"/>
      <c r="J47" s="37"/>
    </row>
    <row r="48" spans="1:206" s="24" customFormat="1" ht="88.5" customHeight="1" x14ac:dyDescent="0.3">
      <c r="A48" s="27"/>
      <c r="B48" s="28" t="s">
        <v>47</v>
      </c>
      <c r="C48" s="29"/>
      <c r="D48" s="29"/>
      <c r="E48" s="1"/>
      <c r="F48" s="30"/>
      <c r="G48" s="30"/>
      <c r="H48" s="30"/>
      <c r="I48" s="30"/>
      <c r="J48" s="30"/>
    </row>
    <row r="49" spans="1:10" s="24" customFormat="1" ht="39.9" customHeight="1" x14ac:dyDescent="0.3">
      <c r="A49" s="27"/>
      <c r="B49" s="43" t="s">
        <v>70</v>
      </c>
      <c r="C49" s="29"/>
      <c r="D49" s="29"/>
      <c r="E49" s="1"/>
      <c r="F49" s="30"/>
      <c r="G49" s="44"/>
      <c r="H49" s="30"/>
      <c r="I49" s="44"/>
      <c r="J49" s="44"/>
    </row>
  </sheetData>
  <mergeCells count="47">
    <mergeCell ref="A42:A43"/>
    <mergeCell ref="B42:B43"/>
    <mergeCell ref="C42:C43"/>
    <mergeCell ref="D42:D43"/>
    <mergeCell ref="F42:F43"/>
    <mergeCell ref="K42:K43"/>
    <mergeCell ref="M42:M43"/>
    <mergeCell ref="G42:G43"/>
    <mergeCell ref="H42:H43"/>
    <mergeCell ref="I42:I43"/>
    <mergeCell ref="J42:J43"/>
    <mergeCell ref="A31:A32"/>
    <mergeCell ref="B31:B32"/>
    <mergeCell ref="C31:C32"/>
    <mergeCell ref="D31:D32"/>
    <mergeCell ref="F31:F32"/>
    <mergeCell ref="G16:G17"/>
    <mergeCell ref="H16:H17"/>
    <mergeCell ref="I16:I17"/>
    <mergeCell ref="J16:J17"/>
    <mergeCell ref="S31:S32"/>
    <mergeCell ref="L31:L32"/>
    <mergeCell ref="M31:M32"/>
    <mergeCell ref="R31:R32"/>
    <mergeCell ref="L16:L17"/>
    <mergeCell ref="M16:M17"/>
    <mergeCell ref="R16:R17"/>
    <mergeCell ref="S16:S17"/>
    <mergeCell ref="U16:U17"/>
    <mergeCell ref="U31:U32"/>
    <mergeCell ref="G31:G32"/>
    <mergeCell ref="H31:H32"/>
    <mergeCell ref="I31:I32"/>
    <mergeCell ref="J31:J32"/>
    <mergeCell ref="J1:J2"/>
    <mergeCell ref="A1:A2"/>
    <mergeCell ref="B1:B2"/>
    <mergeCell ref="C1:C2"/>
    <mergeCell ref="D1:D2"/>
    <mergeCell ref="F1:G1"/>
    <mergeCell ref="H1:I1"/>
    <mergeCell ref="E1:E2"/>
    <mergeCell ref="A16:A17"/>
    <mergeCell ref="B16:B17"/>
    <mergeCell ref="C16:C17"/>
    <mergeCell ref="D16:D17"/>
    <mergeCell ref="F16:F17"/>
  </mergeCells>
  <pageMargins left="0.34" right="0.19" top="0.75" bottom="0.37" header="0.45" footer="0.17"/>
  <pageSetup scale="60" fitToHeight="50" orientation="portrait" r:id="rId1"/>
  <headerFooter>
    <oddHeader>&amp;L&amp;"Century Gothic,Bold"BILL OF QUANTITIES
ELECTRICAL &amp;&amp; ALLIED WORKS&amp;C&amp;"Century Gothic,Bold"&amp;UEY OFFICES
DOLMEN SKY TOWER, KARACHI&amp;R&amp;"Century Gothic,Bold"19TH FLOOR</oddHeader>
    <oddFooter>&amp;L&amp;"Century Gothic,Bold"ElekEn &amp;"Century Gothic,Regular"Associates&amp;C&amp;"Century Gothic,Regular"Page: &amp;P of &amp;N&amp;R&amp;"Century Gothic,Regular"February 20, 2025</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a2a445e-c453-4f04-9b2f-8a0068eac90e" xsi:nil="true"/>
    <lcf76f155ced4ddcb4097134ff3c332f xmlns="db23c72c-e112-43fc-8a02-148203d9c31c">
      <Terms xmlns="http://schemas.microsoft.com/office/infopath/2007/PartnerControls"/>
    </lcf76f155ced4ddcb4097134ff3c332f>
    <Time xmlns="db23c72c-e112-43fc-8a02-148203d9c3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8BEF076A962A43B6F9D3AD7FB3FB6F" ma:contentTypeVersion="19" ma:contentTypeDescription="Create a new document." ma:contentTypeScope="" ma:versionID="bcb0f6516c6be7fd66a54e395076b739">
  <xsd:schema xmlns:xsd="http://www.w3.org/2001/XMLSchema" xmlns:xs="http://www.w3.org/2001/XMLSchema" xmlns:p="http://schemas.microsoft.com/office/2006/metadata/properties" xmlns:ns2="db23c72c-e112-43fc-8a02-148203d9c31c" xmlns:ns3="2a2a445e-c453-4f04-9b2f-8a0068eac90e" targetNamespace="http://schemas.microsoft.com/office/2006/metadata/properties" ma:root="true" ma:fieldsID="e4bdf9d59a7f4f0d91d44646cabeafbf" ns2:_="" ns3:_="">
    <xsd:import namespace="db23c72c-e112-43fc-8a02-148203d9c31c"/>
    <xsd:import namespace="2a2a445e-c453-4f04-9b2f-8a0068eac9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Tim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3c72c-e112-43fc-8a02-148203d9c3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Time" ma:index="20" nillable="true" ma:displayName="Time" ma:format="DateOnly" ma:internalName="Time">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bef08c-5acb-4489-9547-ea8ae88aab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2a445e-c453-4f04-9b2f-8a0068eac90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8c2cc48-4328-49ff-9113-a44c58217a34}" ma:internalName="TaxCatchAll" ma:showField="CatchAllData" ma:web="2a2a445e-c453-4f04-9b2f-8a0068eac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ABE1DF-6E3E-4323-A193-8163EC79A192}">
  <ds:schemaRefs>
    <ds:schemaRef ds:uri="http://schemas.microsoft.com/office/2006/metadata/properties"/>
    <ds:schemaRef ds:uri="http://schemas.microsoft.com/office/infopath/2007/PartnerControls"/>
    <ds:schemaRef ds:uri="2a2a445e-c453-4f04-9b2f-8a0068eac90e"/>
    <ds:schemaRef ds:uri="db23c72c-e112-43fc-8a02-148203d9c31c"/>
  </ds:schemaRefs>
</ds:datastoreItem>
</file>

<file path=customXml/itemProps2.xml><?xml version="1.0" encoding="utf-8"?>
<ds:datastoreItem xmlns:ds="http://schemas.openxmlformats.org/officeDocument/2006/customXml" ds:itemID="{7CB4F7DA-16BB-4E56-8C0C-975F4523EA6B}">
  <ds:schemaRefs>
    <ds:schemaRef ds:uri="http://schemas.microsoft.com/sharepoint/v3/contenttype/forms"/>
  </ds:schemaRefs>
</ds:datastoreItem>
</file>

<file path=customXml/itemProps3.xml><?xml version="1.0" encoding="utf-8"?>
<ds:datastoreItem xmlns:ds="http://schemas.openxmlformats.org/officeDocument/2006/customXml" ds:itemID="{B132469A-A661-4A5A-8274-1D18B06384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3c72c-e112-43fc-8a02-148203d9c31c"/>
    <ds:schemaRef ds:uri="2a2a445e-c453-4f04-9b2f-8a0068eac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Grand Summary</vt:lpstr>
      <vt:lpstr>Sum-17F</vt:lpstr>
      <vt:lpstr>BoQ-17F</vt:lpstr>
      <vt:lpstr>Sum-18F</vt:lpstr>
      <vt:lpstr>BoQ-18F</vt:lpstr>
      <vt:lpstr>Sum-19F</vt:lpstr>
      <vt:lpstr>BoQ-19F</vt:lpstr>
      <vt:lpstr>'BoQ-17F'!Print_Area</vt:lpstr>
      <vt:lpstr>'BoQ-18F'!Print_Area</vt:lpstr>
      <vt:lpstr>'BoQ-19F'!Print_Area</vt:lpstr>
      <vt:lpstr>'Grand Summary'!Print_Area</vt:lpstr>
      <vt:lpstr>'Sum-17F'!Print_Area</vt:lpstr>
      <vt:lpstr>'Sum-18F'!Print_Area</vt:lpstr>
      <vt:lpstr>'Sum-19F'!Print_Area</vt:lpstr>
      <vt:lpstr>'BoQ-17F'!Print_Titles</vt:lpstr>
      <vt:lpstr>'BoQ-18F'!Print_Titles</vt:lpstr>
      <vt:lpstr>'BoQ-19F'!Print_Titles</vt:lpstr>
      <vt:lpstr>'Grand Summary'!Print_Titles</vt:lpstr>
      <vt:lpstr>'Sum-17F'!Print_Titles</vt:lpstr>
      <vt:lpstr>'Sum-18F'!Print_Titles</vt:lpstr>
      <vt:lpstr>'Sum-19F'!Print_Titles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2025-02-21T17:11:23Z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0x010100368BEF076A962A43B6F9D3AD7FB3FB6F</vt:lpwstr>
  </property>
  <property fmtid="{D5CDD505-2E9C-101B-9397-08002B2CF9AE}" pid="3" name="MediaServiceImageTags">
    <vt:lpwstr/>
  </property>
</Properties>
</file>