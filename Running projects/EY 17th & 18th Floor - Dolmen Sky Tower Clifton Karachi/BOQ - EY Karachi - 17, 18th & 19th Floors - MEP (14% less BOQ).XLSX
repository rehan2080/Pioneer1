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ioneer\Running projects\EY 17th &amp; 18th Floor - Dolmen Sky Tower Clifton Karachi\"/>
    </mc:Choice>
  </mc:AlternateContent>
  <xr:revisionPtr revIDLastSave="0" documentId="13_ncr:1_{2150E101-1912-497E-A7DE-075C94138F86}" xr6:coauthVersionLast="36" xr6:coauthVersionMax="36" xr10:uidLastSave="{00000000-0000-0000-0000-000000000000}"/>
  <bookViews>
    <workbookView xWindow="0" yWindow="0" windowWidth="28800" windowHeight="12225" tabRatio="807" activeTab="1" xr2:uid="{00000000-000D-0000-FFFF-FFFF00000000}"/>
  </bookViews>
  <sheets>
    <sheet name="Grand Summary" sheetId="11" r:id="rId1"/>
    <sheet name="M&amp;P BOQ 17" sheetId="19" r:id="rId2"/>
    <sheet name="M&amp;P BOQ 18" sheetId="5" r:id="rId3"/>
    <sheet name="FF BOQ 17" sheetId="20" r:id="rId4"/>
    <sheet name="FF BOQ 18" sheetId="9" r:id="rId5"/>
    <sheet name="TOWER-(A) BOQ (2)" sheetId="7" state="hidden" r:id="rId6"/>
  </sheets>
  <definedNames>
    <definedName name="\\c" localSheetId="3">'FF BOQ 17'!#REF!</definedName>
    <definedName name="\\c" localSheetId="4">'FF BOQ 18'!#REF!</definedName>
    <definedName name="\\c" localSheetId="1">#N/A</definedName>
    <definedName name="\\c" localSheetId="2">#N/A</definedName>
    <definedName name="\\c" localSheetId="5">#N/A</definedName>
    <definedName name="\\c">#N/A</definedName>
    <definedName name="\\x" localSheetId="3">'FF BOQ 17'!#REF!</definedName>
    <definedName name="\\x" localSheetId="4">'FF BOQ 18'!#REF!</definedName>
    <definedName name="\\x" localSheetId="1">#N/A</definedName>
    <definedName name="\\x" localSheetId="2">#N/A</definedName>
    <definedName name="\\x" localSheetId="5">#N/A</definedName>
    <definedName name="\\x">#N/A</definedName>
    <definedName name="\0" localSheetId="3">#REF!</definedName>
    <definedName name="\0" localSheetId="1">#REF!</definedName>
    <definedName name="\0">#REF!</definedName>
    <definedName name="\A" localSheetId="3">#REF!</definedName>
    <definedName name="\A" localSheetId="1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y">#REF!</definedName>
    <definedName name="\z">#REF!</definedName>
    <definedName name="_________COL14">#REF!</definedName>
    <definedName name="_________COL16">#REF!</definedName>
    <definedName name="_________COL23">#REF!</definedName>
    <definedName name="_________COL24">#REF!</definedName>
    <definedName name="_________COL25">#REF!</definedName>
    <definedName name="_________COL26">#REF!</definedName>
    <definedName name="_________COL29">#REF!</definedName>
    <definedName name="_________COL6">#REF!</definedName>
    <definedName name="_________PCC10">#REF!</definedName>
    <definedName name="_________PCC11">#REF!</definedName>
    <definedName name="_________PCC12">#REF!</definedName>
    <definedName name="_________PCC6">#REF!</definedName>
    <definedName name="_________PCC7">#REF!</definedName>
    <definedName name="_________PCC8">#REF!</definedName>
    <definedName name="_________PCC9">#REF!</definedName>
    <definedName name="_______COL10">#REF!</definedName>
    <definedName name="_______COL11">#REF!</definedName>
    <definedName name="_______COL12">#REF!</definedName>
    <definedName name="_______COL13">#REF!</definedName>
    <definedName name="_______COL14">#REF!</definedName>
    <definedName name="_______COL15">#REF!</definedName>
    <definedName name="_______COL16">#REF!</definedName>
    <definedName name="_______COL17">#REF!</definedName>
    <definedName name="_______COL18">#REF!</definedName>
    <definedName name="_______COL2">#REF!</definedName>
    <definedName name="_______COL20">#REF!</definedName>
    <definedName name="_______COL21">#REF!</definedName>
    <definedName name="_______COL22">#REF!</definedName>
    <definedName name="_______COL23">#REF!</definedName>
    <definedName name="_______COL24">#REF!</definedName>
    <definedName name="_______COL25">#REF!</definedName>
    <definedName name="_______COL26">#REF!</definedName>
    <definedName name="_______COL27">#REF!</definedName>
    <definedName name="_______COL28">#REF!</definedName>
    <definedName name="_______COL29">#REF!</definedName>
    <definedName name="_______COL3">#REF!</definedName>
    <definedName name="_______COL30">#REF!</definedName>
    <definedName name="_______COL31">#REF!</definedName>
    <definedName name="_______COL32">#REF!</definedName>
    <definedName name="_______COL33">#REF!</definedName>
    <definedName name="_______COL34">#REF!</definedName>
    <definedName name="_______COL35">#REF!</definedName>
    <definedName name="_______COL4">#REF!</definedName>
    <definedName name="_______COL5">#REF!</definedName>
    <definedName name="_______COL6">#REF!</definedName>
    <definedName name="_______COL7">#REF!</definedName>
    <definedName name="_______COL8">#REF!</definedName>
    <definedName name="_______COL9">#REF!</definedName>
    <definedName name="_______PCC10">#REF!</definedName>
    <definedName name="_______PCC11">#REF!</definedName>
    <definedName name="_______PCC12">#REF!</definedName>
    <definedName name="_______PCC6">#REF!</definedName>
    <definedName name="_______PCC7">#REF!</definedName>
    <definedName name="_______PCC8">#REF!</definedName>
    <definedName name="_______PCC9">#REF!</definedName>
    <definedName name="_______S1">#REF!</definedName>
    <definedName name="______COL10">#REF!</definedName>
    <definedName name="______COL11">#REF!</definedName>
    <definedName name="______COL12">#REF!</definedName>
    <definedName name="______COL13">#REF!</definedName>
    <definedName name="______COL14">#REF!</definedName>
    <definedName name="______COL15">#REF!</definedName>
    <definedName name="______COL16">#REF!</definedName>
    <definedName name="______COL17">#REF!</definedName>
    <definedName name="______COL18">#REF!</definedName>
    <definedName name="______COL2">#REF!</definedName>
    <definedName name="______COL20">#REF!</definedName>
    <definedName name="______COL21">#REF!</definedName>
    <definedName name="______COL22">#REF!</definedName>
    <definedName name="______COL23">#REF!</definedName>
    <definedName name="______COL24">#REF!</definedName>
    <definedName name="______COL25">#REF!</definedName>
    <definedName name="______COL26">#REF!</definedName>
    <definedName name="______COL27">#REF!</definedName>
    <definedName name="______COL28">#REF!</definedName>
    <definedName name="______COL29">#REF!</definedName>
    <definedName name="______COL3">#REF!</definedName>
    <definedName name="______COL30">#REF!</definedName>
    <definedName name="______COL31">#REF!</definedName>
    <definedName name="______COL32">#REF!</definedName>
    <definedName name="______COL33">#REF!</definedName>
    <definedName name="______COL34">#REF!</definedName>
    <definedName name="______COL35">#REF!</definedName>
    <definedName name="______COL4">#REF!</definedName>
    <definedName name="______COL5">#REF!</definedName>
    <definedName name="______COL6">#REF!</definedName>
    <definedName name="______COL7">#REF!</definedName>
    <definedName name="______COL8">#REF!</definedName>
    <definedName name="______COL9">#REF!</definedName>
    <definedName name="______PCC10">#REF!</definedName>
    <definedName name="______PCC11">#REF!</definedName>
    <definedName name="______PCC12">#REF!</definedName>
    <definedName name="______PCC6">#REF!</definedName>
    <definedName name="______PCC7">#REF!</definedName>
    <definedName name="______PCC8">#REF!</definedName>
    <definedName name="______PCC9">#REF!</definedName>
    <definedName name="______S1">#REF!</definedName>
    <definedName name="_____COL10">#REF!</definedName>
    <definedName name="_____COL11">#REF!</definedName>
    <definedName name="_____COL12">#REF!</definedName>
    <definedName name="_____COL13">#REF!</definedName>
    <definedName name="_____COL14">#REF!</definedName>
    <definedName name="_____COL15">#REF!</definedName>
    <definedName name="_____COL16">#REF!</definedName>
    <definedName name="_____COL17">#REF!</definedName>
    <definedName name="_____COL18">#REF!</definedName>
    <definedName name="_____COL2">#REF!</definedName>
    <definedName name="_____COL20">#REF!</definedName>
    <definedName name="_____COL21">#REF!</definedName>
    <definedName name="_____COL22">#REF!</definedName>
    <definedName name="_____COL23">#REF!</definedName>
    <definedName name="_____COL24">#REF!</definedName>
    <definedName name="_____COL25">#REF!</definedName>
    <definedName name="_____COL26">#REF!</definedName>
    <definedName name="_____COL27">#REF!</definedName>
    <definedName name="_____COL28">#REF!</definedName>
    <definedName name="_____COL29">#REF!</definedName>
    <definedName name="_____COL3">#REF!</definedName>
    <definedName name="_____COL30">#REF!</definedName>
    <definedName name="_____COL31">#REF!</definedName>
    <definedName name="_____COL32">#REF!</definedName>
    <definedName name="_____COL33">#REF!</definedName>
    <definedName name="_____COL34">#REF!</definedName>
    <definedName name="_____COL35">#REF!</definedName>
    <definedName name="_____COL4">#REF!</definedName>
    <definedName name="_____COL5">#REF!</definedName>
    <definedName name="_____COL6">#REF!</definedName>
    <definedName name="_____COL7">#REF!</definedName>
    <definedName name="_____COL8">#REF!</definedName>
    <definedName name="_____COL9">#REF!</definedName>
    <definedName name="_____PCC10">#REF!</definedName>
    <definedName name="_____PCC11">#REF!</definedName>
    <definedName name="_____PCC12">#REF!</definedName>
    <definedName name="_____PCC6">#REF!</definedName>
    <definedName name="_____PCC7">#REF!</definedName>
    <definedName name="_____PCC8">#REF!</definedName>
    <definedName name="_____PCC9">#REF!</definedName>
    <definedName name="_____S1">#REF!</definedName>
    <definedName name="_____tw1">#REF!</definedName>
    <definedName name="____COL10">#REF!</definedName>
    <definedName name="____COL11">#REF!</definedName>
    <definedName name="____COL12">#REF!</definedName>
    <definedName name="____COL13">#REF!</definedName>
    <definedName name="____COL14">#REF!</definedName>
    <definedName name="____COL15">#REF!</definedName>
    <definedName name="____COL16">#REF!</definedName>
    <definedName name="____COL17">#REF!</definedName>
    <definedName name="____COL18">#REF!</definedName>
    <definedName name="____COL2">#REF!</definedName>
    <definedName name="____COL20">#REF!</definedName>
    <definedName name="____COL21">#REF!</definedName>
    <definedName name="____COL22">#REF!</definedName>
    <definedName name="____COL23">#REF!</definedName>
    <definedName name="____COL24">#REF!</definedName>
    <definedName name="____COL25">#REF!</definedName>
    <definedName name="____COL26">#REF!</definedName>
    <definedName name="____COL27">#REF!</definedName>
    <definedName name="____COL28">#REF!</definedName>
    <definedName name="____COL29">#REF!</definedName>
    <definedName name="____COL3">#REF!</definedName>
    <definedName name="____COL30">#REF!</definedName>
    <definedName name="____COL31">#REF!</definedName>
    <definedName name="____COL32">#REF!</definedName>
    <definedName name="____COL33">#REF!</definedName>
    <definedName name="____COL34">#REF!</definedName>
    <definedName name="____COL35">#REF!</definedName>
    <definedName name="____COL4">#REF!</definedName>
    <definedName name="____COL5">#REF!</definedName>
    <definedName name="____COL6">#REF!</definedName>
    <definedName name="____COL7">#REF!</definedName>
    <definedName name="____COL8">#REF!</definedName>
    <definedName name="____COL9">#REF!</definedName>
    <definedName name="____PCC10">#REF!</definedName>
    <definedName name="____PCC11">#REF!</definedName>
    <definedName name="____PCC12">#REF!</definedName>
    <definedName name="____PCC6">#REF!</definedName>
    <definedName name="____PCC7">#REF!</definedName>
    <definedName name="____PCC8">#REF!</definedName>
    <definedName name="____PCC9">#REF!</definedName>
    <definedName name="____S1">#REF!</definedName>
    <definedName name="____tw1">#REF!</definedName>
    <definedName name="___COL10">#REF!</definedName>
    <definedName name="___COL11">#REF!</definedName>
    <definedName name="___COL12">#REF!</definedName>
    <definedName name="___COL13">#REF!</definedName>
    <definedName name="___COL14">#REF!</definedName>
    <definedName name="___COL15">#REF!</definedName>
    <definedName name="___COL16">#REF!</definedName>
    <definedName name="___COL17">#REF!</definedName>
    <definedName name="___COL18">#REF!</definedName>
    <definedName name="___COL2">#REF!</definedName>
    <definedName name="___COL20">#REF!</definedName>
    <definedName name="___COL21">#REF!</definedName>
    <definedName name="___COL22">#REF!</definedName>
    <definedName name="___COL23">#REF!</definedName>
    <definedName name="___COL24">#REF!</definedName>
    <definedName name="___COL25">#REF!</definedName>
    <definedName name="___COL26">#REF!</definedName>
    <definedName name="___COL27">#REF!</definedName>
    <definedName name="___COL28">#REF!</definedName>
    <definedName name="___COL29">#REF!</definedName>
    <definedName name="___COL3">#REF!</definedName>
    <definedName name="___COL30">#REF!</definedName>
    <definedName name="___COL31">#REF!</definedName>
    <definedName name="___COL32">#REF!</definedName>
    <definedName name="___COL33">#REF!</definedName>
    <definedName name="___COL34">#REF!</definedName>
    <definedName name="___COL35">#REF!</definedName>
    <definedName name="___COL4">#REF!</definedName>
    <definedName name="___COL5">#REF!</definedName>
    <definedName name="___COL6">#REF!</definedName>
    <definedName name="___COL7">#REF!</definedName>
    <definedName name="___COL8">#REF!</definedName>
    <definedName name="___COL9">#REF!</definedName>
    <definedName name="___PCC10">#REF!</definedName>
    <definedName name="___PCC11">#REF!</definedName>
    <definedName name="___PCC12">#REF!</definedName>
    <definedName name="___PCC6">#REF!</definedName>
    <definedName name="___PCC7">#REF!</definedName>
    <definedName name="___PCC8">#REF!</definedName>
    <definedName name="___PCC9">#REF!</definedName>
    <definedName name="___S1">#REF!</definedName>
    <definedName name="___tw1">#REF!</definedName>
    <definedName name="__123Graph_A" hidden="1">#REF!</definedName>
    <definedName name="__123Graph_ABED" hidden="1">#REF!</definedName>
    <definedName name="__123Graph_AVEL" hidden="1">#REF!</definedName>
    <definedName name="__123Graph_AVOL1" hidden="1">#REF!</definedName>
    <definedName name="__123Graph_AVOL2" hidden="1">#REF!</definedName>
    <definedName name="__123Graph_B" hidden="1">#REF!</definedName>
    <definedName name="__123Graph_BVOL1" hidden="1">#REF!</definedName>
    <definedName name="__123Graph_DVEL" hidden="1">#REF!</definedName>
    <definedName name="__123Graph_F" hidden="1">#REF!</definedName>
    <definedName name="__123Graph_FZOOM" hidden="1">#REF!</definedName>
    <definedName name="__123Graph_XVEL" hidden="1">#REF!</definedName>
    <definedName name="__123Graph_XVOL1" hidden="1">#REF!</definedName>
    <definedName name="__COL10">#REF!</definedName>
    <definedName name="__COL11">#REF!</definedName>
    <definedName name="__COL12">#REF!</definedName>
    <definedName name="__COL13">#REF!</definedName>
    <definedName name="__COL14">#REF!</definedName>
    <definedName name="__COL15">#REF!</definedName>
    <definedName name="__COL16">#REF!</definedName>
    <definedName name="__COL17">#REF!</definedName>
    <definedName name="__COL18">#REF!</definedName>
    <definedName name="__COL2">#REF!</definedName>
    <definedName name="__COL20">#REF!</definedName>
    <definedName name="__COL21">#REF!</definedName>
    <definedName name="__COL22">#REF!</definedName>
    <definedName name="__COL23">#REF!</definedName>
    <definedName name="__COL24">#REF!</definedName>
    <definedName name="__COL25">#REF!</definedName>
    <definedName name="__COL26">#REF!</definedName>
    <definedName name="__COL27">#REF!</definedName>
    <definedName name="__COL28">#REF!</definedName>
    <definedName name="__COL29">#REF!</definedName>
    <definedName name="__COL3">#REF!</definedName>
    <definedName name="__COL30">#REF!</definedName>
    <definedName name="__COL31">#REF!</definedName>
    <definedName name="__COL32">#REF!</definedName>
    <definedName name="__COL33">#REF!</definedName>
    <definedName name="__COL34">#REF!</definedName>
    <definedName name="__COL35">#REF!</definedName>
    <definedName name="__COL4">#REF!</definedName>
    <definedName name="__COL5">#REF!</definedName>
    <definedName name="__COL6">#REF!</definedName>
    <definedName name="__COL7">#REF!</definedName>
    <definedName name="__COL8">#REF!</definedName>
    <definedName name="__COL9">#REF!</definedName>
    <definedName name="__PCC10">#REF!</definedName>
    <definedName name="__PCC11">#REF!</definedName>
    <definedName name="__PCC12">#REF!</definedName>
    <definedName name="__PCC6">#REF!</definedName>
    <definedName name="__PCC7">#REF!</definedName>
    <definedName name="__PCC8">#REF!</definedName>
    <definedName name="__PCC9">#REF!</definedName>
    <definedName name="__S1">#REF!</definedName>
    <definedName name="__tw1">#REF!</definedName>
    <definedName name="_0">#REF!</definedName>
    <definedName name="_1_____123Graph_ACHART_1" hidden="1">#REF!</definedName>
    <definedName name="_10_Excel_BuiltIn_Print_Area_2_1">#REF!</definedName>
    <definedName name="_11_Excel_BuiltIn_Print_Area_3_1">#REF!</definedName>
    <definedName name="_12_Excel_BuiltIn_Print_Area_4_1">#REF!</definedName>
    <definedName name="_12Excel_BuiltIn_Print_Area_3_1">#REF!</definedName>
    <definedName name="_13_Excel_BuiltIn_Print_Area_6_1">#REF!</definedName>
    <definedName name="_14_Excel_BuiltIn_Print_Titles_2_1">#REF!</definedName>
    <definedName name="_15_Excel_BuiltIn_Print_Titles_3_1">#REF!</definedName>
    <definedName name="_16_Excel_BuiltIn_Print_Titles_4_1">#REF!</definedName>
    <definedName name="_16Excel_BuiltIn_Print_Area_4_1">#REF!</definedName>
    <definedName name="_17Excel_BuiltIn_Print_Area_1_1">#REF!</definedName>
    <definedName name="_18Excel_BuiltIn_Print_Area_2_1">#REF!</definedName>
    <definedName name="_18Excel_BuiltIn_Print_Area_6_1">#REF!</definedName>
    <definedName name="_19Excel_BuiltIn_Print_Area_3_1">#REF!</definedName>
    <definedName name="_1Excel_BuiltIn_Print_Area_6_1">#REF!</definedName>
    <definedName name="_2_____123Graph_BCHART_1" hidden="1">#REF!</definedName>
    <definedName name="_20Excel_BuiltIn_Print_Area_4_1">#REF!</definedName>
    <definedName name="_22Excel_BuiltIn_Print_Area_6_1">#REF!</definedName>
    <definedName name="_22Excel_BuiltIn_Print_Titles_2_1">#REF!</definedName>
    <definedName name="_23Excel_BuiltIn_Print_Titles_2_1">#REF!</definedName>
    <definedName name="_24Excel_BuiltIn_Print_Titles_3_1">#REF!</definedName>
    <definedName name="_25Excel_BuiltIn_Print_Titles_4_1">#REF!</definedName>
    <definedName name="_26Excel_BuiltIn_Print_Titles_3_1">#REF!</definedName>
    <definedName name="_2Excel_BuiltIn_Print_Area_6_1">#REF!</definedName>
    <definedName name="_3____123Graph_ACHART_1" hidden="1">#REF!</definedName>
    <definedName name="_30Excel_BuiltIn_Print_Titles_4_1">#REF!</definedName>
    <definedName name="_4____123Graph_BCHART_1" hidden="1">#REF!</definedName>
    <definedName name="_4Excel_BuiltIn_Print_Area_1_1">#REF!</definedName>
    <definedName name="_5___123Graph_ACHART_1" hidden="1">#REF!</definedName>
    <definedName name="_6___123Graph_BCHART_1" hidden="1">#REF!</definedName>
    <definedName name="_7__123Graph_ACHART_1" hidden="1">#REF!</definedName>
    <definedName name="_8__123Graph_BCHART_1" hidden="1">#REF!</definedName>
    <definedName name="_8Excel_BuiltIn_Print_Area_2_1">#REF!</definedName>
    <definedName name="_9_Excel_BuiltIn_Print_Area_1_1">#REF!</definedName>
    <definedName name="_a">#REF!</definedName>
    <definedName name="_A66666">#REF!</definedName>
    <definedName name="_CD">#REF!</definedName>
    <definedName name="_COL10">#REF!</definedName>
    <definedName name="_COL11">#REF!</definedName>
    <definedName name="_COL12">#REF!</definedName>
    <definedName name="_COL13">#REF!</definedName>
    <definedName name="_COL14">#REF!</definedName>
    <definedName name="_COL15">#REF!</definedName>
    <definedName name="_COL16">#REF!</definedName>
    <definedName name="_COL17">#REF!</definedName>
    <definedName name="_COL18">#REF!</definedName>
    <definedName name="_COL2">#REF!</definedName>
    <definedName name="_COL20">#REF!</definedName>
    <definedName name="_COL21">#REF!</definedName>
    <definedName name="_COL22">#REF!</definedName>
    <definedName name="_COL23">#REF!</definedName>
    <definedName name="_COL24">#REF!</definedName>
    <definedName name="_COL25">#REF!</definedName>
    <definedName name="_COL26">#REF!</definedName>
    <definedName name="_COL27">#REF!</definedName>
    <definedName name="_COL28">#REF!</definedName>
    <definedName name="_COL29">#REF!</definedName>
    <definedName name="_COL3">#REF!</definedName>
    <definedName name="_COL30">#REF!</definedName>
    <definedName name="_COL31">#REF!</definedName>
    <definedName name="_COL32">#REF!</definedName>
    <definedName name="_COL33">#REF!</definedName>
    <definedName name="_COL34">#REF!</definedName>
    <definedName name="_COL35">#REF!</definedName>
    <definedName name="_COL4">#REF!</definedName>
    <definedName name="_COL5">#REF!</definedName>
    <definedName name="_COL6">#REF!</definedName>
    <definedName name="_COL7">#REF!</definedName>
    <definedName name="_COL8">#REF!</definedName>
    <definedName name="_COL9">#REF!</definedName>
    <definedName name="_csr1">#REF!</definedName>
    <definedName name="_CSR2012">#REF!</definedName>
    <definedName name="_DIV27">#REF!</definedName>
    <definedName name="_Fill" hidden="1">#REF!</definedName>
    <definedName name="_xlnm._FilterDatabase" localSheetId="1" hidden="1">#N/A</definedName>
    <definedName name="_xlnm._FilterDatabase" localSheetId="2" hidden="1">#N/A</definedName>
    <definedName name="_Key1" hidden="1">#REF!</definedName>
    <definedName name="_Key2" hidden="1">#REF!</definedName>
    <definedName name="_MS16">#REF!</definedName>
    <definedName name="_MS6">#REF!</definedName>
    <definedName name="_NA1">#REF!</definedName>
    <definedName name="_NA12">#REF!</definedName>
    <definedName name="_NA13">#REF!</definedName>
    <definedName name="_NA17">#REF!</definedName>
    <definedName name="_NA2">#REF!</definedName>
    <definedName name="_NA23">#REF!</definedName>
    <definedName name="_NA3">#REF!</definedName>
    <definedName name="_NA7">#REF!</definedName>
    <definedName name="_NA9">#REF!</definedName>
    <definedName name="_Order1" hidden="1">255</definedName>
    <definedName name="_Order2" hidden="1">0</definedName>
    <definedName name="_Parse_In" hidden="1">#REF!</definedName>
    <definedName name="_Parse_Out" hidden="1">#REF!</definedName>
    <definedName name="_PCC10">#REF!</definedName>
    <definedName name="_PCC11">#REF!</definedName>
    <definedName name="_PCC12">#REF!</definedName>
    <definedName name="_PCC6">#REF!</definedName>
    <definedName name="_PCC7">#REF!</definedName>
    <definedName name="_PCC8">#REF!</definedName>
    <definedName name="_PCC9">#REF!</definedName>
    <definedName name="_PR625">#REF!</definedName>
    <definedName name="_PR706">#REF!</definedName>
    <definedName name="_PR707">#REF!</definedName>
    <definedName name="_PR730">#REF!</definedName>
    <definedName name="_PR741">#REF!</definedName>
    <definedName name="_PR857">#REF!</definedName>
    <definedName name="_PR858">#REF!</definedName>
    <definedName name="_PR862">#REF!</definedName>
    <definedName name="_PR864">#REF!</definedName>
    <definedName name="_PR873">#REF!</definedName>
    <definedName name="_PR874">#REF!</definedName>
    <definedName name="_PR883">#REF!</definedName>
    <definedName name="_PR897">#REF!</definedName>
    <definedName name="_Regression_Int">1</definedName>
    <definedName name="_S1">#REF!</definedName>
    <definedName name="_Sort" hidden="1">#REF!</definedName>
    <definedName name="_TAQ">#REF!</definedName>
    <definedName name="_tw1">#REF!</definedName>
    <definedName name="A">#REF!</definedName>
    <definedName name="aa">#REF!</definedName>
    <definedName name="AAA">#REF!</definedName>
    <definedName name="aaag" localSheetId="3" hidden="1">{#N/A,#N/A,TRUE,"SUM";#N/A,#N/A,TRUE,"EE";#N/A,#N/A,TRUE,"AC";#N/A,#N/A,TRUE,"SN"}</definedName>
    <definedName name="aaag" localSheetId="1" hidden="1">{#N/A,#N/A,TRUE,"SUM";#N/A,#N/A,TRUE,"EE";#N/A,#N/A,TRUE,"AC";#N/A,#N/A,TRUE,"SN"}</definedName>
    <definedName name="aaag" hidden="1">{#N/A,#N/A,TRUE,"SUM";#N/A,#N/A,TRUE,"EE";#N/A,#N/A,TRUE,"AC";#N/A,#N/A,TRUE,"SN"}</definedName>
    <definedName name="AADATA">#REF!</definedName>
    <definedName name="AB" localSheetId="3" hidden="1">{#N/A,#N/A,TRUE,"SUM";#N/A,#N/A,TRUE,"EE";#N/A,#N/A,TRUE,"AC";#N/A,#N/A,TRUE,"SN"}</definedName>
    <definedName name="AB" localSheetId="1" hidden="1">{#N/A,#N/A,TRUE,"SUM";#N/A,#N/A,TRUE,"EE";#N/A,#N/A,TRUE,"AC";#N/A,#N/A,TRUE,"SN"}</definedName>
    <definedName name="AB" hidden="1">{#N/A,#N/A,TRUE,"SUM";#N/A,#N/A,TRUE,"EE";#N/A,#N/A,TRUE,"AC";#N/A,#N/A,TRUE,"SN"}</definedName>
    <definedName name="abc">#REF!</definedName>
    <definedName name="ABGRNT">#REF!</definedName>
    <definedName name="ac">#REF!</definedName>
    <definedName name="ACC_18">#REF!</definedName>
    <definedName name="ACC_24">#REF!</definedName>
    <definedName name="AccessControlSecurityEquipment">#REF!</definedName>
    <definedName name="AccessDatabase" hidden="1">"C:\My Documents\tippaporn\MAT PRICE.mdb"</definedName>
    <definedName name="ACP">#REF!</definedName>
    <definedName name="AGGBASE">#REF!</definedName>
    <definedName name="AGGSBBASE">#REF!</definedName>
    <definedName name="AIDATA">#REF!</definedName>
    <definedName name="ANCHOR">#REF!</definedName>
    <definedName name="ANGTF">#REF!</definedName>
    <definedName name="AO">#REF!</definedName>
    <definedName name="APFLSCL">#REF!</definedName>
    <definedName name="APM">#REF!</definedName>
    <definedName name="AR_LAB">#REF!</definedName>
    <definedName name="AR_MAT">#REF!</definedName>
    <definedName name="archi">#REF!</definedName>
    <definedName name="AREA10">#REF!</definedName>
    <definedName name="AREA12">#REF!</definedName>
    <definedName name="AREA6">#REF!</definedName>
    <definedName name="AREA7">#REF!</definedName>
    <definedName name="AREA8">#REF!</definedName>
    <definedName name="AREA9">#REF!</definedName>
    <definedName name="as">#REF!</definedName>
    <definedName name="asa">#REF!</definedName>
    <definedName name="asas">#REF!</definedName>
    <definedName name="asd">#REF!</definedName>
    <definedName name="asdf">#REF!</definedName>
    <definedName name="asdfvbb">#REF!</definedName>
    <definedName name="asfasdfdsf">#REF!</definedName>
    <definedName name="asgddf">#REF!</definedName>
    <definedName name="AutomaticFireDetection">#REF!</definedName>
    <definedName name="AVIO1DS">#REF!</definedName>
    <definedName name="AVIO2DS">#REF!</definedName>
    <definedName name="AVIO3DS">#REF!</definedName>
    <definedName name="AVIS1DS">#REF!</definedName>
    <definedName name="AVIS2DS">#REF!</definedName>
    <definedName name="AWSSD">#REF!</definedName>
    <definedName name="ax" localSheetId="3" hidden="1">{"'TELEPHONE Nos'!$A$1:$D$55"}</definedName>
    <definedName name="ax" localSheetId="1" hidden="1">{"'TELEPHONE Nos'!$A$1:$D$55"}</definedName>
    <definedName name="ax" hidden="1">{"'TELEPHONE Nos'!$A$1:$D$55"}</definedName>
    <definedName name="az">#REF!</definedName>
    <definedName name="b">#REF!</definedName>
    <definedName name="B_2">#REF!</definedName>
    <definedName name="B_3">#REF!</definedName>
    <definedName name="B_Mirr">#REF!</definedName>
    <definedName name="B10.1.01">#REF!</definedName>
    <definedName name="B10.1.03">#REF!</definedName>
    <definedName name="B10.1.04">#REF!</definedName>
    <definedName name="B10.1.11">#REF!</definedName>
    <definedName name="B10.1.13a">#REF!</definedName>
    <definedName name="B11.1.01">#REF!</definedName>
    <definedName name="B11.1.03">#REF!</definedName>
    <definedName name="B11.1.04">#REF!</definedName>
    <definedName name="B11.1.11">#REF!</definedName>
    <definedName name="B11.1.13a">#REF!</definedName>
    <definedName name="B12.1.01">#REF!</definedName>
    <definedName name="B12.1.03">#REF!</definedName>
    <definedName name="B12.1.04">#REF!</definedName>
    <definedName name="B13.1.01">#REF!</definedName>
    <definedName name="B13.1.03">#REF!</definedName>
    <definedName name="B13.1.04">#REF!</definedName>
    <definedName name="B13.1.11">#REF!</definedName>
    <definedName name="B13.1.13a">#REF!</definedName>
    <definedName name="B14.1.01">#REF!</definedName>
    <definedName name="B14.1.03">#REF!</definedName>
    <definedName name="B14.1.04">#REF!</definedName>
    <definedName name="B14.1.11">#REF!</definedName>
    <definedName name="B14.1.14a">#REF!</definedName>
    <definedName name="B6.1.01">#REF!</definedName>
    <definedName name="B6.1.03">#REF!</definedName>
    <definedName name="B6.1.04">#REF!</definedName>
    <definedName name="B6.1.11">#REF!</definedName>
    <definedName name="B6.1.13a">#REF!</definedName>
    <definedName name="B7.1.01">#REF!</definedName>
    <definedName name="B7.1.04">#REF!</definedName>
    <definedName name="B7_C3">#REF!</definedName>
    <definedName name="B8.1.01">#REF!</definedName>
    <definedName name="B8.1.04">#REF!</definedName>
    <definedName name="B8_c3">#REF!</definedName>
    <definedName name="B9.1.01">#REF!</definedName>
    <definedName name="B9.1.04">#REF!</definedName>
    <definedName name="ba">#REF!</definedName>
    <definedName name="baab">#REF!</definedName>
    <definedName name="BABAR">#REF!</definedName>
    <definedName name="BANFB">#REF!</definedName>
    <definedName name="BBB">#REF!</definedName>
    <definedName name="BEDL">#REF!</definedName>
    <definedName name="BEDW">#REF!</definedName>
    <definedName name="BEDWIDTHTABLE">#REF!</definedName>
    <definedName name="BFM">#REF!</definedName>
    <definedName name="BIGC" localSheetId="3" hidden="1">{#N/A,#N/A,TRUE,"Str.";#N/A,#N/A,TRUE,"Steel &amp; Roof";#N/A,#N/A,TRUE,"Arc.";#N/A,#N/A,TRUE,"Preliminary";#N/A,#N/A,TRUE,"Sum_Prelim"}</definedName>
    <definedName name="BIGC" localSheetId="1" hidden="1">{#N/A,#N/A,TRUE,"Str.";#N/A,#N/A,TRUE,"Steel &amp; Roof";#N/A,#N/A,TRUE,"Arc.";#N/A,#N/A,TRUE,"Preliminary";#N/A,#N/A,TRUE,"Sum_Prelim"}</definedName>
    <definedName name="BIGC" hidden="1">{#N/A,#N/A,TRUE,"Str.";#N/A,#N/A,TRUE,"Steel &amp; Roof";#N/A,#N/A,TRUE,"Arc.";#N/A,#N/A,TRUE,"Preliminary";#N/A,#N/A,TRUE,"Sum_Prelim"}</definedName>
    <definedName name="bill1">#REF!</definedName>
    <definedName name="bill10">#REF!</definedName>
    <definedName name="bill11">#REF!</definedName>
    <definedName name="bill2">#REF!</definedName>
    <definedName name="bill3">#REF!</definedName>
    <definedName name="bill4">#REF!</definedName>
    <definedName name="bill5">#REF!</definedName>
    <definedName name="bill6">#REF!</definedName>
    <definedName name="bill7">#REF!</definedName>
    <definedName name="bill8">#REF!</definedName>
    <definedName name="bill8.">#REF!</definedName>
    <definedName name="bill9">#REF!</definedName>
    <definedName name="Binding_wire">#REF!</definedName>
    <definedName name="Bitumen">#REF!</definedName>
    <definedName name="BJDATA">#REF!</definedName>
    <definedName name="Blk_12">#REF!</definedName>
    <definedName name="Blk_4">#REF!</definedName>
    <definedName name="Blk_6">#REF!</definedName>
    <definedName name="Blk_8">#REF!</definedName>
    <definedName name="Blk_9">#REF!</definedName>
    <definedName name="Block_6">#REF!</definedName>
    <definedName name="BMA">#REF!</definedName>
    <definedName name="BMFR">#REF!</definedName>
    <definedName name="BMFRS">#REF!</definedName>
    <definedName name="BMSXH">#REF!</definedName>
    <definedName name="BMSXS">#REF!</definedName>
    <definedName name="BMT">#REF!</definedName>
    <definedName name="BOOK3">#REF!</definedName>
    <definedName name="BOQ">#REF!</definedName>
    <definedName name="BOQAbbas">#REF!</definedName>
    <definedName name="BOQC3">#REF!</definedName>
    <definedName name="BoreConstruction">#REF!</definedName>
    <definedName name="boring">#REF!</definedName>
    <definedName name="boynsr">#REF!</definedName>
    <definedName name="boynsr1">#REF!</definedName>
    <definedName name="boysr">#REF!</definedName>
    <definedName name="boysr1">#REF!</definedName>
    <definedName name="Brickwork">#REF!</definedName>
    <definedName name="BRK">#REF!</definedName>
    <definedName name="BSIWhichPageSetup" hidden="1">1</definedName>
    <definedName name="BSIWhichPageSetup_0" hidden="1">"0þ"</definedName>
    <definedName name="BUT">#REF!</definedName>
    <definedName name="CAB_BV">#REF!</definedName>
    <definedName name="Cab_KitB">#REF!</definedName>
    <definedName name="Cab_KitC">#REF!</definedName>
    <definedName name="Cab_KitH">#REF!</definedName>
    <definedName name="CANAL2">#REF!</definedName>
    <definedName name="CANALNO">#REF!</definedName>
    <definedName name="Carpets">#REF!</definedName>
    <definedName name="CBC">#REF!</definedName>
    <definedName name="CC_TF">#REF!</definedName>
    <definedName name="CCF_3">#REF!</definedName>
    <definedName name="CCF_6">#REF!</definedName>
    <definedName name="CCJALI">#REF!</definedName>
    <definedName name="CCUT">#REF!</definedName>
    <definedName name="cement">#REF!</definedName>
    <definedName name="CementitiousToppings">#REF!</definedName>
    <definedName name="Cemwent">#REF!</definedName>
    <definedName name="cfchgvhj">#REF!</definedName>
    <definedName name="CFILL">#REF!</definedName>
    <definedName name="CGI">#REF!</definedName>
    <definedName name="CHQRDTL">#REF!</definedName>
    <definedName name="CHW">#REF!</definedName>
    <definedName name="class">#REF!</definedName>
    <definedName name="CLRCRT">#REF!</definedName>
    <definedName name="CLRGLASS">#REF!</definedName>
    <definedName name="COAT">#REF!</definedName>
    <definedName name="COL_ARRANGE">#REF!</definedName>
    <definedName name="COL_ARRANGE2">#REF!</definedName>
    <definedName name="COL_ARRANGE3">#REF!</definedName>
    <definedName name="COL19A">#REF!</definedName>
    <definedName name="COL19B">#REF!</definedName>
    <definedName name="Con">#REF!</definedName>
    <definedName name="ConcreteFinish">#REF!</definedName>
    <definedName name="ConcreteGeneral">#REF!</definedName>
    <definedName name="ConcretePavement">#REF!</definedName>
    <definedName name="COUNTER">#REF!</definedName>
    <definedName name="COUNTER2">#REF!</definedName>
    <definedName name="cover">#REF!</definedName>
    <definedName name="_xlnm.Criteria">#REF!</definedName>
    <definedName name="CROSSEC">#REF!</definedName>
    <definedName name="CRSH">#REF!</definedName>
    <definedName name="CRSH0.5">#REF!</definedName>
    <definedName name="CRSH01.5">#REF!</definedName>
    <definedName name="CRU">#REF!</definedName>
    <definedName name="CRUSH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R">#REF!</definedName>
    <definedName name="CSWE">#REF!</definedName>
    <definedName name="Ctg">#REF!</definedName>
    <definedName name="CUT">#REF!</definedName>
    <definedName name="cwb">#REF!</definedName>
    <definedName name="D">#REF!</definedName>
    <definedName name="DAANISH">#REF!</definedName>
    <definedName name="dakfods">#REF!</definedName>
    <definedName name="Dampa">#REF!</definedName>
    <definedName name="DATA1">#REF!</definedName>
    <definedName name="DATA2">#REF!</definedName>
    <definedName name="DATA3">#REF!</definedName>
    <definedName name="DATA4">#REF!</definedName>
    <definedName name="_xlnm.Database">#REF!</definedName>
    <definedName name="dd">#REF!</definedName>
    <definedName name="ddd" localSheetId="3" hidden="1">{#N/A,#N/A,TRUE,"Str.";#N/A,#N/A,TRUE,"Steel &amp; Roof";#N/A,#N/A,TRUE,"Arc.";#N/A,#N/A,TRUE,"Preliminary";#N/A,#N/A,TRUE,"Sum_Prelim"}</definedName>
    <definedName name="ddd" localSheetId="1" hidden="1">{#N/A,#N/A,TRUE,"Str.";#N/A,#N/A,TRUE,"Steel &amp; Roof";#N/A,#N/A,TRUE,"Arc.";#N/A,#N/A,TRUE,"Preliminary";#N/A,#N/A,TRUE,"Sum_Prelim"}</definedName>
    <definedName name="ddd" hidden="1">{#N/A,#N/A,TRUE,"Str.";#N/A,#N/A,TRUE,"Steel &amp; Roof";#N/A,#N/A,TRUE,"Arc.";#N/A,#N/A,TRUE,"Preliminary";#N/A,#N/A,TRUE,"Sum_Prelim"}</definedName>
    <definedName name="Dec">#REF!</definedName>
    <definedName name="Demolition">#REF!</definedName>
    <definedName name="DEPTH">#REF!</definedName>
    <definedName name="des">#REF!</definedName>
    <definedName name="DESC">#REF!</definedName>
    <definedName name="DESCR">#REF!</definedName>
    <definedName name="Descri">#REF!</definedName>
    <definedName name="dese">#REF!</definedName>
    <definedName name="Desri" localSheetId="3">#REF!,#REF!,#REF!,#REF!</definedName>
    <definedName name="Desri" localSheetId="1">#REF!,#REF!,#REF!,#REF!</definedName>
    <definedName name="Desri">#REF!,#REF!,#REF!,#REF!</definedName>
    <definedName name="Desup">#REF!</definedName>
    <definedName name="dfdf">#REF!</definedName>
    <definedName name="dfhrtju">#REF!</definedName>
    <definedName name="DIESEL">#REF!</definedName>
    <definedName name="DigitValue">#REF!</definedName>
    <definedName name="DistributionCabling">#REF!</definedName>
    <definedName name="dl">#REF!</definedName>
    <definedName name="Doors">#REF!</definedName>
    <definedName name="Drain">#REF!</definedName>
    <definedName name="DRCLSR">#REF!</definedName>
    <definedName name="DROP">#REF!</definedName>
    <definedName name="DRSTPPR">#REF!</definedName>
    <definedName name="dsd">#REF!</definedName>
    <definedName name="DTM">#REF!</definedName>
    <definedName name="DUTY">#REF!</definedName>
    <definedName name="e">#REF!</definedName>
    <definedName name="eafret">#REF!</definedName>
    <definedName name="EarthBlockWalling">#REF!</definedName>
    <definedName name="Earthwork">#REF!</definedName>
    <definedName name="Eathwork">#REF!</definedName>
    <definedName name="Echo">#REF!</definedName>
    <definedName name="EEE">#REF!</definedName>
    <definedName name="elb">#REF!</definedName>
    <definedName name="ElectricalServices">#REF!</definedName>
    <definedName name="ELW">#REF!</definedName>
    <definedName name="ELWT">#REF!</definedName>
    <definedName name="EmergencyEvacuationLighting">#REF!</definedName>
    <definedName name="ENMLPNT">#REF!</definedName>
    <definedName name="EQUIPMENT">#REF!</definedName>
    <definedName name="Esc">#REF!</definedName>
    <definedName name="ESS">#REF!</definedName>
    <definedName name="essing">#REF!</definedName>
    <definedName name="ESTQTY">#REF!</definedName>
    <definedName name="EWCOST">#REF!</definedName>
    <definedName name="EWS">#REF!</definedName>
    <definedName name="ex">#REF!</definedName>
    <definedName name="EX_LAB">#REF!</definedName>
    <definedName name="EX_MAT">#REF!</definedName>
    <definedName name="Excavationitemnew">#REF!</definedName>
    <definedName name="Excel_BuiltIn_Print_Area">#REF!</definedName>
    <definedName name="Excel_BuiltIn_Print_Area_1_1">#REF!</definedName>
    <definedName name="Excel_BuiltIn_Print_Area_2">#REF!</definedName>
    <definedName name="Excel_BuiltIn_Print_Area_5">#REF!</definedName>
    <definedName name="Excel_BuiltIn_Print_Area_5_1">#REF!</definedName>
    <definedName name="Excel_BuiltIn_Print_Titles">#REF!</definedName>
    <definedName name="Excel_BuiltIn_Print_Titles_1_1">#REF!</definedName>
    <definedName name="Excel_BuiltIn_Print_Titles_3_1">#REF!</definedName>
    <definedName name="Excel_BuiltIn_Print_Titles_5">#REF!</definedName>
    <definedName name="Excel_BuiltIn_Print_Titles_5_1">#REF!</definedName>
    <definedName name="Excel_BuiltIn_Print_Titles_6">#REF!</definedName>
    <definedName name="Ext">#REF!</definedName>
    <definedName name="EXTEN">#REF!</definedName>
    <definedName name="external" localSheetId="3" hidden="1">{#N/A,#N/A,TRUE,"SUM";#N/A,#N/A,TRUE,"EE";#N/A,#N/A,TRUE,"AC";#N/A,#N/A,TRUE,"SN"}</definedName>
    <definedName name="external" localSheetId="1" hidden="1">{#N/A,#N/A,TRUE,"SUM";#N/A,#N/A,TRUE,"EE";#N/A,#N/A,TRUE,"AC";#N/A,#N/A,TRUE,"SN"}</definedName>
    <definedName name="external" hidden="1">{#N/A,#N/A,TRUE,"SUM";#N/A,#N/A,TRUE,"EE";#N/A,#N/A,TRUE,"AC";#N/A,#N/A,TRUE,"SN"}</definedName>
    <definedName name="_xlnm.Extract">#REF!</definedName>
    <definedName name="F">#REF!</definedName>
    <definedName name="FACTORY" localSheetId="3" hidden="1">{#N/A,#N/A,TRUE,"SUM";#N/A,#N/A,TRUE,"EE";#N/A,#N/A,TRUE,"AC";#N/A,#N/A,TRUE,"SN"}</definedName>
    <definedName name="FACTORY" localSheetId="1" hidden="1">{#N/A,#N/A,TRUE,"SUM";#N/A,#N/A,TRUE,"EE";#N/A,#N/A,TRUE,"AC";#N/A,#N/A,TRUE,"SN"}</definedName>
    <definedName name="FACTORY" hidden="1">{#N/A,#N/A,TRUE,"SUM";#N/A,#N/A,TRUE,"EE";#N/A,#N/A,TRUE,"AC";#N/A,#N/A,TRUE,"SN"}</definedName>
    <definedName name="fcompany">#REF!</definedName>
    <definedName name="fdate">#REF!</definedName>
    <definedName name="fdevise">#REF!</definedName>
    <definedName name="fdyh">#REF!</definedName>
    <definedName name="ff">#REF!</definedName>
    <definedName name="FFDATA">#REF!</definedName>
    <definedName name="ffff">#REF!</definedName>
    <definedName name="ffffd" localSheetId="3" hidden="1">{#N/A,#N/A,TRUE,"SUM";#N/A,#N/A,TRUE,"EE";#N/A,#N/A,TRUE,"AC";#N/A,#N/A,TRUE,"SN"}</definedName>
    <definedName name="ffffd" localSheetId="1" hidden="1">{#N/A,#N/A,TRUE,"SUM";#N/A,#N/A,TRUE,"EE";#N/A,#N/A,TRUE,"AC";#N/A,#N/A,TRUE,"SN"}</definedName>
    <definedName name="ffffd" hidden="1">{#N/A,#N/A,TRUE,"SUM";#N/A,#N/A,TRUE,"EE";#N/A,#N/A,TRUE,"AC";#N/A,#N/A,TRUE,"SN"}</definedName>
    <definedName name="FFS">#REF!</definedName>
    <definedName name="fgff" localSheetId="3" hidden="1">{#N/A,#N/A,TRUE,"SUM";#N/A,#N/A,TRUE,"EE";#N/A,#N/A,TRUE,"AC";#N/A,#N/A,TRUE,"SN"}</definedName>
    <definedName name="fgff" localSheetId="1" hidden="1">{#N/A,#N/A,TRUE,"SUM";#N/A,#N/A,TRUE,"EE";#N/A,#N/A,TRUE,"AC";#N/A,#N/A,TRUE,"SN"}</definedName>
    <definedName name="fgff" hidden="1">{#N/A,#N/A,TRUE,"SUM";#N/A,#N/A,TRUE,"EE";#N/A,#N/A,TRUE,"AC";#N/A,#N/A,TRUE,"SN"}</definedName>
    <definedName name="fggffd">#REF!</definedName>
    <definedName name="FIAZ">#REF!</definedName>
    <definedName name="FILENAME">#REF!</definedName>
    <definedName name="FILL">#REF!</definedName>
    <definedName name="FireExtinguishersBlankets">#REF!</definedName>
    <definedName name="Fittings">#REF!</definedName>
    <definedName name="Fix_Glz">#REF!</definedName>
    <definedName name="fjioortgojidgjdg">#REF!</definedName>
    <definedName name="FLLNG">#REF!</definedName>
    <definedName name="Floor">#REF!</definedName>
    <definedName name="FONTS">#REF!</definedName>
    <definedName name="FORMICA">#REF!</definedName>
    <definedName name="Formula">#REF!</definedName>
    <definedName name="FP">#REF!</definedName>
    <definedName name="ft">#REF!</definedName>
    <definedName name="FULLD">#REF!</definedName>
    <definedName name="G">#REF!</definedName>
    <definedName name="Gamnas3D_Summary">#REF!</definedName>
    <definedName name="GBFLSCL">#REF!</definedName>
    <definedName name="GeneralRequirements">#REF!</definedName>
    <definedName name="GeneratingSets">#REF!</definedName>
    <definedName name="GF_GW">#REF!</definedName>
    <definedName name="ggg">#REF!</definedName>
    <definedName name="GGGGG" localSheetId="3" hidden="1">{#N/A,#N/A,TRUE,"SUM";#N/A,#N/A,TRUE,"EE";#N/A,#N/A,TRUE,"AC";#N/A,#N/A,TRUE,"SN"}</definedName>
    <definedName name="GGGGG" localSheetId="1" hidden="1">{#N/A,#N/A,TRUE,"SUM";#N/A,#N/A,TRUE,"EE";#N/A,#N/A,TRUE,"AC";#N/A,#N/A,TRUE,"SN"}</definedName>
    <definedName name="GGGGG" hidden="1">{#N/A,#N/A,TRUE,"SUM";#N/A,#N/A,TRUE,"EE";#N/A,#N/A,TRUE,"AC";#N/A,#N/A,TRUE,"SN"}</definedName>
    <definedName name="ggsdgs">#REF!</definedName>
    <definedName name="Glass_R">#REF!</definedName>
    <definedName name="GlassBlockwork">#REF!</definedName>
    <definedName name="Glazing">#REF!</definedName>
    <definedName name="GLTF">#REF!</definedName>
    <definedName name="GLTW">#REF!</definedName>
    <definedName name="GLUE">#REF!</definedName>
    <definedName name="Glz_W">#REF!</definedName>
    <definedName name="GML">#REF!</definedName>
    <definedName name="Graded_stone_Crush_3_4">#REF!</definedName>
    <definedName name="GRNT">#REF!</definedName>
    <definedName name="GroundwaterDrains">#REF!</definedName>
    <definedName name="GROUT">#REF!</definedName>
    <definedName name="Grv_.5">#REF!</definedName>
    <definedName name="GS">#REF!</definedName>
    <definedName name="Gyp_C">#REF!</definedName>
    <definedName name="Gyp_I">#REF!</definedName>
    <definedName name="Gyp_II">#REF!</definedName>
    <definedName name="Gyp_III">#REF!</definedName>
    <definedName name="HEADDAYA3" localSheetId="3">#REF!,#REF!,#REF!,#REF!,#REF!,#REF!,#REF!,#REF!,#REF!,#REF!,#REF!,#REF!,#REF!</definedName>
    <definedName name="HEADDAYA3" localSheetId="1">#REF!,#REF!,#REF!,#REF!,#REF!,#REF!,#REF!,#REF!,#REF!,#REF!,#REF!,#REF!,#REF!</definedName>
    <definedName name="HEADDAYA3">#REF!,#REF!,#REF!,#REF!,#REF!,#REF!,#REF!,#REF!,#REF!,#REF!,#REF!,#REF!,#REF!</definedName>
    <definedName name="HEADDAYA4" localSheetId="3">#REF!,#REF!,#REF!,#REF!,#REF!,#REF!,#REF!,#REF!,#REF!,#REF!,#REF!,#REF!,#REF!,#REF!,#REF!,#REF!,#REF!</definedName>
    <definedName name="HEADDAYA4" localSheetId="1">#REF!,#REF!,#REF!,#REF!,#REF!,#REF!,#REF!,#REF!,#REF!,#REF!,#REF!,#REF!,#REF!,#REF!,#REF!,#REF!,#REF!</definedName>
    <definedName name="HEADDAYA4">#REF!,#REF!,#REF!,#REF!,#REF!,#REF!,#REF!,#REF!,#REF!,#REF!,#REF!,#REF!,#REF!,#REF!,#REF!,#REF!,#REF!</definedName>
    <definedName name="HEADWEEKA3" localSheetId="3">#REF!,#REF!,#REF!,#REF!,#REF!,#REF!,#REF!,#REF!,#REF!,#REF!,#REF!,#REF!</definedName>
    <definedName name="HEADWEEKA3" localSheetId="1">#REF!,#REF!,#REF!,#REF!,#REF!,#REF!,#REF!,#REF!,#REF!,#REF!,#REF!,#REF!</definedName>
    <definedName name="HEADWEEKA3">#REF!,#REF!,#REF!,#REF!,#REF!,#REF!,#REF!,#REF!,#REF!,#REF!,#REF!,#REF!</definedName>
    <definedName name="HEADWEEKA4">#REF!,#REF!,#REF!,#REF!,#REF!,#REF!,#REF!,#REF!,#REF!,#REF!,#REF!,#REF!</definedName>
    <definedName name="HHHHHH" localSheetId="3" hidden="1">{#N/A,#N/A,TRUE,"SUM";#N/A,#N/A,TRUE,"EE";#N/A,#N/A,TRUE,"AC";#N/A,#N/A,TRUE,"SN"}</definedName>
    <definedName name="HHHHHH" localSheetId="1" hidden="1">{#N/A,#N/A,TRUE,"SUM";#N/A,#N/A,TRUE,"EE";#N/A,#N/A,TRUE,"AC";#N/A,#N/A,TRUE,"SN"}</definedName>
    <definedName name="HHHHHH" hidden="1">{#N/A,#N/A,TRUE,"SUM";#N/A,#N/A,TRUE,"EE";#N/A,#N/A,TRUE,"AC";#N/A,#N/A,TRUE,"SN"}</definedName>
    <definedName name="higygghhggh">#REF!</definedName>
    <definedName name="HIZOOM">#REF!</definedName>
    <definedName name="HNGS">#REF!</definedName>
    <definedName name="HPTAL" hidden="1">#REF!</definedName>
    <definedName name="HPTAL1" hidden="1">#REF!</definedName>
    <definedName name="HTML_CodePage" hidden="1">1252</definedName>
    <definedName name="HTML_Control" localSheetId="3" hidden="1">{"'TELEPHONE Nos'!$A$1:$D$55"}</definedName>
    <definedName name="HTML_Control" localSheetId="1" hidden="1">{"'TELEPHONE Nos'!$A$1:$D$55"}</definedName>
    <definedName name="HTML_Control" hidden="1">{"'TELEPHONE Nos'!$A$1:$D$55"}</definedName>
    <definedName name="HTML_Description" hidden="1">""</definedName>
    <definedName name="HTML_Email" hidden="1">""</definedName>
    <definedName name="HTML_Header" hidden="1">"TELEPHONE Nos"</definedName>
    <definedName name="HTML_LastUpdate" hidden="1">"13/06/98"</definedName>
    <definedName name="HTML_LineAfter" hidden="1">FALSE</definedName>
    <definedName name="HTML_LineBefore" hidden="1">FALSE</definedName>
    <definedName name="HTML_Name" hidden="1">"Baber Beg"</definedName>
    <definedName name="HTML_OBDlg2" hidden="1">TRUE</definedName>
    <definedName name="HTML_OBDlg4" hidden="1">TRUE</definedName>
    <definedName name="HTML_OS" hidden="1">0</definedName>
    <definedName name="HTML_PathFile" hidden="1">"C:\Baber\Larkin\MyHTML.htm"</definedName>
    <definedName name="HTML_Title" hidden="1">"BABER-gbc"</definedName>
    <definedName name="html1" localSheetId="3" hidden="1">{"'TELEPHONE Nos'!$A$1:$D$55"}</definedName>
    <definedName name="html1" localSheetId="1" hidden="1">{"'TELEPHONE Nos'!$A$1:$D$55"}</definedName>
    <definedName name="html1" hidden="1">{"'TELEPHONE Nos'!$A$1:$D$55"}</definedName>
    <definedName name="i">#REF!</definedName>
    <definedName name="I.1.03">#REF!</definedName>
    <definedName name="I.1.11">#REF!</definedName>
    <definedName name="IA.1.04">#REF!</definedName>
    <definedName name="IB.1.04">#REF!</definedName>
    <definedName name="IC.1.04">#REF!</definedName>
    <definedName name="ID.1.04">#REF!</definedName>
    <definedName name="IDATA">#REF!</definedName>
    <definedName name="IE.1.04">#REF!</definedName>
    <definedName name="IFCCOL">#REF!</definedName>
    <definedName name="IFISSTR">#REF!</definedName>
    <definedName name="II.1.03">#REF!</definedName>
    <definedName name="II.1.11">#REF!</definedName>
    <definedName name="IIA.1.04">#REF!</definedName>
    <definedName name="IIB.1.04">#REF!</definedName>
    <definedName name="III.1.03">#REF!</definedName>
    <definedName name="III.1.04">#REF!</definedName>
    <definedName name="ilhs89yhdfofz">#REF!</definedName>
    <definedName name="in" localSheetId="3" hidden="1">{#N/A,#N/A,TRUE,"Str.";#N/A,#N/A,TRUE,"Steel &amp; Roof";#N/A,#N/A,TRUE,"Arc.";#N/A,#N/A,TRUE,"Preliminary";#N/A,#N/A,TRUE,"Sum_Prelim"}</definedName>
    <definedName name="in" localSheetId="1" hidden="1">{#N/A,#N/A,TRUE,"Str.";#N/A,#N/A,TRUE,"Steel &amp; Roof";#N/A,#N/A,TRUE,"Arc.";#N/A,#N/A,TRUE,"Preliminary";#N/A,#N/A,TRUE,"Sum_Prelim"}</definedName>
    <definedName name="in" hidden="1">{#N/A,#N/A,TRUE,"Str.";#N/A,#N/A,TRUE,"Steel &amp; Roof";#N/A,#N/A,TRUE,"Arc.";#N/A,#N/A,TRUE,"Preliminary";#N/A,#N/A,TRUE,"Sum_Prelim"}</definedName>
    <definedName name="INFILLAPMS">#REF!</definedName>
    <definedName name="Insulation">#REF!</definedName>
    <definedName name="IO">#REF!</definedName>
    <definedName name="ITE" localSheetId="3">#REF!,#REF!</definedName>
    <definedName name="ITE" localSheetId="1">#REF!,#REF!</definedName>
    <definedName name="ITE">#REF!,#REF!</definedName>
    <definedName name="item">#REF!</definedName>
    <definedName name="ITM">#REF!</definedName>
    <definedName name="ITMS">#REF!</definedName>
    <definedName name="IV.1.03">#REF!</definedName>
    <definedName name="IV.1.04">#REF!</definedName>
    <definedName name="j" hidden="1">#REF!</definedName>
    <definedName name="javd">#REF!</definedName>
    <definedName name="Javed">#REF!</definedName>
    <definedName name="jjjj">#REF!</definedName>
    <definedName name="job.no" hidden="1">#REF!</definedName>
    <definedName name="Joinery">#REF!</definedName>
    <definedName name="jr">#REF!</definedName>
    <definedName name="Jsr">#REF!</definedName>
    <definedName name="k" localSheetId="3" hidden="1">{"'TELEPHONE Nos'!$A$1:$D$55"}</definedName>
    <definedName name="k" localSheetId="1" hidden="1">{"'TELEPHONE Nos'!$A$1:$D$55"}</definedName>
    <definedName name="k" hidden="1">{"'TELEPHONE Nos'!$A$1:$D$55"}</definedName>
    <definedName name="KCKPLT">#REF!</definedName>
    <definedName name="Kit_Ex">#REF!</definedName>
    <definedName name="Kit_Stov">#REF!</definedName>
    <definedName name="kjojiioljk">#REF!</definedName>
    <definedName name="KK">#REF!</definedName>
    <definedName name="koj">#REF!</definedName>
    <definedName name="kpjkjjkljkghi">#REF!</definedName>
    <definedName name="KRBSTN">#REF!</definedName>
    <definedName name="l">#REF!</definedName>
    <definedName name="Labelling">#REF!</definedName>
    <definedName name="Labour">#REF!</definedName>
    <definedName name="LandscapeSoilPlanting">#REF!</definedName>
    <definedName name="LandscpaeWallsFences">#REF!</definedName>
    <definedName name="LCOST">#REF!</definedName>
    <definedName name="Lean">#REF!</definedName>
    <definedName name="LEAN10">#REF!</definedName>
    <definedName name="LEAN11">#REF!</definedName>
    <definedName name="LEAN12">#REF!</definedName>
    <definedName name="LEAN6">#REF!</definedName>
    <definedName name="LEAN7">#REF!</definedName>
    <definedName name="LEAN8">#REF!</definedName>
    <definedName name="LEAN9">#REF!</definedName>
    <definedName name="LEGENDLBL">#REF!</definedName>
    <definedName name="LEGENDVEL">#REF!</definedName>
    <definedName name="LENGTH0">#REF!</definedName>
    <definedName name="LENGTH1">#REF!</definedName>
    <definedName name="LENGTH10">#REF!</definedName>
    <definedName name="LENGTH11">#REF!</definedName>
    <definedName name="LENGTH12">#REF!</definedName>
    <definedName name="LENGTH2">#REF!</definedName>
    <definedName name="LENGTH3">#REF!</definedName>
    <definedName name="LENGTH4">#REF!</definedName>
    <definedName name="LENGTH5">#REF!</definedName>
    <definedName name="LENGTH6">#REF!</definedName>
    <definedName name="LENGTH7">#REF!</definedName>
    <definedName name="LENGTH8">#REF!</definedName>
    <definedName name="LENGTH9">#REF!</definedName>
    <definedName name="LightSteelwork">#REF!</definedName>
    <definedName name="LightTemberwork">#REF!</definedName>
    <definedName name="LIMIT">#REF!</definedName>
    <definedName name="LIMIT2">#REF!</definedName>
    <definedName name="LINFB">#REF!</definedName>
    <definedName name="Lining">#REF!</definedName>
    <definedName name="LinkRef">#REF!</definedName>
    <definedName name="LIST">#REF!</definedName>
    <definedName name="lkjh" localSheetId="3">#REF!,#REF!</definedName>
    <definedName name="lkjh" localSheetId="1">#REF!,#REF!</definedName>
    <definedName name="lkjh">#REF!,#REF!</definedName>
    <definedName name="LMNTSHUTT">#REF!</definedName>
    <definedName name="LOADFILE">#REF!</definedName>
    <definedName name="LOCK">#REF!</definedName>
    <definedName name="LONGSEC">#REF!</definedName>
    <definedName name="LOWZOOM">#REF!</definedName>
    <definedName name="lpcd">#REF!</definedName>
    <definedName name="lpcd1">#REF!</definedName>
    <definedName name="LPPNG">#REF!</definedName>
    <definedName name="LS">#REF!</definedName>
    <definedName name="MA_01">#REF!</definedName>
    <definedName name="MA_02">#REF!</definedName>
    <definedName name="MainsCabling">#REF!</definedName>
    <definedName name="manhole">#REF!</definedName>
    <definedName name="MANN">#REF!</definedName>
    <definedName name="Manpower">#REF!</definedName>
    <definedName name="Manpower1">#REF!</definedName>
    <definedName name="MAT">#REF!</definedName>
    <definedName name="Material">#REF!</definedName>
    <definedName name="maz">#REF!</definedName>
    <definedName name="MechanicalServices">#REF!</definedName>
    <definedName name="Metalwork">#REF!</definedName>
    <definedName name="MF">#REF!</definedName>
    <definedName name="Misc">#REF!</definedName>
    <definedName name="mn">#REF!,#REF!,#REF!,#REF!,#REF!,#REF!,#REF!,#REF!,#REF!</definedName>
    <definedName name="mnb">#REF!,#REF!,#REF!,#REF!,#REF!,#REF!,#REF!,#REF!,#REF!</definedName>
    <definedName name="Mo">#REF!</definedName>
    <definedName name="MODELE">#REF!</definedName>
    <definedName name="MR">#REF!</definedName>
    <definedName name="MRC">#REF!</definedName>
    <definedName name="MSFRAME">#REF!</definedName>
    <definedName name="MSHR_Lob">#REF!</definedName>
    <definedName name="MSHR_Str">#REF!</definedName>
    <definedName name="MSR_Str">#REF!</definedName>
    <definedName name="MUK">#REF!,#REF!</definedName>
    <definedName name="mwb">#REF!</definedName>
    <definedName name="n">#REF!</definedName>
    <definedName name="N_T">#REF!</definedName>
    <definedName name="NAILS">#REF!</definedName>
    <definedName name="nbhg">#REF!</definedName>
    <definedName name="new">#REF!</definedName>
    <definedName name="NEWNAME">#REF!</definedName>
    <definedName name="niazi">#REF!,#REF!</definedName>
    <definedName name="Niche">#REF!</definedName>
    <definedName name="NMFLSCL">#REF!</definedName>
    <definedName name="nn">#REF!</definedName>
    <definedName name="o">#REF!</definedName>
    <definedName name="OEC">#REF!</definedName>
    <definedName name="OH">#REF!</definedName>
    <definedName name="Ok">#REF!</definedName>
    <definedName name="OP_Cement">#REF!</definedName>
    <definedName name="OPC">#REF!</definedName>
    <definedName name="OPCF">#REF!</definedName>
    <definedName name="OPTION">#REF!</definedName>
    <definedName name="OtherItemsRequiringDetailedDescriptionSpecifications">#REF!</definedName>
    <definedName name="OUTLET">#REF!</definedName>
    <definedName name="P">#REF!</definedName>
    <definedName name="p.h" hidden="1">#REF!</definedName>
    <definedName name="Paint">#REF!</definedName>
    <definedName name="Painting">#REF!</definedName>
    <definedName name="PartitionSystems">#REF!</definedName>
    <definedName name="PATH">#REF!</definedName>
    <definedName name="PavementBaseSubbase">#REF!</definedName>
    <definedName name="PavementKerbLinemarking">#REF!</definedName>
    <definedName name="PaversMorterBed">#REF!</definedName>
    <definedName name="PaversSandBed">#REF!</definedName>
    <definedName name="PC" hidden="1">#REF!</definedName>
    <definedName name="PDLO">#REF!</definedName>
    <definedName name="PE_LAB">#REF!</definedName>
    <definedName name="PE_MAT">#REF!</definedName>
    <definedName name="PEJM">#REF!</definedName>
    <definedName name="PF">#REF!</definedName>
    <definedName name="phbnsr">#REF!</definedName>
    <definedName name="phbnsr1">#REF!</definedName>
    <definedName name="phbsr">#REF!</definedName>
    <definedName name="phbsr1">#REF!</definedName>
    <definedName name="PILE">#REF!</definedName>
    <definedName name="piu">#REF!</definedName>
    <definedName name="piuu">#REF!</definedName>
    <definedName name="pkjh">#REF!</definedName>
    <definedName name="Planter">#REF!</definedName>
    <definedName name="Plastering">#REF!</definedName>
    <definedName name="pls">#REF!</definedName>
    <definedName name="Plst_.5">#REF!</definedName>
    <definedName name="Plst_.5c">#REF!</definedName>
    <definedName name="Plst_.75">#REF!</definedName>
    <definedName name="PM">#REF!</definedName>
    <definedName name="PNT">#REF!</definedName>
    <definedName name="PNTAM">#REF!</definedName>
    <definedName name="PNTME">#REF!</definedName>
    <definedName name="PNTPE">#REF!</definedName>
    <definedName name="PNTRFL">#REF!</definedName>
    <definedName name="PNTVE">#REF!</definedName>
    <definedName name="PNTWS">#REF!</definedName>
    <definedName name="POL">#REF!</definedName>
    <definedName name="POLSH">#REF!</definedName>
    <definedName name="PP">#REF!</definedName>
    <definedName name="PPaid">#REF!</definedName>
    <definedName name="PR_883M">#REF!</definedName>
    <definedName name="PR858F">#REF!</definedName>
    <definedName name="PRC">#REF!</definedName>
    <definedName name="PRCTILE">#REF!</definedName>
    <definedName name="PrecastConcrete">#REF!</definedName>
    <definedName name="Preliminaries">#REF!</definedName>
    <definedName name="prepared.by" hidden="1">#REF!</definedName>
    <definedName name="PressurisedWaterSupplySystem">#REF!</definedName>
    <definedName name="PRetention">#REF!</definedName>
    <definedName name="PRG">#REF!</definedName>
    <definedName name="pri" localSheetId="3" hidden="1">{#N/A,#N/A,TRUE,"Str.";#N/A,#N/A,TRUE,"Steel &amp; Roof";#N/A,#N/A,TRUE,"Arc.";#N/A,#N/A,TRUE,"Preliminary";#N/A,#N/A,TRUE,"Sum_Prelim"}</definedName>
    <definedName name="pri" localSheetId="1" hidden="1">{#N/A,#N/A,TRUE,"Str.";#N/A,#N/A,TRUE,"Steel &amp; Roof";#N/A,#N/A,TRUE,"Arc.";#N/A,#N/A,TRUE,"Preliminary";#N/A,#N/A,TRUE,"Sum_Prelim"}</definedName>
    <definedName name="pri" hidden="1">{#N/A,#N/A,TRUE,"Str.";#N/A,#N/A,TRUE,"Steel &amp; Roof";#N/A,#N/A,TRUE,"Arc.";#N/A,#N/A,TRUE,"Preliminary";#N/A,#N/A,TRUE,"Sum_Prelim"}</definedName>
    <definedName name="_xlnm.Print_Area" localSheetId="3">'FF BOQ 17'!$A$1:$N$64</definedName>
    <definedName name="_xlnm.Print_Area" localSheetId="4">'FF BOQ 18'!$A$1:$N$64</definedName>
    <definedName name="_xlnm.Print_Area" localSheetId="5">#N/A</definedName>
    <definedName name="_xlnm.Print_Area">#REF!</definedName>
    <definedName name="Print_Area_MI">#REF!</definedName>
    <definedName name="Print_Area_MI___0">#REF!</definedName>
    <definedName name="Print_Area_MI___4">#REF!</definedName>
    <definedName name="Print_Area_MI_4">#REF!</definedName>
    <definedName name="Print_Area_MI_5">#REF!</definedName>
    <definedName name="Print_Area_MI_6">#REF!</definedName>
    <definedName name="_xlnm.Print_Titles" localSheetId="3">'FF BOQ 17'!$1:$5</definedName>
    <definedName name="_xlnm.Print_Titles" localSheetId="4">'FF BOQ 18'!$1:$5</definedName>
    <definedName name="_xlnm.Print_Titles" localSheetId="1">'M&amp;P BOQ 17'!$1:$5</definedName>
    <definedName name="_xlnm.Print_Titles" localSheetId="2">#N/A</definedName>
    <definedName name="_xlnm.Print_Titles" localSheetId="5">#N/A</definedName>
    <definedName name="_xlnm.Print_Titles">#REF!</definedName>
    <definedName name="PRINT_TITLES_MI">#REF!</definedName>
    <definedName name="Print_Titles_MI___4">#REF!</definedName>
    <definedName name="PRINT001A00">#REF!</definedName>
    <definedName name="PRINT001B00">#REF!</definedName>
    <definedName name="PRINT001B01">#REF!</definedName>
    <definedName name="PRINT005A00">#REF!</definedName>
    <definedName name="PRINT005A10">#REF!</definedName>
    <definedName name="PRINT005S00">#REF!</definedName>
    <definedName name="PRINT005S10">#REF!</definedName>
    <definedName name="PRINT006A00">#REF!</definedName>
    <definedName name="PRINT006S00">#REF!</definedName>
    <definedName name="PRINT007A00">#REF!</definedName>
    <definedName name="PRINT007S00">#REF!</definedName>
    <definedName name="PRINT008A00">#REF!</definedName>
    <definedName name="PRINT008S00">#REF!</definedName>
    <definedName name="PRINT009A00">#REF!</definedName>
    <definedName name="PRINT009D00">#REF!</definedName>
    <definedName name="PRINT009S00">#REF!</definedName>
    <definedName name="PrintArea1">#REF!</definedName>
    <definedName name="PrintTitles1">#REF!</definedName>
    <definedName name="PROFILETABLE">#REF!</definedName>
    <definedName name="PROFNO">#REF!</definedName>
    <definedName name="PROPOSED">#REF!</definedName>
    <definedName name="PROPOSEDA">#REF!</definedName>
    <definedName name="PROPOSEDB">#REF!</definedName>
    <definedName name="PROPOSEDD">#REF!</definedName>
    <definedName name="PROPOSEDE">#REF!</definedName>
    <definedName name="PROPOSEDF">#REF!</definedName>
    <definedName name="PROPOSEDFB">#REF!</definedName>
    <definedName name="PROPOSEDP">#REF!</definedName>
    <definedName name="PROPOSEDS">#REF!</definedName>
    <definedName name="PROPOSEDT">#REF!</definedName>
    <definedName name="PROPOSEDV">#REF!</definedName>
    <definedName name="PROPOSEDW">#REF!</definedName>
    <definedName name="PT_01">#REF!</definedName>
    <definedName name="PT_02">#REF!</definedName>
    <definedName name="PT_03">#REF!</definedName>
    <definedName name="PT_04">#REF!</definedName>
    <definedName name="PTION">#REF!</definedName>
    <definedName name="PVC_Lou">#REF!</definedName>
    <definedName name="pwb">#REF!</definedName>
    <definedName name="Q">IF(#REF!="","",VLOOKUP(#REF!,#REF!,4,0))</definedName>
    <definedName name="QDES">#REF!</definedName>
    <definedName name="qeqwerwqer">#REF!</definedName>
    <definedName name="QQT">#REF!</definedName>
    <definedName name="QTY">#REF!</definedName>
    <definedName name="qtye">#REF!</definedName>
    <definedName name="QTYS">#REF!</definedName>
    <definedName name="Qtyy">#REF!</definedName>
    <definedName name="Quan">#REF!</definedName>
    <definedName name="Quant1">IF(OFFSET(#REF!,0,#REF!)="","",OFFSET(#REF!,0,#REF!))</definedName>
    <definedName name="QUANTITY">#REF!</definedName>
    <definedName name="Quanup">#REF!</definedName>
    <definedName name="QUIPMENT">#REF!</definedName>
    <definedName name="qw">#REF!</definedName>
    <definedName name="qwer">#REF!</definedName>
    <definedName name="QY">#REF!</definedName>
    <definedName name="R.Bill">#REF!</definedName>
    <definedName name="R_range">#REF!</definedName>
    <definedName name="RainwaterPiping">#REF!</definedName>
    <definedName name="range" hidden="1">#REF!</definedName>
    <definedName name="Rate">#REF!</definedName>
    <definedName name="Rates">#REF!</definedName>
    <definedName name="ravi">#REF!,#REF!</definedName>
    <definedName name="RCC_Lint">#REF!</definedName>
    <definedName name="REARRANGE">#REF!</definedName>
    <definedName name="_xlnm.Recorder">#REF!</definedName>
    <definedName name="renovation">#REF!</definedName>
    <definedName name="RMC">#REF!</definedName>
    <definedName name="RMD">#REF!</definedName>
    <definedName name="Roofing">#REF!</definedName>
    <definedName name="RoomDividers">#REF!</definedName>
    <definedName name="RT">#REF!</definedName>
    <definedName name="RTE">#REF!</definedName>
    <definedName name="s">#REF!</definedName>
    <definedName name="SA">#REF!</definedName>
    <definedName name="Sabir">#REF!,#REF!</definedName>
    <definedName name="SAD">#REF!</definedName>
    <definedName name="sadaqat">#REF!</definedName>
    <definedName name="sal">#REF!</definedName>
    <definedName name="SALEEM">#REF!</definedName>
    <definedName name="SAM">#REF!</definedName>
    <definedName name="SAND">#REF!</definedName>
    <definedName name="SAND1">#REF!</definedName>
    <definedName name="SAND2">#REF!</definedName>
    <definedName name="SAND3">#REF!</definedName>
    <definedName name="SAND4">#REF!</definedName>
    <definedName name="SAND5">#REF!</definedName>
    <definedName name="SanitaryOtherFixtures">#REF!</definedName>
    <definedName name="SanitationPiping">#REF!</definedName>
    <definedName name="SAP">#REF!</definedName>
    <definedName name="SAVEFILE">#REF!</definedName>
    <definedName name="SAVEVALUES">#REF!</definedName>
    <definedName name="SAYI">#REF!</definedName>
    <definedName name="SB">#REF!</definedName>
    <definedName name="SCE">#REF!</definedName>
    <definedName name="schedule.nos" hidden="1">#REF!</definedName>
    <definedName name="SCOST">#REF!</definedName>
    <definedName name="scv">#REF!</definedName>
    <definedName name="sd">#REF!</definedName>
    <definedName name="sdfdfdfs">#REF!</definedName>
    <definedName name="sdfds">#REF!</definedName>
    <definedName name="sds">#REF!</definedName>
    <definedName name="sdtwatrw">#REF!</definedName>
    <definedName name="se">#REF!</definedName>
    <definedName name="SECTION1">#REF!</definedName>
    <definedName name="SECTION2">#REF!</definedName>
    <definedName name="SECTION3">#REF!</definedName>
    <definedName name="servantQtr">#REF!</definedName>
    <definedName name="ServiceTrenching">#REF!</definedName>
    <definedName name="sff">#REF!</definedName>
    <definedName name="Shapes">#REF!</definedName>
    <definedName name="sheet">#REF!</definedName>
    <definedName name="site.ref" hidden="1">#REF!</definedName>
    <definedName name="SitePreparation">#REF!</definedName>
    <definedName name="sixc">#REF!</definedName>
    <definedName name="Slid_GD">#REF!</definedName>
    <definedName name="SLOPE">#REF!</definedName>
    <definedName name="SNDC">#REF!</definedName>
    <definedName name="sndc.">#REF!</definedName>
    <definedName name="SNDM">#REF!</definedName>
    <definedName name="Sol">#REF!</definedName>
    <definedName name="SORT">#REF!</definedName>
    <definedName name="SORT_AREA">#REF!</definedName>
    <definedName name="SP">#REF!</definedName>
    <definedName name="SR">#REF!</definedName>
    <definedName name="SRA">#REF!</definedName>
    <definedName name="SRB">#REF!</definedName>
    <definedName name="SRC">#REF!</definedName>
    <definedName name="SRCC">#REF!</definedName>
    <definedName name="sretr">#REF!</definedName>
    <definedName name="SS">#REF!</definedName>
    <definedName name="SSHC">#REF!</definedName>
    <definedName name="ssss">#REF!</definedName>
    <definedName name="ssssss">#REF!</definedName>
    <definedName name="ST">#REF!</definedName>
    <definedName name="ST_01">#REF!</definedName>
    <definedName name="ST_02">#REF!</definedName>
    <definedName name="ST_03">#REF!</definedName>
    <definedName name="ST_LAB">#REF!</definedName>
    <definedName name="ST_MAT">#REF!</definedName>
    <definedName name="StainlessSteelBenches">#REF!</definedName>
    <definedName name="STEEL">#REF!</definedName>
    <definedName name="SteelworkPainting">#REF!</definedName>
    <definedName name="sto">#REF!</definedName>
    <definedName name="Stonework">#REF!</definedName>
    <definedName name="STR_NO">#REF!</definedName>
    <definedName name="STRUCFORMAT">#REF!</definedName>
    <definedName name="STRUCT">#REF!</definedName>
    <definedName name="STRUCTURE">#REF!</definedName>
    <definedName name="sum" localSheetId="3" hidden="1">{#N/A,#N/A,TRUE,"SUM";#N/A,#N/A,TRUE,"EE";#N/A,#N/A,TRUE,"AC";#N/A,#N/A,TRUE,"SN"}</definedName>
    <definedName name="sum" localSheetId="1" hidden="1">{#N/A,#N/A,TRUE,"SUM";#N/A,#N/A,TRUE,"EE";#N/A,#N/A,TRUE,"AC";#N/A,#N/A,TRUE,"SN"}</definedName>
    <definedName name="sum" hidden="1">{#N/A,#N/A,TRUE,"SUM";#N/A,#N/A,TRUE,"EE";#N/A,#N/A,TRUE,"AC";#N/A,#N/A,TRUE,"SN"}</definedName>
    <definedName name="summ10">#REF!</definedName>
    <definedName name="summ11">#REF!</definedName>
    <definedName name="summ12">#REF!</definedName>
    <definedName name="summ2">#REF!</definedName>
    <definedName name="summ3">#REF!</definedName>
    <definedName name="summ5" localSheetId="3">#REF!,#REF!</definedName>
    <definedName name="summ5" localSheetId="1">#REF!,#REF!</definedName>
    <definedName name="summ5">#REF!,#REF!</definedName>
    <definedName name="summ8">#REF!</definedName>
    <definedName name="summ9">#REF!</definedName>
    <definedName name="summar" localSheetId="3" hidden="1">{#N/A,#N/A,TRUE,"SUM";#N/A,#N/A,TRUE,"EE";#N/A,#N/A,TRUE,"AC";#N/A,#N/A,TRUE,"SN"}</definedName>
    <definedName name="summar" localSheetId="1" hidden="1">{#N/A,#N/A,TRUE,"SUM";#N/A,#N/A,TRUE,"EE";#N/A,#N/A,TRUE,"AC";#N/A,#N/A,TRUE,"SN"}</definedName>
    <definedName name="summar" hidden="1">{#N/A,#N/A,TRUE,"SUM";#N/A,#N/A,TRUE,"EE";#N/A,#N/A,TRUE,"AC";#N/A,#N/A,TRUE,"SN"}</definedName>
    <definedName name="summary">#REF!</definedName>
    <definedName name="summer2" localSheetId="3" hidden="1">{#N/A,#N/A,TRUE,"SUM";#N/A,#N/A,TRUE,"EE";#N/A,#N/A,TRUE,"AC";#N/A,#N/A,TRUE,"SN"}</definedName>
    <definedName name="summer2" localSheetId="1" hidden="1">{#N/A,#N/A,TRUE,"SUM";#N/A,#N/A,TRUE,"EE";#N/A,#N/A,TRUE,"AC";#N/A,#N/A,TRUE,"SN"}</definedName>
    <definedName name="summer2" hidden="1">{#N/A,#N/A,TRUE,"SUM";#N/A,#N/A,TRUE,"EE";#N/A,#N/A,TRUE,"AC";#N/A,#N/A,TRUE,"SN"}</definedName>
    <definedName name="SuspendedCeiling">#REF!</definedName>
    <definedName name="SuspendedCeilings">#REF!</definedName>
    <definedName name="sweet">#REF!</definedName>
    <definedName name="SwitchboardSubBoards">#REF!</definedName>
    <definedName name="SWV">#REF!</definedName>
    <definedName name="t">#REF!</definedName>
    <definedName name="T_">#N/A</definedName>
    <definedName name="tab">#REF!</definedName>
    <definedName name="TABLE">#REF!</definedName>
    <definedName name="TAIL">#REF!</definedName>
    <definedName name="TAILWATER">#REF!</definedName>
    <definedName name="Tax_7">#REF!</definedName>
    <definedName name="TCOST">#REF!</definedName>
    <definedName name="telb">#REF!</definedName>
    <definedName name="TelecommunicationCabling">#REF!</definedName>
    <definedName name="TEMP">#REF!</definedName>
    <definedName name="TFA">#REF!</definedName>
    <definedName name="Thc">#REF!</definedName>
    <definedName name="thickness">#REF!</definedName>
    <definedName name="THK">#REF!</definedName>
    <definedName name="Tiling">#REF!</definedName>
    <definedName name="TOCC">#REF!</definedName>
    <definedName name="TOPP">#REF!</definedName>
    <definedName name="TOPW">#REF!</definedName>
    <definedName name="TOPWIDTH">#REF!</definedName>
    <definedName name="Tor_Steel">#REF!</definedName>
    <definedName name="TOTAL">#REF!</definedName>
    <definedName name="TP">#REF!</definedName>
    <definedName name="TPaid">#REF!</definedName>
    <definedName name="tr">#REF!</definedName>
    <definedName name="TRetention">#REF!</definedName>
    <definedName name="tt" hidden="1">#REF!</definedName>
    <definedName name="ttt" hidden="1">#REF!</definedName>
    <definedName name="tttt" hidden="1">#REF!</definedName>
    <definedName name="ttttt">#REF!</definedName>
    <definedName name="Two">#REF!</definedName>
    <definedName name="TwoC">#REF!</definedName>
    <definedName name="TwoE">#REF!</definedName>
    <definedName name="TwoEE">#REF!</definedName>
    <definedName name="TWRBLT">#REF!</definedName>
    <definedName name="Tx_Paint">#REF!</definedName>
    <definedName name="TYPE0">#REF!</definedName>
    <definedName name="TYPE1">#REF!</definedName>
    <definedName name="TYPE10">#REF!</definedName>
    <definedName name="TYPE11">#REF!</definedName>
    <definedName name="TYPE12">#REF!</definedName>
    <definedName name="TYPE2">#REF!</definedName>
    <definedName name="TYPE3">#REF!</definedName>
    <definedName name="TYPE4">#REF!</definedName>
    <definedName name="TYPE5">#REF!</definedName>
    <definedName name="TYPE6">#REF!</definedName>
    <definedName name="TYPE7">#REF!</definedName>
    <definedName name="TYPE8">#REF!</definedName>
    <definedName name="TYPE9">#REF!</definedName>
    <definedName name="tyui">#REF!</definedName>
    <definedName name="UEC">#REF!</definedName>
    <definedName name="UES">#REF!</definedName>
    <definedName name="uigsadfiduihdsfuio">#REF!</definedName>
    <definedName name="UN">#REF!</definedName>
    <definedName name="unit">IF(#REF!="","",VLOOKUP(#REF!,#REF!,3,0))</definedName>
    <definedName name="V.1.03">#REF!</definedName>
    <definedName name="V.1.04">#REF!</definedName>
    <definedName name="Validation">#REF!</definedName>
    <definedName name="VALUE2">#REF!</definedName>
    <definedName name="vc">#REF!</definedName>
    <definedName name="vel">#REF!</definedName>
    <definedName name="vhhjghjhkk">#REF!</definedName>
    <definedName name="VinylFinishes">#REF!</definedName>
    <definedName name="vmiw">#REF!</definedName>
    <definedName name="VNYLTL">#REF!</definedName>
    <definedName name="VO">#REF!</definedName>
    <definedName name="VYNLTL">#REF!</definedName>
    <definedName name="w">#REF!</definedName>
    <definedName name="wall">#REF!</definedName>
    <definedName name="Waterproofing">#REF!</definedName>
    <definedName name="WaterServices">#REF!</definedName>
    <definedName name="WaterSupplyPiping">#REF!</definedName>
    <definedName name="WATR">#REF!</definedName>
    <definedName name="WC">#REF!</definedName>
    <definedName name="WCement">#REF!</definedName>
    <definedName name="WD_FR">#REF!</definedName>
    <definedName name="WD_LF">#REF!</definedName>
    <definedName name="WD_SP">#REF!</definedName>
    <definedName name="WD_VF">#REF!</definedName>
    <definedName name="werty">#REF!,#REF!</definedName>
    <definedName name="WindowCoverings">#REF!</definedName>
    <definedName name="Windows">#REF!</definedName>
    <definedName name="WIREGLASS">#REF!</definedName>
    <definedName name="WORK">#REF!</definedName>
    <definedName name="Wp_WA">#REF!</definedName>
    <definedName name="wq">#REF!</definedName>
    <definedName name="wrn.A." localSheetId="3" hidden="1">{#N/A,#N/A,TRUE,"SUM";#N/A,#N/A,TRUE,"EE";#N/A,#N/A,TRUE,"AC";#N/A,#N/A,TRUE,"SN"}</definedName>
    <definedName name="wrn.A." localSheetId="1" hidden="1">{#N/A,#N/A,TRUE,"SUM";#N/A,#N/A,TRUE,"EE";#N/A,#N/A,TRUE,"AC";#N/A,#N/A,TRUE,"SN"}</definedName>
    <definedName name="wrn.A." hidden="1">{#N/A,#N/A,TRUE,"SUM";#N/A,#N/A,TRUE,"EE";#N/A,#N/A,TRUE,"AC";#N/A,#N/A,TRUE,"SN"}</definedName>
    <definedName name="wrn.BILLS._.OF._.QUANTITY." localSheetId="3" hidden="1">{#N/A,#N/A,TRUE,"Str.";#N/A,#N/A,TRUE,"Steel &amp; Roof";#N/A,#N/A,TRUE,"Arc.";#N/A,#N/A,TRUE,"Preliminary";#N/A,#N/A,TRUE,"Sum_Prelim"}</definedName>
    <definedName name="wrn.BILLS._.OF._.QUANTITY." localSheetId="1" hidden="1">{#N/A,#N/A,TRUE,"Str.";#N/A,#N/A,TRUE,"Steel &amp; Roof";#N/A,#N/A,TRUE,"Arc.";#N/A,#N/A,TRUE,"Preliminary";#N/A,#N/A,TRUE,"Sum_Prelim"}</definedName>
    <definedName name="wrn.BILLS._.OF._.QUANTITY." hidden="1">{#N/A,#N/A,TRUE,"Str.";#N/A,#N/A,TRUE,"Steel &amp; Roof";#N/A,#N/A,TRUE,"Arc.";#N/A,#N/A,TRUE,"Preliminary";#N/A,#N/A,TRUE,"Sum_Prelim"}</definedName>
    <definedName name="WTCM">#REF!</definedName>
    <definedName name="WTP">#REF!</definedName>
    <definedName name="ww" localSheetId="3" hidden="1">{#N/A,#N/A,TRUE,"Str.";#N/A,#N/A,TRUE,"Steel &amp; Roof";#N/A,#N/A,TRUE,"Arc.";#N/A,#N/A,TRUE,"Preliminary";#N/A,#N/A,TRUE,"Sum_Prelim"}</definedName>
    <definedName name="ww" localSheetId="1" hidden="1">{#N/A,#N/A,TRUE,"Str.";#N/A,#N/A,TRUE,"Steel &amp; Roof";#N/A,#N/A,TRUE,"Arc.";#N/A,#N/A,TRUE,"Preliminary";#N/A,#N/A,TRUE,"Sum_Prelim"}</definedName>
    <definedName name="ww" hidden="1">{#N/A,#N/A,TRUE,"Str.";#N/A,#N/A,TRUE,"Steel &amp; Roof";#N/A,#N/A,TRUE,"Arc.";#N/A,#N/A,TRUE,"Preliminary";#N/A,#N/A,TRUE,"Sum_Prelim"}</definedName>
    <definedName name="WWP">#REF!</definedName>
    <definedName name="WWTP">#REF!</definedName>
    <definedName name="www">#REF!</definedName>
    <definedName name="x">#REF!</definedName>
    <definedName name="xcvb" localSheetId="3">#REF!,#REF!</definedName>
    <definedName name="xcvb" localSheetId="1">#REF!,#REF!</definedName>
    <definedName name="xcvb">#REF!,#REF!</definedName>
    <definedName name="XDIV">#REF!</definedName>
    <definedName name="XDIVMINOR">#REF!</definedName>
    <definedName name="XREG">#REF!</definedName>
    <definedName name="YDIV">#REF!</definedName>
    <definedName name="YY">#REF!,#REF!</definedName>
    <definedName name="z">#REF!</definedName>
    <definedName name="ZAPROW">#REF!</definedName>
    <definedName name="ZKB">#REF!</definedName>
    <definedName name="ZYX">#REF!</definedName>
    <definedName name="ZZ">#REF!</definedName>
    <definedName name="ZZZ">#REF!</definedName>
    <definedName name="เตรียมการ">#REF!</definedName>
    <definedName name="แก้ไข" localSheetId="3" hidden="1">{#N/A,#N/A,TRUE,"Str.";#N/A,#N/A,TRUE,"Steel &amp; Roof";#N/A,#N/A,TRUE,"Arc.";#N/A,#N/A,TRUE,"Preliminary";#N/A,#N/A,TRUE,"Sum_Prelim"}</definedName>
    <definedName name="แก้ไข" localSheetId="1" hidden="1">{#N/A,#N/A,TRUE,"Str.";#N/A,#N/A,TRUE,"Steel &amp; Roof";#N/A,#N/A,TRUE,"Arc.";#N/A,#N/A,TRUE,"Preliminary";#N/A,#N/A,TRUE,"Sum_Prelim"}</definedName>
    <definedName name="แก้ไข" hidden="1">{#N/A,#N/A,TRUE,"Str.";#N/A,#N/A,TRUE,"Steel &amp; Roof";#N/A,#N/A,TRUE,"Arc.";#N/A,#N/A,TRUE,"Preliminary";#N/A,#N/A,TRUE,"Sum_Prelim"}</definedName>
    <definedName name="งานภายนอก">#REF!</definedName>
    <definedName name="จำนวน" localSheetId="3">IF(OFFSET(#REF!,0,#REF!)="","",OFFSET(#REF!,0,#REF!))</definedName>
    <definedName name="จำนวน" localSheetId="1">IF(OFFSET(#REF!,0,#REF!)="","",OFFSET(#REF!,0,#REF!))</definedName>
    <definedName name="จำนวน">IF(OFFSET(#REF!,0,#REF!)="","",OFFSET(#REF!,0,#REF!))</definedName>
    <definedName name="ถนน">#REF!</definedName>
    <definedName name="ธธธธ" localSheetId="3" hidden="1">{#N/A,#N/A,TRUE,"Str.";#N/A,#N/A,TRUE,"Steel &amp; Roof";#N/A,#N/A,TRUE,"Arc.";#N/A,#N/A,TRUE,"Preliminary";#N/A,#N/A,TRUE,"Sum_Prelim"}</definedName>
    <definedName name="ธธธธ" localSheetId="1" hidden="1">{#N/A,#N/A,TRUE,"Str.";#N/A,#N/A,TRUE,"Steel &amp; Roof";#N/A,#N/A,TRUE,"Arc.";#N/A,#N/A,TRUE,"Preliminary";#N/A,#N/A,TRUE,"Sum_Prelim"}</definedName>
    <definedName name="ธธธธ" hidden="1">{#N/A,#N/A,TRUE,"Str.";#N/A,#N/A,TRUE,"Steel &amp; Roof";#N/A,#N/A,TRUE,"Arc.";#N/A,#N/A,TRUE,"Preliminary";#N/A,#N/A,TRUE,"Sum_Prelim"}</definedName>
    <definedName name="บันทัด">#REF!</definedName>
    <definedName name="พอ">#REF!</definedName>
    <definedName name="ฟภุ">#REF!</definedName>
    <definedName name="ฟๅ">#REF!</definedName>
    <definedName name="รวม" localSheetId="3" hidden="1">{#N/A,#N/A,TRUE,"Str.";#N/A,#N/A,TRUE,"Steel &amp; Roof";#N/A,#N/A,TRUE,"Arc.";#N/A,#N/A,TRUE,"Preliminary";#N/A,#N/A,TRUE,"Sum_Prelim"}</definedName>
    <definedName name="รวม" localSheetId="1" hidden="1">{#N/A,#N/A,TRUE,"Str.";#N/A,#N/A,TRUE,"Steel &amp; Roof";#N/A,#N/A,TRUE,"Arc.";#N/A,#N/A,TRUE,"Preliminary";#N/A,#N/A,TRUE,"Sum_Prelim"}</definedName>
    <definedName name="รวม" hidden="1">{#N/A,#N/A,TRUE,"Str.";#N/A,#N/A,TRUE,"Steel &amp; Roof";#N/A,#N/A,TRUE,"Arc.";#N/A,#N/A,TRUE,"Preliminary";#N/A,#N/A,TRUE,"Sum_Prelim"}</definedName>
    <definedName name="สำเริง" localSheetId="3" hidden="1">{#N/A,#N/A,TRUE,"Str.";#N/A,#N/A,TRUE,"Steel &amp; Roof";#N/A,#N/A,TRUE,"Arc.";#N/A,#N/A,TRUE,"Preliminary";#N/A,#N/A,TRUE,"Sum_Prelim"}</definedName>
    <definedName name="สำเริง" localSheetId="1" hidden="1">{#N/A,#N/A,TRUE,"Str.";#N/A,#N/A,TRUE,"Steel &amp; Roof";#N/A,#N/A,TRUE,"Arc.";#N/A,#N/A,TRUE,"Preliminary";#N/A,#N/A,TRUE,"Sum_Prelim"}</definedName>
    <definedName name="สำเริง" hidden="1">{#N/A,#N/A,TRUE,"Str.";#N/A,#N/A,TRUE,"Steel &amp; Roof";#N/A,#N/A,TRUE,"Arc.";#N/A,#N/A,TRUE,"Preliminary";#N/A,#N/A,TRUE,"Sum_Prelim"}</definedName>
  </definedNames>
  <calcPr calcId="191029" iterate="1"/>
</workbook>
</file>

<file path=xl/calcChain.xml><?xml version="1.0" encoding="utf-8"?>
<calcChain xmlns="http://schemas.openxmlformats.org/spreadsheetml/2006/main">
  <c r="Q62" i="19" l="1"/>
  <c r="Q59" i="19" l="1"/>
  <c r="I8" i="5" l="1"/>
  <c r="K8" i="5"/>
  <c r="L8" i="5"/>
  <c r="I9" i="5"/>
  <c r="M9" i="5" s="1"/>
  <c r="K9" i="5"/>
  <c r="L9" i="5"/>
  <c r="I10" i="5"/>
  <c r="K10" i="5"/>
  <c r="L10" i="5"/>
  <c r="I13" i="5"/>
  <c r="M13" i="5" s="1"/>
  <c r="K13" i="5"/>
  <c r="L13" i="5"/>
  <c r="I14" i="5"/>
  <c r="K14" i="5"/>
  <c r="L14" i="5"/>
  <c r="I15" i="5"/>
  <c r="M15" i="5" s="1"/>
  <c r="K15" i="5"/>
  <c r="L15" i="5"/>
  <c r="I18" i="5"/>
  <c r="K18" i="5"/>
  <c r="L18" i="5"/>
  <c r="I19" i="5"/>
  <c r="M19" i="5" s="1"/>
  <c r="K19" i="5"/>
  <c r="L19" i="5"/>
  <c r="I20" i="5"/>
  <c r="K20" i="5"/>
  <c r="L20" i="5"/>
  <c r="I21" i="5"/>
  <c r="M21" i="5" s="1"/>
  <c r="K21" i="5"/>
  <c r="L21" i="5"/>
  <c r="I25" i="5"/>
  <c r="K25" i="5"/>
  <c r="L25" i="5"/>
  <c r="I29" i="5"/>
  <c r="M29" i="5" s="1"/>
  <c r="K29" i="5"/>
  <c r="L29" i="5"/>
  <c r="I31" i="5"/>
  <c r="K31" i="5"/>
  <c r="L31" i="5"/>
  <c r="I32" i="5"/>
  <c r="M32" i="5" s="1"/>
  <c r="K32" i="5"/>
  <c r="L32" i="5"/>
  <c r="I34" i="5"/>
  <c r="K34" i="5"/>
  <c r="L34" i="5"/>
  <c r="I35" i="5"/>
  <c r="M35" i="5" s="1"/>
  <c r="K35" i="5"/>
  <c r="L35" i="5"/>
  <c r="I36" i="5"/>
  <c r="K36" i="5"/>
  <c r="L36" i="5"/>
  <c r="I37" i="5"/>
  <c r="M37" i="5" s="1"/>
  <c r="K37" i="5"/>
  <c r="L37" i="5"/>
  <c r="I38" i="5"/>
  <c r="K38" i="5"/>
  <c r="L38" i="5"/>
  <c r="I39" i="5"/>
  <c r="M39" i="5" s="1"/>
  <c r="K39" i="5"/>
  <c r="L39" i="5"/>
  <c r="I40" i="5"/>
  <c r="K40" i="5"/>
  <c r="L40" i="5"/>
  <c r="I46" i="5"/>
  <c r="K46" i="5"/>
  <c r="L46" i="5"/>
  <c r="I50" i="5"/>
  <c r="K50" i="5"/>
  <c r="M50" i="5" s="1"/>
  <c r="L50" i="5"/>
  <c r="I54" i="5"/>
  <c r="K54" i="5"/>
  <c r="L54" i="5"/>
  <c r="I56" i="5"/>
  <c r="K56" i="5"/>
  <c r="L56" i="5"/>
  <c r="I57" i="5"/>
  <c r="K57" i="5"/>
  <c r="L57" i="5"/>
  <c r="M40" i="5" l="1"/>
  <c r="M36" i="5"/>
  <c r="M31" i="5"/>
  <c r="M20" i="5"/>
  <c r="M14" i="5"/>
  <c r="M8" i="5"/>
  <c r="M38" i="5"/>
  <c r="M34" i="5"/>
  <c r="M25" i="5"/>
  <c r="M18" i="5"/>
  <c r="M10" i="5"/>
  <c r="M54" i="5"/>
  <c r="M56" i="5"/>
  <c r="M57" i="5"/>
  <c r="M46" i="5"/>
  <c r="I7" i="19"/>
  <c r="J63" i="20" l="1"/>
  <c r="I63" i="20"/>
  <c r="G63" i="20"/>
  <c r="J62" i="20"/>
  <c r="I62" i="20"/>
  <c r="G62" i="20"/>
  <c r="J61" i="20"/>
  <c r="I61" i="20"/>
  <c r="G61" i="20"/>
  <c r="J60" i="20"/>
  <c r="I60" i="20"/>
  <c r="K60" i="20" s="1"/>
  <c r="G60" i="20"/>
  <c r="J57" i="20"/>
  <c r="I57" i="20"/>
  <c r="G57" i="20"/>
  <c r="J54" i="20"/>
  <c r="I54" i="20"/>
  <c r="G54" i="20"/>
  <c r="J51" i="20"/>
  <c r="I51" i="20"/>
  <c r="K51" i="20" s="1"/>
  <c r="G51" i="20"/>
  <c r="K48" i="20"/>
  <c r="J48" i="20"/>
  <c r="I48" i="20"/>
  <c r="G48" i="20"/>
  <c r="K47" i="20"/>
  <c r="J47" i="20"/>
  <c r="I47" i="20"/>
  <c r="G47" i="20"/>
  <c r="K46" i="20"/>
  <c r="J46" i="20"/>
  <c r="I46" i="20"/>
  <c r="G46" i="20"/>
  <c r="K45" i="20"/>
  <c r="J45" i="20"/>
  <c r="I45" i="20"/>
  <c r="G45" i="20"/>
  <c r="J42" i="20"/>
  <c r="I42" i="20"/>
  <c r="K42" i="20" s="1"/>
  <c r="G42" i="20"/>
  <c r="J38" i="20"/>
  <c r="I38" i="20"/>
  <c r="K38" i="20" s="1"/>
  <c r="G38" i="20"/>
  <c r="J30" i="20"/>
  <c r="I30" i="20"/>
  <c r="G30" i="20"/>
  <c r="J29" i="20"/>
  <c r="I29" i="20"/>
  <c r="K29" i="20" s="1"/>
  <c r="G29" i="20"/>
  <c r="J28" i="20"/>
  <c r="I28" i="20"/>
  <c r="G28" i="20"/>
  <c r="J27" i="20"/>
  <c r="I27" i="20"/>
  <c r="G27" i="20"/>
  <c r="J24" i="20"/>
  <c r="I24" i="20"/>
  <c r="G24" i="20"/>
  <c r="G38" i="9"/>
  <c r="K121" i="19"/>
  <c r="M121" i="19" s="1"/>
  <c r="K121" i="5"/>
  <c r="M121" i="5" s="1"/>
  <c r="L141" i="5"/>
  <c r="K141" i="5"/>
  <c r="I141" i="5"/>
  <c r="L140" i="5"/>
  <c r="K140" i="5"/>
  <c r="I140" i="5"/>
  <c r="K28" i="20" l="1"/>
  <c r="K57" i="20"/>
  <c r="K63" i="20"/>
  <c r="K54" i="20"/>
  <c r="K62" i="20"/>
  <c r="K24" i="20"/>
  <c r="K30" i="20"/>
  <c r="K61" i="20"/>
  <c r="M140" i="5"/>
  <c r="M141" i="5"/>
  <c r="K27" i="20"/>
  <c r="L104" i="19"/>
  <c r="L199" i="19" l="1"/>
  <c r="K199" i="19"/>
  <c r="I199" i="19"/>
  <c r="L198" i="19"/>
  <c r="K198" i="19"/>
  <c r="M198" i="19" s="1"/>
  <c r="I198" i="19"/>
  <c r="L197" i="19"/>
  <c r="K197" i="19"/>
  <c r="I197" i="19"/>
  <c r="L194" i="19"/>
  <c r="K194" i="19"/>
  <c r="I194" i="19"/>
  <c r="L191" i="19"/>
  <c r="K191" i="19"/>
  <c r="M191" i="19" s="1"/>
  <c r="I191" i="19"/>
  <c r="L188" i="19"/>
  <c r="K188" i="19"/>
  <c r="I188" i="19"/>
  <c r="L187" i="19"/>
  <c r="K187" i="19"/>
  <c r="I187" i="19"/>
  <c r="L185" i="19"/>
  <c r="K185" i="19"/>
  <c r="I185" i="19"/>
  <c r="L183" i="19"/>
  <c r="K183" i="19"/>
  <c r="I183" i="19"/>
  <c r="L175" i="19"/>
  <c r="K175" i="19"/>
  <c r="I175" i="19"/>
  <c r="L174" i="19"/>
  <c r="K174" i="19"/>
  <c r="I174" i="19"/>
  <c r="L173" i="19"/>
  <c r="K173" i="19"/>
  <c r="I173" i="19"/>
  <c r="L172" i="19"/>
  <c r="K172" i="19"/>
  <c r="I172" i="19"/>
  <c r="L171" i="19"/>
  <c r="K171" i="19"/>
  <c r="I171" i="19"/>
  <c r="L170" i="19"/>
  <c r="K170" i="19"/>
  <c r="I170" i="19"/>
  <c r="L169" i="19"/>
  <c r="K169" i="19"/>
  <c r="I169" i="19"/>
  <c r="L168" i="19"/>
  <c r="K168" i="19"/>
  <c r="I168" i="19"/>
  <c r="L167" i="19"/>
  <c r="K167" i="19"/>
  <c r="I167" i="19"/>
  <c r="L166" i="19"/>
  <c r="K166" i="19"/>
  <c r="I166" i="19"/>
  <c r="L165" i="19"/>
  <c r="K165" i="19"/>
  <c r="I165" i="19"/>
  <c r="L164" i="19"/>
  <c r="K164" i="19"/>
  <c r="I164" i="19"/>
  <c r="L160" i="19"/>
  <c r="K160" i="19"/>
  <c r="I160" i="19"/>
  <c r="L159" i="19"/>
  <c r="K159" i="19"/>
  <c r="I159" i="19"/>
  <c r="L153" i="19"/>
  <c r="K153" i="19"/>
  <c r="I153" i="19"/>
  <c r="L152" i="19"/>
  <c r="K152" i="19"/>
  <c r="I152" i="19"/>
  <c r="L151" i="19"/>
  <c r="K151" i="19"/>
  <c r="I151" i="19"/>
  <c r="L148" i="19"/>
  <c r="K148" i="19"/>
  <c r="I148" i="19"/>
  <c r="L147" i="19"/>
  <c r="K147" i="19"/>
  <c r="I147" i="19"/>
  <c r="L146" i="19"/>
  <c r="K146" i="19"/>
  <c r="I146" i="19"/>
  <c r="L142" i="19"/>
  <c r="K142" i="19"/>
  <c r="I142" i="19"/>
  <c r="L137" i="19"/>
  <c r="K137" i="19"/>
  <c r="I137" i="19"/>
  <c r="L132" i="19"/>
  <c r="K132" i="19"/>
  <c r="I132" i="19"/>
  <c r="M132" i="19" s="1"/>
  <c r="L117" i="19"/>
  <c r="K117" i="19"/>
  <c r="I117" i="19"/>
  <c r="L116" i="19"/>
  <c r="K116" i="19"/>
  <c r="I116" i="19"/>
  <c r="L115" i="19"/>
  <c r="K115" i="19"/>
  <c r="I115" i="19"/>
  <c r="L107" i="19"/>
  <c r="K107" i="19"/>
  <c r="I107" i="19"/>
  <c r="M107" i="19" s="1"/>
  <c r="L106" i="19"/>
  <c r="K106" i="19"/>
  <c r="I106" i="19"/>
  <c r="L103" i="19"/>
  <c r="L101" i="19"/>
  <c r="K101" i="19"/>
  <c r="I101" i="19"/>
  <c r="M101" i="19" s="1"/>
  <c r="L100" i="19"/>
  <c r="K100" i="19"/>
  <c r="I100" i="19"/>
  <c r="M99" i="19"/>
  <c r="L99" i="19"/>
  <c r="K99" i="19"/>
  <c r="I99" i="19"/>
  <c r="M98" i="19"/>
  <c r="L98" i="19"/>
  <c r="K98" i="19"/>
  <c r="I98" i="19"/>
  <c r="L82" i="19"/>
  <c r="K82" i="19"/>
  <c r="M82" i="19" s="1"/>
  <c r="I82" i="19"/>
  <c r="L81" i="19"/>
  <c r="K81" i="19"/>
  <c r="I81" i="19"/>
  <c r="L78" i="19"/>
  <c r="K78" i="19"/>
  <c r="I78" i="19"/>
  <c r="L77" i="19"/>
  <c r="K77" i="19"/>
  <c r="M77" i="19" s="1"/>
  <c r="I77" i="19"/>
  <c r="L71" i="19"/>
  <c r="K71" i="19"/>
  <c r="I71" i="19"/>
  <c r="L62" i="19"/>
  <c r="K62" i="19"/>
  <c r="I62" i="19"/>
  <c r="L56" i="19"/>
  <c r="K56" i="19"/>
  <c r="I56" i="19"/>
  <c r="L55" i="19"/>
  <c r="K55" i="19"/>
  <c r="I55" i="19"/>
  <c r="L141" i="19"/>
  <c r="K141" i="19"/>
  <c r="I141" i="19"/>
  <c r="L140" i="19"/>
  <c r="K140" i="19"/>
  <c r="I140" i="19"/>
  <c r="L128" i="19"/>
  <c r="K128" i="19"/>
  <c r="I128" i="19"/>
  <c r="L123" i="19"/>
  <c r="K123" i="19"/>
  <c r="M123" i="19" s="1"/>
  <c r="I123" i="19"/>
  <c r="L122" i="19"/>
  <c r="K122" i="19"/>
  <c r="I122" i="19"/>
  <c r="L120" i="19"/>
  <c r="K120" i="19"/>
  <c r="I120" i="19"/>
  <c r="L112" i="19"/>
  <c r="K112" i="19"/>
  <c r="I112" i="19"/>
  <c r="L111" i="19"/>
  <c r="K111" i="19"/>
  <c r="I111" i="19"/>
  <c r="L110" i="19"/>
  <c r="K110" i="19"/>
  <c r="I110" i="19"/>
  <c r="L105" i="19"/>
  <c r="K105" i="19"/>
  <c r="I105" i="19"/>
  <c r="L102" i="19"/>
  <c r="K102" i="19"/>
  <c r="I102" i="19"/>
  <c r="L90" i="19"/>
  <c r="K90" i="19"/>
  <c r="I90" i="19"/>
  <c r="L87" i="19"/>
  <c r="K87" i="19"/>
  <c r="I87" i="19"/>
  <c r="L75" i="19"/>
  <c r="K75" i="19"/>
  <c r="I75" i="19"/>
  <c r="L72" i="19"/>
  <c r="K72" i="19"/>
  <c r="I72" i="19"/>
  <c r="M72" i="19" s="1"/>
  <c r="L63" i="19"/>
  <c r="K63" i="19"/>
  <c r="I63" i="19"/>
  <c r="L54" i="19"/>
  <c r="K54" i="19"/>
  <c r="I54" i="19"/>
  <c r="L50" i="19"/>
  <c r="K50" i="19"/>
  <c r="I50" i="19"/>
  <c r="L46" i="19"/>
  <c r="K46" i="19"/>
  <c r="I46" i="19"/>
  <c r="L31" i="19"/>
  <c r="K31" i="19"/>
  <c r="I31" i="19"/>
  <c r="L30" i="19"/>
  <c r="K30" i="19"/>
  <c r="I30" i="19"/>
  <c r="L28" i="19"/>
  <c r="K28" i="19"/>
  <c r="I28" i="19"/>
  <c r="L23" i="19"/>
  <c r="K23" i="19"/>
  <c r="I23" i="19"/>
  <c r="L14" i="19"/>
  <c r="K14" i="19"/>
  <c r="I14" i="19"/>
  <c r="M14" i="19" s="1"/>
  <c r="L13" i="19"/>
  <c r="K13" i="19"/>
  <c r="I13" i="19"/>
  <c r="L12" i="19"/>
  <c r="K12" i="19"/>
  <c r="M12" i="19" s="1"/>
  <c r="I12" i="19"/>
  <c r="L9" i="19"/>
  <c r="K9" i="19"/>
  <c r="M9" i="19" s="1"/>
  <c r="I9" i="19"/>
  <c r="L8" i="19"/>
  <c r="K8" i="19"/>
  <c r="I8" i="19"/>
  <c r="L7" i="19"/>
  <c r="K7" i="19"/>
  <c r="M7" i="19"/>
  <c r="L39" i="19"/>
  <c r="K39" i="19"/>
  <c r="I39" i="19"/>
  <c r="L38" i="19"/>
  <c r="K38" i="19"/>
  <c r="I38" i="19"/>
  <c r="L37" i="19"/>
  <c r="K37" i="19"/>
  <c r="I37" i="19"/>
  <c r="L36" i="19"/>
  <c r="K36" i="19"/>
  <c r="I36" i="19"/>
  <c r="L35" i="19"/>
  <c r="K35" i="19"/>
  <c r="I35" i="19"/>
  <c r="L34" i="19"/>
  <c r="K34" i="19"/>
  <c r="I34" i="19"/>
  <c r="L33" i="19"/>
  <c r="K33" i="19"/>
  <c r="I33" i="19"/>
  <c r="L27" i="19"/>
  <c r="K27" i="19"/>
  <c r="I27" i="19"/>
  <c r="M27" i="19" s="1"/>
  <c r="M24" i="19"/>
  <c r="L24" i="19"/>
  <c r="K24" i="19"/>
  <c r="I24" i="19"/>
  <c r="M20" i="19"/>
  <c r="L20" i="19"/>
  <c r="K20" i="19"/>
  <c r="I20" i="19"/>
  <c r="L19" i="19"/>
  <c r="K19" i="19"/>
  <c r="M19" i="19" s="1"/>
  <c r="I19" i="19"/>
  <c r="L18" i="19"/>
  <c r="K18" i="19"/>
  <c r="I18" i="19"/>
  <c r="L17" i="19"/>
  <c r="K17" i="19"/>
  <c r="I17" i="19"/>
  <c r="J19" i="20"/>
  <c r="J18" i="20"/>
  <c r="J15" i="20"/>
  <c r="J12" i="20"/>
  <c r="J11" i="20"/>
  <c r="J10" i="20"/>
  <c r="J9" i="20"/>
  <c r="J8" i="20"/>
  <c r="J7" i="20"/>
  <c r="I19" i="20"/>
  <c r="K19" i="20" s="1"/>
  <c r="G19" i="20"/>
  <c r="I18" i="20"/>
  <c r="G18" i="20"/>
  <c r="I15" i="20"/>
  <c r="K15" i="20" s="1"/>
  <c r="G15" i="20"/>
  <c r="I12" i="20"/>
  <c r="K12" i="20" s="1"/>
  <c r="G12" i="20"/>
  <c r="I11" i="20"/>
  <c r="K11" i="20" s="1"/>
  <c r="G11" i="20"/>
  <c r="I10" i="20"/>
  <c r="K10" i="20" s="1"/>
  <c r="G10" i="20"/>
  <c r="I9" i="20"/>
  <c r="K9" i="20" s="1"/>
  <c r="G9" i="20"/>
  <c r="I8" i="20"/>
  <c r="K8" i="20" s="1"/>
  <c r="G8" i="20"/>
  <c r="I7" i="20"/>
  <c r="K7" i="20" s="1"/>
  <c r="G7" i="20"/>
  <c r="I65" i="20" l="1"/>
  <c r="D11" i="11" s="1"/>
  <c r="G65" i="20"/>
  <c r="C11" i="11" s="1"/>
  <c r="M71" i="19"/>
  <c r="M199" i="19"/>
  <c r="M194" i="19"/>
  <c r="M185" i="19"/>
  <c r="M183" i="19"/>
  <c r="M165" i="19"/>
  <c r="M169" i="19"/>
  <c r="M173" i="19"/>
  <c r="M164" i="19"/>
  <c r="M168" i="19"/>
  <c r="M172" i="19"/>
  <c r="M153" i="19"/>
  <c r="M152" i="19"/>
  <c r="M147" i="19"/>
  <c r="M146" i="19"/>
  <c r="M120" i="19"/>
  <c r="M115" i="19"/>
  <c r="M117" i="19"/>
  <c r="M105" i="19"/>
  <c r="M75" i="19"/>
  <c r="M63" i="19"/>
  <c r="M56" i="19"/>
  <c r="M55" i="19"/>
  <c r="M35" i="19"/>
  <c r="M39" i="19"/>
  <c r="M34" i="19"/>
  <c r="M38" i="19"/>
  <c r="M31" i="19"/>
  <c r="M30" i="19"/>
  <c r="M28" i="19"/>
  <c r="M18" i="19"/>
  <c r="M33" i="19"/>
  <c r="M37" i="19"/>
  <c r="M13" i="19"/>
  <c r="M100" i="19"/>
  <c r="M116" i="19"/>
  <c r="M151" i="19"/>
  <c r="M160" i="19"/>
  <c r="M167" i="19"/>
  <c r="M171" i="19"/>
  <c r="M175" i="19"/>
  <c r="M197" i="19"/>
  <c r="M17" i="19"/>
  <c r="M36" i="19"/>
  <c r="M148" i="19"/>
  <c r="M159" i="19"/>
  <c r="M166" i="19"/>
  <c r="M170" i="19"/>
  <c r="M174" i="19"/>
  <c r="M187" i="19"/>
  <c r="M188" i="19"/>
  <c r="M112" i="19"/>
  <c r="M62" i="19"/>
  <c r="M142" i="19"/>
  <c r="M140" i="19"/>
  <c r="M137" i="19"/>
  <c r="M87" i="19"/>
  <c r="M81" i="19"/>
  <c r="K18" i="20"/>
  <c r="K65" i="20" s="1"/>
  <c r="M141" i="19"/>
  <c r="M128" i="19"/>
  <c r="M122" i="19"/>
  <c r="M111" i="19"/>
  <c r="M110" i="19"/>
  <c r="M8" i="19"/>
  <c r="M106" i="19"/>
  <c r="M102" i="19"/>
  <c r="M78" i="19"/>
  <c r="M23" i="19"/>
  <c r="M90" i="19"/>
  <c r="M54" i="19"/>
  <c r="M50" i="19"/>
  <c r="M46" i="19"/>
  <c r="E11" i="11" l="1"/>
  <c r="C15" i="20"/>
  <c r="E103" i="19"/>
  <c r="I103" i="19" l="1"/>
  <c r="I201" i="19" s="1"/>
  <c r="C7" i="11" s="1"/>
  <c r="K103" i="19"/>
  <c r="J63" i="9"/>
  <c r="I63" i="9"/>
  <c r="G63" i="9"/>
  <c r="J62" i="9"/>
  <c r="I62" i="9"/>
  <c r="G62" i="9"/>
  <c r="J61" i="9"/>
  <c r="I61" i="9"/>
  <c r="G61" i="9"/>
  <c r="K61" i="9" s="1"/>
  <c r="J60" i="9"/>
  <c r="I60" i="9"/>
  <c r="G60" i="9"/>
  <c r="J57" i="9"/>
  <c r="I57" i="9"/>
  <c r="G57" i="9"/>
  <c r="J54" i="9"/>
  <c r="I54" i="9"/>
  <c r="K54" i="9" s="1"/>
  <c r="G54" i="9"/>
  <c r="J51" i="9"/>
  <c r="I51" i="9"/>
  <c r="G51" i="9"/>
  <c r="K51" i="9" s="1"/>
  <c r="J48" i="9"/>
  <c r="I48" i="9"/>
  <c r="G48" i="9"/>
  <c r="J47" i="9"/>
  <c r="I47" i="9"/>
  <c r="G47" i="9"/>
  <c r="J46" i="9"/>
  <c r="I46" i="9"/>
  <c r="K46" i="9" s="1"/>
  <c r="G46" i="9"/>
  <c r="J45" i="9"/>
  <c r="I45" i="9"/>
  <c r="G45" i="9"/>
  <c r="K45" i="9" s="1"/>
  <c r="J42" i="9"/>
  <c r="I42" i="9"/>
  <c r="G42" i="9"/>
  <c r="J38" i="9"/>
  <c r="I38" i="9"/>
  <c r="K38" i="9" s="1"/>
  <c r="J30" i="9"/>
  <c r="I30" i="9"/>
  <c r="G30" i="9"/>
  <c r="K30" i="9" s="1"/>
  <c r="J29" i="9"/>
  <c r="I29" i="9"/>
  <c r="G29" i="9"/>
  <c r="J28" i="9"/>
  <c r="I28" i="9"/>
  <c r="G28" i="9"/>
  <c r="J27" i="9"/>
  <c r="I27" i="9"/>
  <c r="G27" i="9"/>
  <c r="K27" i="9" s="1"/>
  <c r="J24" i="9"/>
  <c r="I24" i="9"/>
  <c r="G24" i="9"/>
  <c r="J19" i="9"/>
  <c r="I19" i="9"/>
  <c r="G19" i="9"/>
  <c r="J18" i="9"/>
  <c r="I18" i="9"/>
  <c r="G18" i="9"/>
  <c r="J15" i="9"/>
  <c r="I15" i="9"/>
  <c r="G15" i="9"/>
  <c r="J12" i="9"/>
  <c r="I12" i="9"/>
  <c r="G12" i="9"/>
  <c r="J11" i="9"/>
  <c r="I11" i="9"/>
  <c r="G11" i="9"/>
  <c r="J10" i="9"/>
  <c r="I10" i="9"/>
  <c r="G10" i="9"/>
  <c r="J9" i="9"/>
  <c r="I9" i="9"/>
  <c r="G9" i="9"/>
  <c r="K9" i="9" s="1"/>
  <c r="J8" i="9"/>
  <c r="I8" i="9"/>
  <c r="G8" i="9"/>
  <c r="K8" i="9" s="1"/>
  <c r="J7" i="9"/>
  <c r="I7" i="9"/>
  <c r="G7" i="9"/>
  <c r="L105" i="5"/>
  <c r="K19" i="9" l="1"/>
  <c r="K18" i="9"/>
  <c r="K57" i="9"/>
  <c r="K62" i="9"/>
  <c r="K10" i="9"/>
  <c r="K28" i="9"/>
  <c r="K60" i="9"/>
  <c r="K11" i="9"/>
  <c r="K29" i="9"/>
  <c r="K42" i="9"/>
  <c r="M103" i="19"/>
  <c r="M201" i="19" s="1"/>
  <c r="K201" i="19"/>
  <c r="D7" i="11" s="1"/>
  <c r="E7" i="11" s="1"/>
  <c r="I65" i="9"/>
  <c r="D12" i="11" s="1"/>
  <c r="K63" i="9"/>
  <c r="K48" i="9"/>
  <c r="K47" i="9"/>
  <c r="K24" i="9"/>
  <c r="K15" i="9"/>
  <c r="K12" i="9"/>
  <c r="G65" i="9"/>
  <c r="C12" i="11" s="1"/>
  <c r="K7" i="9"/>
  <c r="E12" i="11" l="1"/>
  <c r="K65" i="9"/>
  <c r="L199" i="5"/>
  <c r="K199" i="5"/>
  <c r="I199" i="5"/>
  <c r="L198" i="5"/>
  <c r="K198" i="5"/>
  <c r="I198" i="5"/>
  <c r="M198" i="5" s="1"/>
  <c r="L197" i="5"/>
  <c r="K197" i="5"/>
  <c r="I197" i="5"/>
  <c r="L194" i="5"/>
  <c r="K194" i="5"/>
  <c r="M194" i="5" s="1"/>
  <c r="I194" i="5"/>
  <c r="L191" i="5"/>
  <c r="K191" i="5"/>
  <c r="M191" i="5" s="1"/>
  <c r="I191" i="5"/>
  <c r="L188" i="5"/>
  <c r="K188" i="5"/>
  <c r="M188" i="5" s="1"/>
  <c r="I188" i="5"/>
  <c r="L187" i="5"/>
  <c r="K187" i="5"/>
  <c r="M187" i="5" s="1"/>
  <c r="I187" i="5"/>
  <c r="L185" i="5"/>
  <c r="K185" i="5"/>
  <c r="I185" i="5"/>
  <c r="L183" i="5"/>
  <c r="K183" i="5"/>
  <c r="M183" i="5" s="1"/>
  <c r="I183" i="5"/>
  <c r="L175" i="5"/>
  <c r="K175" i="5"/>
  <c r="I175" i="5"/>
  <c r="L174" i="5"/>
  <c r="K174" i="5"/>
  <c r="I174" i="5"/>
  <c r="L173" i="5"/>
  <c r="K173" i="5"/>
  <c r="I173" i="5"/>
  <c r="L172" i="5"/>
  <c r="K172" i="5"/>
  <c r="I172" i="5"/>
  <c r="L171" i="5"/>
  <c r="K171" i="5"/>
  <c r="I171" i="5"/>
  <c r="L170" i="5"/>
  <c r="K170" i="5"/>
  <c r="I170" i="5"/>
  <c r="L169" i="5"/>
  <c r="K169" i="5"/>
  <c r="I169" i="5"/>
  <c r="L168" i="5"/>
  <c r="K168" i="5"/>
  <c r="I168" i="5"/>
  <c r="L167" i="5"/>
  <c r="K167" i="5"/>
  <c r="I167" i="5"/>
  <c r="L166" i="5"/>
  <c r="K166" i="5"/>
  <c r="I166" i="5"/>
  <c r="L165" i="5"/>
  <c r="K165" i="5"/>
  <c r="I165" i="5"/>
  <c r="L164" i="5"/>
  <c r="K164" i="5"/>
  <c r="I164" i="5"/>
  <c r="L160" i="5"/>
  <c r="K160" i="5"/>
  <c r="M160" i="5" s="1"/>
  <c r="I160" i="5"/>
  <c r="L159" i="5"/>
  <c r="K159" i="5"/>
  <c r="M159" i="5" s="1"/>
  <c r="I159" i="5"/>
  <c r="L153" i="5"/>
  <c r="K153" i="5"/>
  <c r="I153" i="5"/>
  <c r="L152" i="5"/>
  <c r="K152" i="5"/>
  <c r="I152" i="5"/>
  <c r="L151" i="5"/>
  <c r="K151" i="5"/>
  <c r="I151" i="5"/>
  <c r="L148" i="5"/>
  <c r="K148" i="5"/>
  <c r="I148" i="5"/>
  <c r="L147" i="5"/>
  <c r="K147" i="5"/>
  <c r="I147" i="5"/>
  <c r="L146" i="5"/>
  <c r="K146" i="5"/>
  <c r="M146" i="5" s="1"/>
  <c r="I146" i="5"/>
  <c r="L142" i="5"/>
  <c r="K142" i="5"/>
  <c r="I142" i="5"/>
  <c r="L137" i="5"/>
  <c r="K137" i="5"/>
  <c r="I137" i="5"/>
  <c r="L132" i="5"/>
  <c r="K132" i="5"/>
  <c r="I132" i="5"/>
  <c r="L128" i="5"/>
  <c r="K128" i="5"/>
  <c r="I128" i="5"/>
  <c r="L123" i="5"/>
  <c r="K123" i="5"/>
  <c r="I123" i="5"/>
  <c r="L122" i="5"/>
  <c r="K122" i="5"/>
  <c r="I122" i="5"/>
  <c r="L120" i="5"/>
  <c r="K120" i="5"/>
  <c r="I120" i="5"/>
  <c r="L117" i="5"/>
  <c r="K117" i="5"/>
  <c r="I117" i="5"/>
  <c r="L116" i="5"/>
  <c r="K116" i="5"/>
  <c r="I116" i="5"/>
  <c r="L115" i="5"/>
  <c r="K115" i="5"/>
  <c r="I115" i="5"/>
  <c r="L112" i="5"/>
  <c r="K112" i="5"/>
  <c r="I112" i="5"/>
  <c r="L111" i="5"/>
  <c r="K111" i="5"/>
  <c r="I111" i="5"/>
  <c r="L110" i="5"/>
  <c r="K110" i="5"/>
  <c r="I110" i="5"/>
  <c r="L107" i="5"/>
  <c r="K107" i="5"/>
  <c r="I107" i="5"/>
  <c r="L106" i="5"/>
  <c r="K106" i="5"/>
  <c r="M106" i="5" s="1"/>
  <c r="I106" i="5"/>
  <c r="L104" i="5"/>
  <c r="K104" i="5"/>
  <c r="I104" i="5"/>
  <c r="L103" i="5"/>
  <c r="K103" i="5"/>
  <c r="I103" i="5"/>
  <c r="L102" i="5"/>
  <c r="K102" i="5"/>
  <c r="I102" i="5"/>
  <c r="L101" i="5"/>
  <c r="K101" i="5"/>
  <c r="I101" i="5"/>
  <c r="L100" i="5"/>
  <c r="K100" i="5"/>
  <c r="I100" i="5"/>
  <c r="L99" i="5"/>
  <c r="K99" i="5"/>
  <c r="I99" i="5"/>
  <c r="L95" i="5"/>
  <c r="K95" i="5"/>
  <c r="I95" i="5"/>
  <c r="L90" i="5"/>
  <c r="K90" i="5"/>
  <c r="I90" i="5"/>
  <c r="L87" i="5"/>
  <c r="K87" i="5"/>
  <c r="I87" i="5"/>
  <c r="L83" i="5"/>
  <c r="K83" i="5"/>
  <c r="I83" i="5"/>
  <c r="L82" i="5"/>
  <c r="K82" i="5"/>
  <c r="I82" i="5"/>
  <c r="L79" i="5"/>
  <c r="K79" i="5"/>
  <c r="I79" i="5"/>
  <c r="L78" i="5"/>
  <c r="K78" i="5"/>
  <c r="I78" i="5"/>
  <c r="L72" i="5"/>
  <c r="K72" i="5"/>
  <c r="I72" i="5"/>
  <c r="L71" i="5"/>
  <c r="K71" i="5"/>
  <c r="I71" i="5"/>
  <c r="L63" i="5"/>
  <c r="K63" i="5"/>
  <c r="I63" i="5"/>
  <c r="L62" i="5"/>
  <c r="K62" i="5"/>
  <c r="I62" i="5"/>
  <c r="M151" i="5" l="1"/>
  <c r="I201" i="5"/>
  <c r="C8" i="11" s="1"/>
  <c r="M115" i="5"/>
  <c r="K201" i="5"/>
  <c r="D8" i="11" s="1"/>
  <c r="M199" i="5"/>
  <c r="M197" i="5"/>
  <c r="M185" i="5"/>
  <c r="M153" i="5"/>
  <c r="M152" i="5"/>
  <c r="M148" i="5"/>
  <c r="M147" i="5"/>
  <c r="M142" i="5"/>
  <c r="M123" i="5"/>
  <c r="M122" i="5"/>
  <c r="M117" i="5"/>
  <c r="M116" i="5"/>
  <c r="M107" i="5"/>
  <c r="M104" i="5"/>
  <c r="M103" i="5"/>
  <c r="M102" i="5"/>
  <c r="M101" i="5"/>
  <c r="M100" i="5"/>
  <c r="M99" i="5"/>
  <c r="M90" i="5"/>
  <c r="M83" i="5"/>
  <c r="M82" i="5"/>
  <c r="M72" i="5"/>
  <c r="M71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37" i="5"/>
  <c r="M132" i="5"/>
  <c r="M128" i="5"/>
  <c r="M120" i="5"/>
  <c r="M112" i="5"/>
  <c r="M111" i="5"/>
  <c r="M110" i="5"/>
  <c r="M95" i="5"/>
  <c r="M87" i="5"/>
  <c r="M79" i="5"/>
  <c r="M78" i="5"/>
  <c r="M63" i="5"/>
  <c r="M62" i="5"/>
  <c r="E8" i="11" l="1"/>
  <c r="M201" i="5"/>
  <c r="C15" i="9"/>
  <c r="E83" i="7"/>
  <c r="E84" i="7"/>
  <c r="E85" i="7"/>
  <c r="A88" i="7"/>
  <c r="A89" i="7" s="1"/>
  <c r="E145" i="7"/>
  <c r="E146" i="7"/>
  <c r="E154" i="7"/>
  <c r="E160" i="7"/>
  <c r="E166" i="7"/>
  <c r="E167" i="7"/>
  <c r="E187" i="7"/>
  <c r="E220" i="7"/>
  <c r="E229" i="7"/>
  <c r="E238" i="7"/>
  <c r="E250" i="7"/>
  <c r="E259" i="7"/>
  <c r="A401" i="7"/>
  <c r="A402" i="7" s="1"/>
  <c r="A405" i="7"/>
  <c r="A406" i="7" s="1"/>
  <c r="A407" i="7" s="1"/>
  <c r="A410" i="7"/>
  <c r="A411" i="7" s="1"/>
  <c r="A412" i="7" s="1"/>
  <c r="A413" i="7" s="1"/>
  <c r="A414" i="7" s="1"/>
  <c r="A415" i="7" s="1"/>
  <c r="A429" i="7"/>
  <c r="A432" i="7"/>
  <c r="A435" i="7"/>
  <c r="A436" i="7" s="1"/>
  <c r="A439" i="7"/>
  <c r="A440" i="7" s="1"/>
  <c r="A441" i="7" s="1"/>
  <c r="A442" i="7" s="1"/>
  <c r="A445" i="7"/>
  <c r="A448" i="7"/>
  <c r="A451" i="7"/>
  <c r="A452" i="7" s="1"/>
  <c r="A453" i="7" s="1"/>
  <c r="A454" i="7" s="1"/>
  <c r="A455" i="7" s="1"/>
  <c r="A456" i="7" s="1"/>
  <c r="D14" i="11" l="1"/>
  <c r="C14" i="11" l="1"/>
  <c r="E14" i="11"/>
</calcChain>
</file>

<file path=xl/sharedStrings.xml><?xml version="1.0" encoding="utf-8"?>
<sst xmlns="http://schemas.openxmlformats.org/spreadsheetml/2006/main" count="3330" uniqueCount="810">
  <si>
    <t>Supply Air Square Diffuser (Tuttle &amp; Bailey AME Series)</t>
  </si>
  <si>
    <r>
      <t xml:space="preserve">                Ø 6</t>
    </r>
    <r>
      <rPr>
        <vertAlign val="superscript"/>
        <sz val="8"/>
        <color indexed="8"/>
        <rFont val="Lucida Sans Unicode"/>
        <family val="2"/>
      </rPr>
      <t>"</t>
    </r>
    <r>
      <rPr>
        <sz val="8"/>
        <color indexed="8"/>
        <rFont val="Lucida Sans Unicode"/>
        <family val="2"/>
      </rPr>
      <t xml:space="preserve"> (Ø 150mm)</t>
    </r>
  </si>
  <si>
    <r>
      <t xml:space="preserve">                Ø 5</t>
    </r>
    <r>
      <rPr>
        <vertAlign val="superscript"/>
        <sz val="8"/>
        <color indexed="8"/>
        <rFont val="Lucida Sans Unicode"/>
        <family val="2"/>
      </rPr>
      <t>"</t>
    </r>
    <r>
      <rPr>
        <sz val="8"/>
        <color indexed="8"/>
        <rFont val="Lucida Sans Unicode"/>
        <family val="2"/>
      </rPr>
      <t xml:space="preserve"> (Ø 125mm)</t>
    </r>
  </si>
  <si>
    <t>Exhaust Air Disc Valve for Toilet Exhaust (Ø 6" )</t>
  </si>
  <si>
    <t>Commissioning &amp; Testing</t>
  </si>
  <si>
    <t xml:space="preserve">                Ø 8" (Ø 200mm)</t>
  </si>
  <si>
    <t xml:space="preserve">                Ø 6" (Ø 150mm)</t>
  </si>
  <si>
    <t xml:space="preserve">                Ø 4" (Ø 100mm)</t>
  </si>
  <si>
    <t xml:space="preserve">                Ø 1 ½" (Ø 40mm)</t>
  </si>
  <si>
    <t xml:space="preserve">                Ø 1 ¼" (Ø 32mm)</t>
  </si>
  <si>
    <t xml:space="preserve">                Ø 1" (Ø 25mm)</t>
  </si>
  <si>
    <t xml:space="preserve">                Ø ¾" (Ø 20mm)</t>
  </si>
  <si>
    <t xml:space="preserve">                Ø 8"   (Ø 200mm)</t>
  </si>
  <si>
    <t xml:space="preserve">                Ø 6"   (Ø 150mm)</t>
  </si>
  <si>
    <t>MISCELLANEOUS</t>
  </si>
  <si>
    <t>Operation &amp; Maintenance Instructions to Clients Representatives</t>
  </si>
  <si>
    <t>Shop Drawings</t>
  </si>
  <si>
    <t>As Built Drawings</t>
  </si>
  <si>
    <t>Operation &amp; Maintenance Manuals</t>
  </si>
  <si>
    <t xml:space="preserve">                Ø 2 ½" (Ø 65mm)</t>
  </si>
  <si>
    <t xml:space="preserve">                Ø 2" (Ø 50mm)</t>
  </si>
  <si>
    <t>ft²</t>
  </si>
  <si>
    <t>Rft</t>
  </si>
  <si>
    <t>(Rs.)</t>
  </si>
  <si>
    <t>RATE</t>
  </si>
  <si>
    <t>AMOUNT</t>
  </si>
  <si>
    <t>UNIT</t>
  </si>
  <si>
    <t>ITEM NO.</t>
  </si>
  <si>
    <t>DESCRIPTION</t>
  </si>
  <si>
    <t>Nos.</t>
  </si>
  <si>
    <t>Lot</t>
  </si>
  <si>
    <t xml:space="preserve">Commissioning &amp; Testing </t>
  </si>
  <si>
    <t>G.I Frame as Duct Sleeve</t>
  </si>
  <si>
    <t xml:space="preserve">                Ø 5" (Ø 125mm)</t>
  </si>
  <si>
    <t>Water Treatment Equipment (Bypass Feeder)</t>
  </si>
  <si>
    <t>Pipe Sleeves</t>
  </si>
  <si>
    <t xml:space="preserve">Quadrant Volume Dampers </t>
  </si>
  <si>
    <t xml:space="preserve">Water Treatment Equipment </t>
  </si>
  <si>
    <t xml:space="preserve">                Ø 3" (Ø 75mm)</t>
  </si>
  <si>
    <t xml:space="preserve">                Ø 10" (Ø 250mm)</t>
  </si>
  <si>
    <t xml:space="preserve">                Ø 12" (Ø 300mm)</t>
  </si>
  <si>
    <t xml:space="preserve">                Ø 4"   (Ø 100mm)</t>
  </si>
  <si>
    <t xml:space="preserve">Butterfly Dampers </t>
  </si>
  <si>
    <t>No</t>
  </si>
  <si>
    <t>Water Treatment Chemicals for One (01) Year Operation</t>
  </si>
  <si>
    <t>Pipe Pressure Testing</t>
  </si>
  <si>
    <t>Return Air Square Diffuser (Tuttle &amp; Bailey AME Series)</t>
  </si>
  <si>
    <t>ESTIMATED QUANTITY</t>
  </si>
  <si>
    <t>METER &amp; GAUGES (SECTION 23 05 19)</t>
  </si>
  <si>
    <t>Supply and Installation of Strainers with Material/Flanges/Unions etc (Section 23 05 23)</t>
  </si>
  <si>
    <t>DUCT WORK (MACHINE MADE) (SECTION 23 31 13)</t>
  </si>
  <si>
    <t>Flexible Ducts (Section 23 33 46)</t>
  </si>
  <si>
    <t>WATER TREATMENT FOR CHILLED WATER CIRCUIT (SECTION 23 25 13)</t>
  </si>
  <si>
    <t>AIR DEVICES (SECTION 23 37 13)</t>
  </si>
  <si>
    <t>CLEANING, BALANCING &amp; TESTING (SECTION 23 05 93)</t>
  </si>
  <si>
    <t>PAINTING &amp; FINISHING AND MECHANICAL IDENTIFICATION (SECTION 23 05 50 &amp; 23 05 53)</t>
  </si>
  <si>
    <t>Painting  &amp; Finishing (Section 23 05 50)</t>
  </si>
  <si>
    <t>Stencilling of Pipes &amp; Ducts (Section 23 05 53)</t>
  </si>
  <si>
    <t>Identification Tags on Valves, etc. (Section 23 05 53)</t>
  </si>
  <si>
    <t>Equipment Data Plates (Section 23 05 53)</t>
  </si>
  <si>
    <t>TEST RUN OF THE PLANT (SECTION 23 05 94)</t>
  </si>
  <si>
    <t>Supply and Installation of Air Vents with Material/Flanges/Unions etc (Section 23 86 35)</t>
  </si>
  <si>
    <t>Three Months Test Run</t>
  </si>
  <si>
    <t>9.1.1</t>
  </si>
  <si>
    <t>9.1.2</t>
  </si>
  <si>
    <t>9.1.3</t>
  </si>
  <si>
    <t>9.1.4</t>
  </si>
  <si>
    <t>9.1.5</t>
  </si>
  <si>
    <t>9.1.6</t>
  </si>
  <si>
    <t>9.1.7</t>
  </si>
  <si>
    <t>9.1.8</t>
  </si>
  <si>
    <t>9.1.9</t>
  </si>
  <si>
    <t>9.1.10</t>
  </si>
  <si>
    <t>9.1.11</t>
  </si>
  <si>
    <t>9.5.1</t>
  </si>
  <si>
    <t>9.5.2</t>
  </si>
  <si>
    <t>9.5.3</t>
  </si>
  <si>
    <t>9.5.4</t>
  </si>
  <si>
    <t>9.5.5</t>
  </si>
  <si>
    <t>9.5.6</t>
  </si>
  <si>
    <t>9.5.7</t>
  </si>
  <si>
    <t>9.9.1</t>
  </si>
  <si>
    <t>9.9.2</t>
  </si>
  <si>
    <t>No.</t>
  </si>
  <si>
    <t xml:space="preserve">Lifting &amp; Shifting of Equipments to the Location Designated for Installation </t>
  </si>
  <si>
    <t xml:space="preserve">Gravity Damper  </t>
  </si>
  <si>
    <t xml:space="preserve">Duct Test Holes </t>
  </si>
  <si>
    <t xml:space="preserve">Duct Access Doors </t>
  </si>
  <si>
    <t>Wire Mesh on all Duct Openings</t>
  </si>
  <si>
    <t>Cladding of Valves &amp; Specialities (Openable Boxes with Insulation)</t>
  </si>
  <si>
    <t>Supply Air Linear Diffuser (Tuttle &amp; Bailey) (Series 6000 3/4" x 1 Slot) with Factory Supplied &amp; Field Installed Plenum</t>
  </si>
  <si>
    <t>Supply Air Linear Diffuser (Tuttle &amp; Bailey) (Series 6000 3/4" x 2 Slots) with Factory Supplied &amp; Field Installed Plenum</t>
  </si>
  <si>
    <t>Supply Air Linear Diffuser (Tuttle &amp; Bailey) (Series 6000 3/4" x 3 Slots) with Factory Supplied &amp; Field Installed Plenum</t>
  </si>
  <si>
    <t xml:space="preserve">Return Air Linear Diffuser (Tuttle &amp; Bailey) (Series 6000 3/4" x 1 Slot) </t>
  </si>
  <si>
    <t xml:space="preserve">Return Air Linear Diffuser (Tuttle &amp; Bailey) (Series 6000 3/4" x 2 Slots) </t>
  </si>
  <si>
    <t xml:space="preserve">Return Air Linear Diffuser (Tuttle &amp; Bailey) (Series 6000 3/4" x 3 Slots) </t>
  </si>
  <si>
    <t>Supply Air Round Diffusers Flush Face (Tuttle &amp; Bailey S Type) with Nos. 4 Damper</t>
  </si>
  <si>
    <t>Supply Air Registers (A 57 Series) (Tuttle &amp; Bailey)</t>
  </si>
  <si>
    <t>Sound Liner</t>
  </si>
  <si>
    <t>ELECTRICAL WORKS</t>
  </si>
  <si>
    <t>Assistance to Electrical Contractor in Installation of MCC's &amp; Cables etc.</t>
  </si>
  <si>
    <t>MOUNTING OF SENSOR IN DUCTS AND PIPES INCLUDING ALL SOCKETS AND ACCESSORIES</t>
  </si>
  <si>
    <t>Mounting of Sensors in ducts and pipes</t>
  </si>
  <si>
    <t>Structural Openings &amp; Core Cuts</t>
  </si>
  <si>
    <t>(1)</t>
  </si>
  <si>
    <t>(2)</t>
  </si>
  <si>
    <t>(3)</t>
  </si>
  <si>
    <t>(4)</t>
  </si>
  <si>
    <t>(5)</t>
  </si>
  <si>
    <t>(6)</t>
  </si>
  <si>
    <t>(7)</t>
  </si>
  <si>
    <t xml:space="preserve">Lifting &amp; Shifting of Equipment to the Location Designated for Installation </t>
  </si>
  <si>
    <t>Insulation of Supply &amp; Fresh Air Duct with Fibre Glass Blanket in Ceiling Concealed Application</t>
  </si>
  <si>
    <t>Condensate Drain Piping</t>
  </si>
  <si>
    <t>Condensate Drain Piping Insulation</t>
  </si>
  <si>
    <t>Thermometers with Wells for Pipe Thermometer</t>
  </si>
  <si>
    <t>Pressure Gauges on Pipes</t>
  </si>
  <si>
    <t>Gauge Outlets with Cock</t>
  </si>
  <si>
    <t>Chilled Water Piping</t>
  </si>
  <si>
    <t>Supply and Installation of Butterfly Valves with Material/Flanges/Unions etc</t>
  </si>
  <si>
    <t>Supply and Installation of Gate Valves with Material/Flanges/Unions etc</t>
  </si>
  <si>
    <t>Supply and Installation of Check Valve with Material/Flanges/Unions etc</t>
  </si>
  <si>
    <t>Supply and Installation of Flexible Connector with Material/Flanges/Unions etc</t>
  </si>
  <si>
    <t>Supply and Installation of Strainers with Ball valve with Material/Flanges/Unions etc</t>
  </si>
  <si>
    <t>VALVES &amp; SPECIALITIES (SECTION 23 05 23, 23 86 20 &amp; 23 86 35)</t>
  </si>
  <si>
    <t xml:space="preserve">Sheet Metal Duct Work (Exhaust Air) Machine made Ducts </t>
  </si>
  <si>
    <t>THERMAL INSULATION (SECTION 23 07 13 &amp; 23 07 19 &amp; DS/1283-23 07 13 &amp; 23 07 19)</t>
  </si>
  <si>
    <t>HEAT EXCHANGER (SECTION 23 57 10 &amp; DS/1283-23 57 10)</t>
  </si>
  <si>
    <t xml:space="preserve">Sheet Metal Duct Work (Air Conditioning) (Supply Air), Machine made Ducts </t>
  </si>
  <si>
    <t xml:space="preserve">Sheet Metal Duct Work (Air Conditioning) (Return Air), Machine made Ducts </t>
  </si>
  <si>
    <t xml:space="preserve">Sheet Metal Duct Work (Fresh Air) Machine made Ducts </t>
  </si>
  <si>
    <t>Supply and Installation of Ball Valve with Material/Flanges/Unions etc</t>
  </si>
  <si>
    <t xml:space="preserve">Supply and Installation of Flow Balancing &amp; Shut-off Valve with Material/Flanges/Unions etc </t>
  </si>
  <si>
    <t>Shutter Type Fire Damper</t>
  </si>
  <si>
    <t>12 MONTH OPERATION OF THE PLANT (SECTION 23 01 60 &amp; DS/1283-23 01 60)</t>
  </si>
  <si>
    <t>(8)</t>
  </si>
  <si>
    <t>(9)</t>
  </si>
  <si>
    <t>(10)</t>
  </si>
  <si>
    <t xml:space="preserve">DESCRIPTION </t>
  </si>
  <si>
    <t>MATERIAL</t>
  </si>
  <si>
    <t xml:space="preserve">INSTALLATION </t>
  </si>
  <si>
    <t>TOTAL</t>
  </si>
  <si>
    <t>(3) x (5)</t>
  </si>
  <si>
    <t>(3) x (7)</t>
  </si>
  <si>
    <t>(5) + (7)</t>
  </si>
  <si>
    <t>(6) + (8)</t>
  </si>
  <si>
    <t>TOWER -A&amp;B AT DOLMEN CITY, KARACHI</t>
  </si>
  <si>
    <t xml:space="preserve">Sub-total Carried to Summary </t>
  </si>
  <si>
    <t>BILL OF QUANTITIES - TOWER 'A'</t>
  </si>
  <si>
    <t>Foundation / Supports (Hot Dipped Galvanized) for Floor Mounted AHUs</t>
  </si>
  <si>
    <t>Foundation / Supports (Hot Dipped Galvanized) for Ceiling Hung AHUs</t>
  </si>
  <si>
    <t>INSTALLATION OF AIR HANDLING UNITS {OWNER FURNISHED} (SECTION 23 73 10 &amp; DS/1283-23 73 10)</t>
  </si>
  <si>
    <t>Installation of Air Handling Units - Ceiling Hung (Type-A)</t>
  </si>
  <si>
    <t>Installation of Air Handling Units - Ceiling Hung (Type-B)</t>
  </si>
  <si>
    <t>Installation of Air Handling Units - Ceiling Hung (Type-C)</t>
  </si>
  <si>
    <t>Installation of Air Handling Units - Ceiling Hung (Type-D)</t>
  </si>
  <si>
    <t>Installation of Air Handling Units - Floor Mounted (158TR)</t>
  </si>
  <si>
    <t>Installation of Air Handling Units - Floor Mounted (101TR)</t>
  </si>
  <si>
    <t>Installation of Air Handling Units - Floor Mounted (122TR)</t>
  </si>
  <si>
    <t>Installation of Air Handling Units - Floor Mounted (48TR)</t>
  </si>
  <si>
    <t>Installation of Air Handling Units - Floor Mounted (44TR)</t>
  </si>
  <si>
    <t>Installation of Air Handling Units - Floor Mounted (23TR)</t>
  </si>
  <si>
    <t>Installation of Air Handling Units - Floor Mounted (36TR)</t>
  </si>
  <si>
    <t xml:space="preserve">Nos. </t>
  </si>
  <si>
    <t>Installation of Air Handling Units - Floor Mounted (AHU/TA-ENT-01)</t>
  </si>
  <si>
    <t>Installation of Air Handling Units - Floor Mounted (AHU/TA-MCC)</t>
  </si>
  <si>
    <t>Installation of Air Handling Units - Floor Mounted (FAAHU/TA-01)</t>
  </si>
  <si>
    <t>Installation of Air Handling Units - Floor Mounted (FAAHU/TA-02)</t>
  </si>
  <si>
    <t>INSTALLATION OF ROTARY H.E. AIR TO AIR {OWNER FURNISHED} (SECTION 23 72 13 &amp; DS/1283-23 72 13)</t>
  </si>
  <si>
    <t>INSTALLATION OF FAN COIL UNITS {OWNER FURNISHED} (SECTION 23 73 20 &amp; DS/1283-23 73 20)</t>
  </si>
  <si>
    <t>Installation of Heat Recovery Units (HRU/TA-01)</t>
  </si>
  <si>
    <t>Installation of Heat Recovery Units (HRU/TA-02)</t>
  </si>
  <si>
    <t>Installation of Fan Coil Units - Ceiling Hung (TYPE-A)</t>
  </si>
  <si>
    <t>Installation of Fan Coil Units - Ceiling Hung (TYPE-B)</t>
  </si>
  <si>
    <t>Installation of Fan Coil Units - Ceiling Hung (TYPE-C)</t>
  </si>
  <si>
    <r>
      <t>Foundation &amp; Supports</t>
    </r>
    <r>
      <rPr>
        <sz val="8"/>
        <color indexed="10"/>
        <rFont val="Lucida Sans Unicode"/>
        <family val="2"/>
      </rPr>
      <t xml:space="preserve"> </t>
    </r>
    <r>
      <rPr>
        <sz val="8"/>
        <rFont val="Lucida Sans Unicode"/>
        <family val="2"/>
      </rPr>
      <t>(Hot Dipped Galvanized Upto 50 to 70 Micron)</t>
    </r>
  </si>
  <si>
    <t>Foundation / Supports (Hot Dipped Galvanized Upto 50 to 70 Micron)</t>
  </si>
  <si>
    <t>Ø 1" (Ø 25mm) Di-Electric Coupling Between Steel and Copper Pipes</t>
  </si>
  <si>
    <t>Ø 1 ¼" (Ø 32mm) Di-Electric Coupling Between Steel and Copper Pipes</t>
  </si>
  <si>
    <t>Ø ½" (Ø 15mm) Shrader Fitting For Air Vent/Pressure Testing</t>
  </si>
  <si>
    <t xml:space="preserve">Installation of Centrifugal Pumps (STP/TA-01 &amp; 02) Tertiary Chilled Water Pumps </t>
  </si>
  <si>
    <t>Supply and Installation of Plate Type Heat Exchanger on Chilled Water (HX/TA-01 to 03)</t>
  </si>
  <si>
    <t>Supply and Installation of Plate Type Heat Exchanger on 24Hrs Cooling Water (HX/TA-04 &amp; 05)</t>
  </si>
  <si>
    <t>Supply &amp; Installation of Fans (TEF/TA-01 &amp; 02)</t>
  </si>
  <si>
    <t>Supply &amp; Installation of Fans (TEF/TA-03 &amp; 04)</t>
  </si>
  <si>
    <t>INSTALLATION OF CENTRIFUGAL PUMPS {OWNER FURNISHED} (SECTION 23 21 30  &amp; DS/1283-23 21 30)</t>
  </si>
  <si>
    <r>
      <t>Foundation {Refer Detail -</t>
    </r>
    <r>
      <rPr>
        <b/>
        <sz val="8"/>
        <color indexed="8"/>
        <rFont val="Lucida Sans Unicode"/>
        <family val="2"/>
      </rPr>
      <t>Type C</t>
    </r>
    <r>
      <rPr>
        <sz val="8"/>
        <color indexed="8"/>
        <rFont val="Lucida Sans Unicode"/>
        <family val="2"/>
      </rPr>
      <t>} / Supports of Floor Mounted AHUs</t>
    </r>
  </si>
  <si>
    <t>INSTALLATION OF FILTER SECTION WITH EMPTY SECTIONS {OWNER FURNISHED} (SECTION 23 41 10 &amp; DS/1283-23 41 10)</t>
  </si>
  <si>
    <t>Installation of Filter Section with Empty Sections (FS/TA-01)</t>
  </si>
  <si>
    <t>Installation of Filter Section with Empty Sections (FS/TA-02)</t>
  </si>
  <si>
    <t>Supply &amp; Installation of Fans (TEF/TA-TYPE-A)</t>
  </si>
  <si>
    <t>Supply &amp; Installation of Fans (TEF/TA-TYPE-B)</t>
  </si>
  <si>
    <t>Supply &amp; Installation of Fans (TEF/TA-TYPE-C)</t>
  </si>
  <si>
    <t>Supply &amp; Installation of Fans (TEF/TA-TYPE-D)</t>
  </si>
  <si>
    <t>Supply &amp; Installation of Fans (MFEF/TA-01 &amp; 02)</t>
  </si>
  <si>
    <t>Supply &amp; Installation of Fans (SEF/TA-01 &amp; 02)</t>
  </si>
  <si>
    <t>Supply &amp; Installation of Fans (SWPF/TA-01 to 04)</t>
  </si>
  <si>
    <t xml:space="preserve">FANS (SECTION 23 34 13 / 23 34 16 &amp; DS/1283-23 34 13 / 23 34 16) </t>
  </si>
  <si>
    <t>-</t>
  </si>
  <si>
    <t>Pipe Supports as per Hilti / Fischer Support (Hot Dipped Galvanized Upto 50 to 70 Micron) System</t>
  </si>
  <si>
    <t>Expansion Tank, Closed (ET/TA-01)</t>
  </si>
  <si>
    <t>EXPANSION TANK, CLOSED (SECTION 23 25 30 &amp; DS/1283-23 25 30)</t>
  </si>
  <si>
    <t>Expansion Tank, Closed (ET/TA-02)</t>
  </si>
  <si>
    <t>Expansion Tank, Closed (ET/TA-03)</t>
  </si>
  <si>
    <t xml:space="preserve">12 Months Operation of the Plant </t>
  </si>
  <si>
    <t xml:space="preserve">WATER TREATMENT FOR 24-HOURS COOLING WATER LOOP CLOSED CIRCUIT ABOVE 16TH FLOOR </t>
  </si>
  <si>
    <t>Insulation of Chilled Water Piping Including Vapor Barrier, Jacketing &amp; Cladding (Closed Cell Foam Insulation)</t>
  </si>
  <si>
    <t>SMALL SPLIT AIR CONDITIONER (SECTION 23 81 26)</t>
  </si>
  <si>
    <t>Refrigerant Piping (Ø 3/8”), Hard Type 'L' With Insulation</t>
  </si>
  <si>
    <t>Refrigerant Piping (Ø 5/8”), Hard Type 'L' With Insulation</t>
  </si>
  <si>
    <t>Foundation/Supports (Both Indoor &amp; Outdoor Units)</t>
  </si>
  <si>
    <t>Control Wiring Between Indoor and Outdoor Unit Encased in PVC Conduit</t>
  </si>
  <si>
    <t>Refrigerant Tray on Roof</t>
  </si>
  <si>
    <t xml:space="preserve">Supply and Installation of Wall Mounted Small Split Air Conditioner (AC/TA-01,02,03 &amp; 04) </t>
  </si>
  <si>
    <t>Support (Hot Dipped Galvanized Upto 50 to 70 Micron) for Refrigerant Piping and Power &amp; Control Conduit (Hilti/Fischer/Sikla)</t>
  </si>
  <si>
    <t>Ø1" Condensate Drain Piping with Insulation (uPVC Non Pressure Class )</t>
  </si>
  <si>
    <t>Pipe Supports as per Hilti / Sikla Support (Hot Dipped Galvanized Upto 50 to 70 Micron) System</t>
  </si>
  <si>
    <t>24-Hours Cooling Water Loop Piping (Main Quote)</t>
  </si>
  <si>
    <t>24-Hours Cooling Water Loop Piping (Alternate Quote)</t>
  </si>
  <si>
    <t xml:space="preserve">                DN 250mm</t>
  </si>
  <si>
    <t xml:space="preserve">                DN 200mm</t>
  </si>
  <si>
    <t xml:space="preserve">                DN 150mm</t>
  </si>
  <si>
    <t xml:space="preserve">                DN 100mm</t>
  </si>
  <si>
    <t xml:space="preserve">                DN 80mm</t>
  </si>
  <si>
    <t xml:space="preserve">                DN 65mm</t>
  </si>
  <si>
    <t xml:space="preserve">                DN 50mm</t>
  </si>
  <si>
    <t xml:space="preserve">                DN 40mm</t>
  </si>
  <si>
    <t xml:space="preserve">                DN 125mm</t>
  </si>
  <si>
    <t>Rate Only</t>
  </si>
  <si>
    <t xml:space="preserve">Sheet Metal Duct Work With Cement Board (Refer Detail FND/ADD/04) - Smoke Duct. All Duct Joints To Be Sealed With 2-Hour Fire Rated Sealant  </t>
  </si>
  <si>
    <t xml:space="preserve">Cement Board Duct Work - Fresh Air &amp; Exhaust Air Ducts. </t>
  </si>
  <si>
    <t>300mm x250mm</t>
  </si>
  <si>
    <t>400mm x200mm</t>
  </si>
  <si>
    <t>600mm x200mm</t>
  </si>
  <si>
    <t>750mm x750mm</t>
  </si>
  <si>
    <t>950mm x900mm</t>
  </si>
  <si>
    <t>1200mm x1200mm</t>
  </si>
  <si>
    <t>Fire &amp; Smoke Motorized Damper for Smoke Fan</t>
  </si>
  <si>
    <t>1050mm x 1400mm</t>
  </si>
  <si>
    <t>1500mm x 700mm</t>
  </si>
  <si>
    <t>900mm x 700mm</t>
  </si>
  <si>
    <t>400mm x 200mm</t>
  </si>
  <si>
    <t>600mm x 200mm</t>
  </si>
  <si>
    <t>Back Draft Damper (Pressure Relief Damper) (Refer Data Sheet 1283-23 33 14- 1 / 1)</t>
  </si>
  <si>
    <t>1100mm x 1100mm</t>
  </si>
  <si>
    <t>11.13.1</t>
  </si>
  <si>
    <t>11.13.2</t>
  </si>
  <si>
    <t>11.13.3</t>
  </si>
  <si>
    <t>11.13.4</t>
  </si>
  <si>
    <t>11.13.5</t>
  </si>
  <si>
    <t>Insulation of Supply &amp; Fresh Air Duct with Fibre Glass Board in Mechanical Room, in Riser or Exosed (Susceptible to Damage)</t>
  </si>
  <si>
    <t>Insulation of Supply &amp; Return Air Duct with Fibre Glass Blanket in Ceiling Concealed Application</t>
  </si>
  <si>
    <t>Supply and Installation of Butterfly Valves (Pressure Class 300/ PN 20) with Material/Flanges/Unions etc</t>
  </si>
  <si>
    <t>10.1.1</t>
  </si>
  <si>
    <t>10.1.2</t>
  </si>
  <si>
    <t>10.1.3</t>
  </si>
  <si>
    <t>10.1.4</t>
  </si>
  <si>
    <t>10.1.5</t>
  </si>
  <si>
    <t>10.1.6</t>
  </si>
  <si>
    <t>10.1.7</t>
  </si>
  <si>
    <t>9.1.12</t>
  </si>
  <si>
    <t>10.2.1</t>
  </si>
  <si>
    <t>10.2.2</t>
  </si>
  <si>
    <t>10.2.3</t>
  </si>
  <si>
    <t>10.2.4</t>
  </si>
  <si>
    <t>10.2.5</t>
  </si>
  <si>
    <t>10.2.6</t>
  </si>
  <si>
    <t>10.2.7</t>
  </si>
  <si>
    <t>Supply and Installation of Gate Valves (Pressure Class 300/ PN 20) with Material/Flanges/Unions etc</t>
  </si>
  <si>
    <t>Supply and Installation of Strainers (Pressure Class 300/ PN 20) with Material/Flanges/Unions etc (Section 23 05 23)</t>
  </si>
  <si>
    <t>Supply and Installation of Check Valve (Pressure Class 300/ PN 20) with Material/Flanges/Unions etc</t>
  </si>
  <si>
    <t>Supply and Installation of Strainers (Pressure Class 300/ PN 20) with Ball valve with Material/Flanges/Unions etc</t>
  </si>
  <si>
    <t>Supply and Installation of Flexible Connector  (Pressure Class 300/ PN 20) with Material/Flanges/Unions etc</t>
  </si>
  <si>
    <t>Supply and Installation of Pressure Independent Control Valve. Modulating Proportional valve actuator with reversible synchronous motor and 0-10 VDC proportional control</t>
  </si>
  <si>
    <t xml:space="preserve">Supply and Installation of Flow Balancing &amp; Shut-off Valve  (Pressure Class 300/ PN 20) with Material/Flanges/Unions etc </t>
  </si>
  <si>
    <t>Supply and Installation of Pressure Reducing Valve with Material/Flanges/Unions etc (Section 23 86 35)</t>
  </si>
  <si>
    <t>10.11.1</t>
  </si>
  <si>
    <t>10.11.2</t>
  </si>
  <si>
    <t>10.11.3</t>
  </si>
  <si>
    <t>Ø ½" (Ø 15mm) Shrader Fitting (Pressure Class 300/ PN 20) For Air Vent/Pressure Testing</t>
  </si>
  <si>
    <t>Supply and Installation of Ball Valve (Pressure Class 300/ PN 20) with Material/Flanges/Unions etc</t>
  </si>
  <si>
    <t xml:space="preserve">                Ø ½" (Ø 15mm)</t>
  </si>
  <si>
    <t>Flow Switch on 24-Hours Cooling Water Pipes DN-50</t>
  </si>
  <si>
    <t>300mm x200mm</t>
  </si>
  <si>
    <t>350mm x200mm</t>
  </si>
  <si>
    <t>700mm x250mm</t>
  </si>
  <si>
    <t>1650mm x450mm</t>
  </si>
  <si>
    <t>1350mm x450mm</t>
  </si>
  <si>
    <t>350mm x250mm</t>
  </si>
  <si>
    <t>550mm x300mm</t>
  </si>
  <si>
    <t>650mm x250mm</t>
  </si>
  <si>
    <t>1100mm x750mm</t>
  </si>
  <si>
    <t>950mm x850mm</t>
  </si>
  <si>
    <t>900mm x700mm</t>
  </si>
  <si>
    <t>300mm x 200mm</t>
  </si>
  <si>
    <t>250mm x 150mm</t>
  </si>
  <si>
    <t>Cleaning &amp; Testing</t>
  </si>
  <si>
    <t>Testing, Adjusting &amp; Balancing from Third Party Contractor (Independent Agency)</t>
  </si>
  <si>
    <t>Duct Supports as per Hilti/Sikla Support (Hot Dipped Galvanized Upto 50 to 70 Micron) System</t>
  </si>
  <si>
    <t xml:space="preserve">Smoke Extraction &amp; Pressurization Air Louvers </t>
  </si>
  <si>
    <t>Motorized Damper with Actuator and Limit Switch (230 Volt)</t>
  </si>
  <si>
    <t>Foundation {Refer Detail # FND/D/ADD05B} / Supports (Hot Dipped Galvanized Upto 50 to 70 Micron) of Ceiling Hung AHUs</t>
  </si>
  <si>
    <t>Foundation {{Refer Detail # FND/D/ADD05B} / Supports (Hot Dipped Galvanized Upto 50 to 70 Micron) for Ceiling Hung AHUs</t>
  </si>
  <si>
    <t>9.5.8</t>
  </si>
  <si>
    <t>9.5.9</t>
  </si>
  <si>
    <t>9.9.3</t>
  </si>
  <si>
    <t>9.9.4</t>
  </si>
  <si>
    <t>9.9.5</t>
  </si>
  <si>
    <t>9.9.6</t>
  </si>
  <si>
    <t>9.9.7</t>
  </si>
  <si>
    <t>9.9.8</t>
  </si>
  <si>
    <t>9.9.9</t>
  </si>
  <si>
    <t>9.13.1</t>
  </si>
  <si>
    <t>9.13.2</t>
  </si>
  <si>
    <t>9.13.3</t>
  </si>
  <si>
    <t>9.13.4</t>
  </si>
  <si>
    <t>9.13.5</t>
  </si>
  <si>
    <t>9.13.6</t>
  </si>
  <si>
    <t>10.3.1</t>
  </si>
  <si>
    <t>10.3.2</t>
  </si>
  <si>
    <t>10.3.3</t>
  </si>
  <si>
    <t>10.3.4</t>
  </si>
  <si>
    <t>10.3.5</t>
  </si>
  <si>
    <t>10.4.1</t>
  </si>
  <si>
    <t>10.4.2</t>
  </si>
  <si>
    <t>10.4.3</t>
  </si>
  <si>
    <t>10.4.4</t>
  </si>
  <si>
    <t>10.4.5</t>
  </si>
  <si>
    <t>10.5.1</t>
  </si>
  <si>
    <t>10.5.2</t>
  </si>
  <si>
    <t>10.5.3</t>
  </si>
  <si>
    <t>10.5.4</t>
  </si>
  <si>
    <t>10.5.5</t>
  </si>
  <si>
    <t>10.6.1</t>
  </si>
  <si>
    <t>10.6.2</t>
  </si>
  <si>
    <t>10.6.3</t>
  </si>
  <si>
    <t>10.6.4</t>
  </si>
  <si>
    <t>10.6.5</t>
  </si>
  <si>
    <t>10.6.6</t>
  </si>
  <si>
    <t>10.6.7</t>
  </si>
  <si>
    <t>10.6.8</t>
  </si>
  <si>
    <t>10.6.9</t>
  </si>
  <si>
    <t>10.6.10</t>
  </si>
  <si>
    <t>10.6.11</t>
  </si>
  <si>
    <t>10.7.1</t>
  </si>
  <si>
    <t>10.7.2</t>
  </si>
  <si>
    <t>10.7.3</t>
  </si>
  <si>
    <t>10.8.1</t>
  </si>
  <si>
    <t>10.8.2</t>
  </si>
  <si>
    <t>10.8.3</t>
  </si>
  <si>
    <t>10.8.4</t>
  </si>
  <si>
    <t>10.9.1</t>
  </si>
  <si>
    <t>10.9.2</t>
  </si>
  <si>
    <t>10.9.3</t>
  </si>
  <si>
    <t>10.9.4</t>
  </si>
  <si>
    <t>10.9.5</t>
  </si>
  <si>
    <t>10.10.1</t>
  </si>
  <si>
    <t>10.10.2</t>
  </si>
  <si>
    <t>10.10.3</t>
  </si>
  <si>
    <t>10.10.4</t>
  </si>
  <si>
    <t>10.10.5</t>
  </si>
  <si>
    <t>10.11.4</t>
  </si>
  <si>
    <t>10.11.5</t>
  </si>
  <si>
    <t>10.11.6</t>
  </si>
  <si>
    <t>10.11.7</t>
  </si>
  <si>
    <t>10.12.1</t>
  </si>
  <si>
    <t>10.12.2</t>
  </si>
  <si>
    <t>10.12.3</t>
  </si>
  <si>
    <t>10.12.4</t>
  </si>
  <si>
    <t>10.12.5</t>
  </si>
  <si>
    <t>10.12.6</t>
  </si>
  <si>
    <t>10.13.1</t>
  </si>
  <si>
    <t>10.13.2</t>
  </si>
  <si>
    <t>10.13.3</t>
  </si>
  <si>
    <t>10.13.4</t>
  </si>
  <si>
    <t>10.13.5</t>
  </si>
  <si>
    <t>10.13.6</t>
  </si>
  <si>
    <t>10.13.7</t>
  </si>
  <si>
    <t>10.13.8</t>
  </si>
  <si>
    <t>10.14.1</t>
  </si>
  <si>
    <t>10.14.2</t>
  </si>
  <si>
    <t>10.14.3</t>
  </si>
  <si>
    <t>10.14.4</t>
  </si>
  <si>
    <t>10.14.5</t>
  </si>
  <si>
    <t>10.14.6</t>
  </si>
  <si>
    <t>10.14.7</t>
  </si>
  <si>
    <t>10.14.8</t>
  </si>
  <si>
    <t>10.15.1</t>
  </si>
  <si>
    <t>10.15.2</t>
  </si>
  <si>
    <t>10.15.3</t>
  </si>
  <si>
    <t>10.15.4</t>
  </si>
  <si>
    <t>10.16.1</t>
  </si>
  <si>
    <t>10.16.2</t>
  </si>
  <si>
    <t>10.16.3</t>
  </si>
  <si>
    <t>10.16.4</t>
  </si>
  <si>
    <t>10.17.1</t>
  </si>
  <si>
    <t>10.17.2</t>
  </si>
  <si>
    <t>10.17.3</t>
  </si>
  <si>
    <t>10.18.1</t>
  </si>
  <si>
    <t>10.18.2</t>
  </si>
  <si>
    <t>10.18.3</t>
  </si>
  <si>
    <t>10.18.4</t>
  </si>
  <si>
    <t>10.18.5</t>
  </si>
  <si>
    <t>10.18.6</t>
  </si>
  <si>
    <t>10.18.7</t>
  </si>
  <si>
    <t>10.18.8</t>
  </si>
  <si>
    <t>10.18.9</t>
  </si>
  <si>
    <t>10.18.10</t>
  </si>
  <si>
    <t>10.19.1</t>
  </si>
  <si>
    <t>10.19.2</t>
  </si>
  <si>
    <t>10.19.3</t>
  </si>
  <si>
    <t>10.19.4</t>
  </si>
  <si>
    <t>10.19.5</t>
  </si>
  <si>
    <t>10.20.1</t>
  </si>
  <si>
    <t>10.20.2</t>
  </si>
  <si>
    <t>10.20.3</t>
  </si>
  <si>
    <t>11.7.1</t>
  </si>
  <si>
    <t>11.7.2</t>
  </si>
  <si>
    <t>11.7.3</t>
  </si>
  <si>
    <t>11.7.4</t>
  </si>
  <si>
    <t>11.7.5</t>
  </si>
  <si>
    <t>11.7.6</t>
  </si>
  <si>
    <t>11.7.7</t>
  </si>
  <si>
    <t>11.7.8</t>
  </si>
  <si>
    <t>11.7.9</t>
  </si>
  <si>
    <t>11.7.10</t>
  </si>
  <si>
    <t>11.7.11</t>
  </si>
  <si>
    <t>11.7.12</t>
  </si>
  <si>
    <t>11.7.13</t>
  </si>
  <si>
    <t>11.8.1</t>
  </si>
  <si>
    <t>11.8.2</t>
  </si>
  <si>
    <t>11.8.3</t>
  </si>
  <si>
    <t>11.8.4</t>
  </si>
  <si>
    <t>11.8.5</t>
  </si>
  <si>
    <t>11.8.6</t>
  </si>
  <si>
    <t>11.8.7</t>
  </si>
  <si>
    <t>11.8.8</t>
  </si>
  <si>
    <t>11.8.9</t>
  </si>
  <si>
    <t>11.8.10</t>
  </si>
  <si>
    <t>11.8.11</t>
  </si>
  <si>
    <t>11.9.1</t>
  </si>
  <si>
    <t>11.9.2</t>
  </si>
  <si>
    <t>11.9.3</t>
  </si>
  <si>
    <t>11.10.1</t>
  </si>
  <si>
    <t>11.10.2</t>
  </si>
  <si>
    <t>11.10.3</t>
  </si>
  <si>
    <t>11.10.4</t>
  </si>
  <si>
    <t>11.11.1</t>
  </si>
  <si>
    <t>11.14.1</t>
  </si>
  <si>
    <t>11.14.2</t>
  </si>
  <si>
    <t>11.14.3</t>
  </si>
  <si>
    <t>11.14.4</t>
  </si>
  <si>
    <t>11.14.5</t>
  </si>
  <si>
    <t>12.4.1</t>
  </si>
  <si>
    <t>12.4.2</t>
  </si>
  <si>
    <t>12.4.3</t>
  </si>
  <si>
    <t>12.4.4</t>
  </si>
  <si>
    <t>12.4.5</t>
  </si>
  <si>
    <t>12.4.6</t>
  </si>
  <si>
    <t>12.4.7</t>
  </si>
  <si>
    <t>12.4.8</t>
  </si>
  <si>
    <t>12.4.9</t>
  </si>
  <si>
    <t>12.4.10</t>
  </si>
  <si>
    <t>12.4.11</t>
  </si>
  <si>
    <t>12.4.12</t>
  </si>
  <si>
    <t>12.5.1</t>
  </si>
  <si>
    <t>12.5.2</t>
  </si>
  <si>
    <t>12.5.3</t>
  </si>
  <si>
    <t>12.5.4</t>
  </si>
  <si>
    <t>12.5.5</t>
  </si>
  <si>
    <t>12.5.6</t>
  </si>
  <si>
    <t>12.6.1</t>
  </si>
  <si>
    <t>12.6.2</t>
  </si>
  <si>
    <t>12.6.3</t>
  </si>
  <si>
    <t>12.6.4</t>
  </si>
  <si>
    <t>12.6.5</t>
  </si>
  <si>
    <t>12.6.6</t>
  </si>
  <si>
    <t>12.6.7</t>
  </si>
  <si>
    <t>12.6.8</t>
  </si>
  <si>
    <t>12.6.9</t>
  </si>
  <si>
    <t>12.6.10</t>
  </si>
  <si>
    <t>12.6.11</t>
  </si>
  <si>
    <t>PIPING (SECTION 23 21 13 &amp; DS/1283-23 21 13)</t>
  </si>
  <si>
    <t>Supply and Installation of Pressure Independent Control Valve (Pressure Class 300/ PN 20). Modulating Proportional Valve Actuator with Reversible Synchronous Motor and 
0-10 VDC Proportional Control</t>
  </si>
  <si>
    <t xml:space="preserve">Nos </t>
  </si>
  <si>
    <t>Exhaust Air Register (T70 Series) (Tuttle &amp; Bailey)</t>
  </si>
  <si>
    <t>13.9.1</t>
  </si>
  <si>
    <t>13.9.2</t>
  </si>
  <si>
    <t>13.9.3</t>
  </si>
  <si>
    <t>13.9.4</t>
  </si>
  <si>
    <t>DATED: JANUARY 10, 2017</t>
  </si>
  <si>
    <t>Installation of Air Handling Units - Floor Mounted (AHU/CHWPR-TA-01 &amp; 02)</t>
  </si>
  <si>
    <t>Installation of Centrifugal Pumps (CWLP/TA-01 &amp; 02) Tertiary Cooling Water Loop Pumps</t>
  </si>
  <si>
    <t>TOWER 'A' - HVAC SYSTEM WORKS</t>
  </si>
  <si>
    <t>BILL OF QUANTITIES</t>
  </si>
  <si>
    <t>Fire Stopping Material for All Pipes, Duct, Trays etc Crossing a Fire Barrier Wall / Floor as per Required Fire Rating (Refer Fire Strategy Drawings for Fire Barier Wall/Floor)</t>
  </si>
  <si>
    <t>Fire Stopping Material for all Pipes, Duct, Trays etc. Crossing a Fire Barrier Wall/Floor as per Required Fire Rating (Refer Fire Strategy Drawings for Fire Barrier Wall/Floor)</t>
  </si>
  <si>
    <t>Exhaust Air Disc Valve for Toilet Exhaust (Ø 6")</t>
  </si>
  <si>
    <t>INSTALLATION 
AMOUNT (Rs.)</t>
  </si>
  <si>
    <t>TOTAL 
AMOUNT (Rs.)</t>
  </si>
  <si>
    <t>PLUMBING FIXTURES &amp; FITTINGS</t>
  </si>
  <si>
    <t>Drain Accessories (Section 22 11 19)</t>
  </si>
  <si>
    <t xml:space="preserve">          Ø 3" (Ø 75mm)</t>
  </si>
  <si>
    <t xml:space="preserve">          Ø 4" (Ø 100mm)</t>
  </si>
  <si>
    <t xml:space="preserve">                Ø 10"   (Ø 250mm)</t>
  </si>
  <si>
    <t xml:space="preserve">Insulation of Supply Air Duct-Air Conditioned Space/Air Conditioned Ceiling Cavity </t>
  </si>
  <si>
    <t xml:space="preserve">Insulation of Return Air Duct-Air Conditioned Space/Air Conditioned Ceiling Cavity </t>
  </si>
  <si>
    <t xml:space="preserve">Condensate Drain Piping </t>
  </si>
  <si>
    <t>Ø ½" (Ø 15mm) Shredder Fitting for Air Vent/Pressure Testing</t>
  </si>
  <si>
    <t xml:space="preserve">Testing &amp; Balancing by Independent Agency </t>
  </si>
  <si>
    <t>MATERIAL 
AMOUNT (Rs.)</t>
  </si>
  <si>
    <t>SS Floor Clean Out (Section 22 11 19)</t>
  </si>
  <si>
    <t>INSTALLATION</t>
  </si>
  <si>
    <t>Flexible Ducts (Section 23 33 46) with Supports, Complete in all respect</t>
  </si>
  <si>
    <t>Sheet Metal Duct Work (Air Conditioning) (Supply Air), Machine made Ducts (Section 23 31 13)</t>
  </si>
  <si>
    <t xml:space="preserve">Sheet Metal Duct Work (Air Conditioning) (Return Air), Machine made Ducts (Section 23 31 13) </t>
  </si>
  <si>
    <t>Sheet Metal Duct Work (Exhaust Air) Machine made Ducts (Section 23 31 13)</t>
  </si>
  <si>
    <t>G.I Frame as Duct Sleeves - As per FND Detail</t>
  </si>
  <si>
    <t xml:space="preserve">Supply &amp; Installation Cooling Water Piping </t>
  </si>
  <si>
    <t xml:space="preserve">Supply &amp; Installation Chilled Water Piping </t>
  </si>
  <si>
    <t>Lot.</t>
  </si>
  <si>
    <t>Quadrant Volume Damper</t>
  </si>
  <si>
    <t>Commissioning &amp; Testing of Water Cooled Package Units</t>
  </si>
  <si>
    <t xml:space="preserve">Supply and Installation of Flow Balancing &amp; Shut-off Valve for Cooling Water with Material/Flanges/Unions etc. </t>
  </si>
  <si>
    <t>HOT WATER SUPPLY SYSTEM</t>
  </si>
  <si>
    <t xml:space="preserve">Gate Valves - PPR PN-20 (Including all Fittings and Accessories Required for Valve Installation) (Section 22 05 23) </t>
  </si>
  <si>
    <t>Pressure Testing of Water Supply Piping (1.5 times of operating pressure) (Including all arrangements required for Pressure Testing)</t>
  </si>
  <si>
    <t>Valve &amp; Specialities (Section 22 05 23)</t>
  </si>
  <si>
    <t xml:space="preserve">          Ø 2" (Ø 50mm)</t>
  </si>
  <si>
    <t>3.5.1</t>
  </si>
  <si>
    <t>3.5.2</t>
  </si>
  <si>
    <t>3.5.3</t>
  </si>
  <si>
    <t>3.6.1</t>
  </si>
  <si>
    <t>3.6.2</t>
  </si>
  <si>
    <t>3.6.3</t>
  </si>
  <si>
    <t>3.7.1</t>
  </si>
  <si>
    <t>3.7.2</t>
  </si>
  <si>
    <t>4.1.1</t>
  </si>
  <si>
    <t>4.1.2</t>
  </si>
  <si>
    <t>4.1.3</t>
  </si>
  <si>
    <t>4.1.4</t>
  </si>
  <si>
    <t>4.2.1</t>
  </si>
  <si>
    <t>5.1.1</t>
  </si>
  <si>
    <t>4.2.2</t>
  </si>
  <si>
    <t>4.2.3</t>
  </si>
  <si>
    <t>4.2.4</t>
  </si>
  <si>
    <t>4.3.1</t>
  </si>
  <si>
    <t>4.3.2</t>
  </si>
  <si>
    <t>5.1.2</t>
  </si>
  <si>
    <t>5.1.3</t>
  </si>
  <si>
    <t>5.1.4</t>
  </si>
  <si>
    <t>5.2.1</t>
  </si>
  <si>
    <t>5.2.2</t>
  </si>
  <si>
    <t>5.3.1</t>
  </si>
  <si>
    <t>5.3.2</t>
  </si>
  <si>
    <t>5.3.3</t>
  </si>
  <si>
    <t>5.3.4</t>
  </si>
  <si>
    <t>5.4.1</t>
  </si>
  <si>
    <t>5.4.2</t>
  </si>
  <si>
    <t>5.4.3</t>
  </si>
  <si>
    <t>6.3.1</t>
  </si>
  <si>
    <t>6.3.2</t>
  </si>
  <si>
    <t>6.3.3</t>
  </si>
  <si>
    <t>6.3.4</t>
  </si>
  <si>
    <t>6.4.1</t>
  </si>
  <si>
    <t>6.4.2</t>
  </si>
  <si>
    <t>6.5.1</t>
  </si>
  <si>
    <t>6.5.2</t>
  </si>
  <si>
    <t>6.5.3</t>
  </si>
  <si>
    <t>6.5.4</t>
  </si>
  <si>
    <t>5.1.5</t>
  </si>
  <si>
    <r>
      <t xml:space="preserve">SS </t>
    </r>
    <r>
      <rPr>
        <b/>
        <sz val="8"/>
        <color indexed="10"/>
        <rFont val="Lucida Sans Unicode"/>
        <family val="2"/>
      </rPr>
      <t xml:space="preserve"> </t>
    </r>
    <r>
      <rPr>
        <b/>
        <sz val="8"/>
        <rFont val="Lucida Sans Unicode"/>
        <family val="2"/>
      </rPr>
      <t>Floor Drain (Section 22 11 19)</t>
    </r>
  </si>
  <si>
    <t xml:space="preserve">          Ø 6" x 6"  (Ø 150 x  150 mm)</t>
  </si>
  <si>
    <t>Commissioning &amp; Testing of VAV Terminals</t>
  </si>
  <si>
    <t>12.1.1</t>
  </si>
  <si>
    <t>12.2.1</t>
  </si>
  <si>
    <t>12.2.2</t>
  </si>
  <si>
    <t>12.2.3</t>
  </si>
  <si>
    <t>12.2.4</t>
  </si>
  <si>
    <t>12.3.1</t>
  </si>
  <si>
    <t>12.3.2</t>
  </si>
  <si>
    <t>3.8.1</t>
  </si>
  <si>
    <t>PIPING (SECTION 23 21 13 &amp; DS/1909-23 21 13)</t>
  </si>
  <si>
    <t>THERMAL INSULATION (SECTION 23 07 13 &amp; 23 07 19 &amp; DS/1909-23 07 13 &amp; 23 07 19)</t>
  </si>
  <si>
    <t>Supply &amp; Installation Chilled Water Piping (Section 23 07 19 &amp; DS/1909-23 07 19)</t>
  </si>
  <si>
    <t>Condensate Drain Piping Insulation (Section 23 07 19 &amp; DS/1909-23 07 19)</t>
  </si>
  <si>
    <t>Supply &amp; Installation of Instant Electric Operated Hot Water Heaters (Section 22 33 30 &amp; DS/1909-22 33 30)</t>
  </si>
  <si>
    <t>Supply, Installation and Comissioning of Electric Operated Hot Water Heater HWH/01-02, 30L heating capacity. Including all fittings and accessories required from installation till comissioning of Hot Water Heater (Refer DS/1909-22 33 30)</t>
  </si>
  <si>
    <t>Poly Propylene Pipe for Cold Water Supply (PPR Pipe PN-20 with PN-20 Fittings including all Fittings and Accessories Required for Piping Installation) (Section 22 11 16 &amp; DS/1909-22 11 16)</t>
  </si>
  <si>
    <t>Poly Propylene Pipe for Hot Water Supply (PPR Pipe PN-20 with PN-20 Fittings including all Fittings and Accessories Required for Piping Installation) (Section 22 11 16 &amp; DS/1909-22 11 16)</t>
  </si>
  <si>
    <t>Insulation of Hot Water Piping Including Vapor Barrier, Jacketing &amp; Cladding (Section 22 07 19 &amp; DS/1909-22 07 19)</t>
  </si>
  <si>
    <t>Fixtures (Section 22 41 10 &amp; DS/1909-22 41 10)</t>
  </si>
  <si>
    <t>Supply &amp; Installation of Wall Hung Western WC, Concealed Flush Tank Operated (Section 22 41 10 &amp; DS/1909-22 41 10)</t>
  </si>
  <si>
    <t>Supply &amp; Installation of Half Pedstal Wash Basin with, Waste, Bottle Trap &amp; Tee Stop-Cock (Section 22 41 10 &amp; DS/1909-22 41 10)</t>
  </si>
  <si>
    <t>Supply &amp; Installation of Disabled Toilet Set (Basin, WC) (Section 22 41 10 &amp; DS/1909-22 41 10)</t>
  </si>
  <si>
    <t>Supply &amp; Installation of Wash Basin Single Lever Faucet with Flexible Hoses (For Cold &amp; Hot Water). (Section 22 41 10 &amp; DS/1909-22 41 10)</t>
  </si>
  <si>
    <t>Supply &amp; Installation of WC Hand Operated Shower Spray With Angle Valve and Flexible Hose. (Section 22 41 10 &amp; DS/1909-22 41 10)</t>
  </si>
  <si>
    <t>Supply &amp; Installation of Bib Cocks for (Janitor, Cleaning Area) (Section 22 41 10 &amp; DS/1909-22 41 10)</t>
  </si>
  <si>
    <t>Supply &amp; Installation of Single Lever Faucet Wall Mounted for (Hot &amp; Cold Water) (Ablution Area) (Section 22 41 10 &amp; DS/1909-22 41 10)</t>
  </si>
  <si>
    <t>Supply &amp; Installation of Toilet Roll Holder (Section 22 41 10 &amp; DS/1909-22 41 10)</t>
  </si>
  <si>
    <t>Supply &amp; Installation of Wall Mounted Soap Dispenser (Section 22 41 10 &amp; DS/1909-22 41 10)</t>
  </si>
  <si>
    <t>Drainage &amp; Vent Pipe (uPVC - Non Pressure Class; Solvent Welded) Including all Fittings and Accessories Required for Piping Installation e.g Elbows, Y, Double Y, Ceiling Cleanouts, Reducers, Sockets etc. (Section 22 13 20 &amp; DS/1909-22 13 20)</t>
  </si>
  <si>
    <t xml:space="preserve">Pipe Sleeves/Core Cutting where required </t>
  </si>
  <si>
    <t xml:space="preserve">                Ø 1½" (Ø 40mm)</t>
  </si>
  <si>
    <t xml:space="preserve">                Ø 1¼" (Ø 32mm)</t>
  </si>
  <si>
    <t xml:space="preserve">          Ø 1½" (Ø 40mm)</t>
  </si>
  <si>
    <t>Ft²</t>
  </si>
  <si>
    <t>Backdraft Damper</t>
  </si>
  <si>
    <t>Fire Damper - (UL - Listed)</t>
  </si>
  <si>
    <t>3.8.2</t>
  </si>
  <si>
    <t>Light Testing for Duct Work</t>
  </si>
  <si>
    <t>Supply Air Linear (Tuttle &amp; Bailey) (Series 7000 1" - 25mm x 2 Slots) with Factory Supplied &amp; Field Installed Plenum with Insulation</t>
  </si>
  <si>
    <t>Return Air Linear (Tuttle &amp; Bailey) (Series 7000 1" - 25mm x 2 Slots) with Factory Supplied &amp; Field Installed Plenum with Insulation</t>
  </si>
  <si>
    <t xml:space="preserve">Supply, Installation, Integration &amp; commissioning of Pressure Independent Control Valve ( Ø 1¼" ) with Modulating Proportional Valve Actuator with Reversible Synchronous Motor 0-10 VDC. (Chilled Water Application) </t>
  </si>
  <si>
    <t xml:space="preserve">Supply, Installation, Integration &amp; commissioning of Water Flow Meter (Ultrasonic) ( Ø 1 ½" ) for (Cooling Water Application) </t>
  </si>
  <si>
    <t>Integration of Wall Mounted Room Thermostat for FCU-18/01-02 - Supplied with FCU's</t>
  </si>
  <si>
    <t>Integration of Wall Mounted Room Thermostat for WCPU-18/01-02 - Supplied with WPCU's</t>
  </si>
  <si>
    <r>
      <t xml:space="preserve">DDC Controller (BACnet/IP) </t>
    </r>
    <r>
      <rPr>
        <b/>
        <sz val="8"/>
        <rFont val="Lucida Sans Unicode"/>
        <family val="2"/>
      </rPr>
      <t>Localized Stand-alone Solution</t>
    </r>
  </si>
  <si>
    <t>Networking, Cabling, Receway Support, Hanger, Sleeves, Core Drilling, Conduits with required installation accessories, etc.</t>
  </si>
  <si>
    <t>Programming, Commissioning &amp; Testing, Complete Validation</t>
  </si>
  <si>
    <t>Supply &amp; Installation of Stainless Steel Kitchen Sink including stop cocks,  P-trap / bottle trap, waste pipe etc.</t>
  </si>
  <si>
    <t>Supply &amp; Installation of Hot and Cold Water Mixer for Stainless Steel Kitchen Sink</t>
  </si>
  <si>
    <t>Installation of Duct Static Pressure Transmitters (Owner Furnished) from Duct Index Point to AHU DDC Panel</t>
  </si>
  <si>
    <t xml:space="preserve">                20" x 16"  (500mm x 400mm)</t>
  </si>
  <si>
    <t xml:space="preserve">                18" x 10"  (450mm x 250mm)</t>
  </si>
  <si>
    <t xml:space="preserve">                14" x 14"  (350mm x 350mm)</t>
  </si>
  <si>
    <t xml:space="preserve">                44" x 14"  (1100mm x 350mm)</t>
  </si>
  <si>
    <t>Supply and Installation of Gate Valves for Chilled &amp; Cooling Water with Material/Flanges/Unions etc. (Section 23 05 23)</t>
  </si>
  <si>
    <t>Supply and Installation of Ball Valve for Chilled &amp; Cooling Water with Material/Flanges/Unions etc. (Section 23 05 23)</t>
  </si>
  <si>
    <t>Supply and Installation of Strainer Chilled &amp; Cooling Water with Material/Flanges/Unions etc.</t>
  </si>
  <si>
    <t>Supply &amp; Installation of Automatic Air Vents for WCPU</t>
  </si>
  <si>
    <t>Integration of FCU's &amp; WPCU's with NOVEC FSS Panel</t>
  </si>
  <si>
    <r>
      <t xml:space="preserve">Supply &amp; Installation of Fan Coil Units (FCU-18/01-02) </t>
    </r>
    <r>
      <rPr>
        <b/>
        <sz val="8"/>
        <rFont val="Lucida Sans Unicode"/>
        <family val="2"/>
      </rPr>
      <t xml:space="preserve">(6.0 TR) </t>
    </r>
    <r>
      <rPr>
        <sz val="8"/>
        <rFont val="Lucida Sans Unicode"/>
        <family val="2"/>
      </rPr>
      <t xml:space="preserve">Ceiling Hung Type including Wall Mounted Room Thermostat with Scheduling Feature and Auxiliary Drain Pan. </t>
    </r>
  </si>
  <si>
    <t>Cross Talk Silencers for Return Air Intake Size 18" x 8" - Refer FND Detail FND/D/35</t>
  </si>
  <si>
    <t>Supply and Installation of Water Cooled Packaged Air Conditioner (WCPU-18/01-02) (6.0 TR) Ceiling Hung Type including Wall Mounted Room Thermostat with Scheduling Feature and Auxiliary Drain Pan. (Refer to FND Detail FND/PH/27-A)</t>
  </si>
  <si>
    <t>VAV TERMINALS (SECTION 23 36 10 &amp; DS/1909-23 36 10)</t>
  </si>
  <si>
    <t>HVAC CONTROLS (SECTION 23 09 20) (REFER TO DRAWING NO. FND-1909-DT-H-BM-XX-700-00, FND-1909-DT-H-BM-XX-701-00 &amp; FND-1909-DT-H-BM-XX-702-00)</t>
  </si>
  <si>
    <t xml:space="preserve">FAN COIL UNITS (SECTION 23 73 20 &amp; DS/1909-23 73 20) </t>
  </si>
  <si>
    <t>Supply/Return Air Fixed Bar Grill &amp; Register (Tuttle &amp; Bailey - A50 Series) 96" x 6" with Damper</t>
  </si>
  <si>
    <t>Return Air Fixed Bar Grill &amp; Register (Tuttle &amp; Bailey - A50 Series) 192" x 18" with Damper</t>
  </si>
  <si>
    <t>Supply/Return Air Round Diffusers Ø 12" (Tuttle &amp; Bailey) (Series AVJR 3-Cone) with Dampers</t>
  </si>
  <si>
    <t>Supply/Return Air Round Diffusers Ø 10" (Tuttle &amp; Bailey) (Series AVJR 3-Cone) with Dampers</t>
  </si>
  <si>
    <t>Supply/Return Air Round Diffusers Ø 8" (Tuttle &amp; Bailey) (Series AVJR 3-Cone) with Dampers</t>
  </si>
  <si>
    <t>Supply/Return Air Round Diffusers Ø 6" (Tuttle &amp; Bailey) (Series AVJR 3-Cone) with Dampers</t>
  </si>
  <si>
    <t>Engineered Supports system for VAV Terminals with Lindapter Type/TR60</t>
  </si>
  <si>
    <t>Supply &amp; Installation of 03-Point Hand Dryer</t>
  </si>
  <si>
    <t>Painting &amp; Finishing, Stenciling of Pipes &amp; Ducts, Identification Tags on Valves etc. and Equipment Data Plates (Section 23 05 50)</t>
  </si>
  <si>
    <t xml:space="preserve">Shop Drawings, As Built Drawings, Operation &amp; Maintenance Manuals </t>
  </si>
  <si>
    <t>Engineered Support system for Ducts with Lindapter Type/TR60 Complete in all Respect</t>
  </si>
  <si>
    <t>Engineered Support system with Lindapter Type/TR60 Complete in all Respect</t>
  </si>
  <si>
    <t>Support with Lindapter Type/TR60 complete in all respect</t>
  </si>
  <si>
    <t>LEAD TIMES</t>
  </si>
  <si>
    <t>BRANDS</t>
  </si>
  <si>
    <t>REMARKS</t>
  </si>
  <si>
    <t>Engineered Supports as per Hitli/Sikla/Walraven/Fischer with Lindapter Type/TR60 complete in all respect</t>
  </si>
  <si>
    <t>Supply &amp; installation of Variable Air Volume (VAV) Terminals with Wall Mounted Thermostat having temperature (Inc./dec.) and CFM indication (Section 23 36 10 &amp; DS/1909-23 36 10)</t>
  </si>
  <si>
    <t xml:space="preserve">WATER COOLED PACKAGED AIR CONDITIONER (SECTION 23 81 30 &amp; DS/1909-23 81 30) </t>
  </si>
  <si>
    <t>Landlord Furnished</t>
  </si>
  <si>
    <t>11.1.1</t>
  </si>
  <si>
    <t>11.2.1</t>
  </si>
  <si>
    <t>11.2.2</t>
  </si>
  <si>
    <t>11.2.3</t>
  </si>
  <si>
    <t>11.2.4</t>
  </si>
  <si>
    <t>11.3.1</t>
  </si>
  <si>
    <t>11.3.2</t>
  </si>
  <si>
    <t>11.4.1</t>
  </si>
  <si>
    <t>11.4.1.1</t>
  </si>
  <si>
    <t>11.4.1.2</t>
  </si>
  <si>
    <t>11.4.1.3</t>
  </si>
  <si>
    <t>11.4.1.4</t>
  </si>
  <si>
    <t>11.4.2</t>
  </si>
  <si>
    <t>11.4.2.1</t>
  </si>
  <si>
    <t>11.4.2.2</t>
  </si>
  <si>
    <t>11.4.2.3</t>
  </si>
  <si>
    <t>11.4.2.4</t>
  </si>
  <si>
    <t>11.5.1</t>
  </si>
  <si>
    <t>11.5.2</t>
  </si>
  <si>
    <t>11.5.3</t>
  </si>
  <si>
    <t>11.5.4</t>
  </si>
  <si>
    <t>11.3.3</t>
  </si>
  <si>
    <t>11.3.4</t>
  </si>
  <si>
    <t>12.1.2</t>
  </si>
  <si>
    <t>12.1.3</t>
  </si>
  <si>
    <t>12.1.4</t>
  </si>
  <si>
    <t>12.1.5</t>
  </si>
  <si>
    <t>12.1.6</t>
  </si>
  <si>
    <t>12.1.7</t>
  </si>
  <si>
    <t>12.1.8</t>
  </si>
  <si>
    <t>12.1.9</t>
  </si>
  <si>
    <t>12.1.10</t>
  </si>
  <si>
    <t>12.1.11</t>
  </si>
  <si>
    <t>12.1.12</t>
  </si>
  <si>
    <t>12.3.1.1</t>
  </si>
  <si>
    <t>12.3.2.1</t>
  </si>
  <si>
    <t>12.3.2.2</t>
  </si>
  <si>
    <t xml:space="preserve"> VERIFIED QUANTITY</t>
  </si>
  <si>
    <t>FIRE SPRINKLERS (SECTION 21 13 10 &amp; DS/1909-21 13 10)</t>
  </si>
  <si>
    <t>Fire Sprinkler- Upright, Quick Response (SP-01)</t>
  </si>
  <si>
    <t>Fire Sprinkler- Pendent Concealed, Quick Response (SP-02)</t>
  </si>
  <si>
    <t>Fire Sprinkler- Pendent Sprinkler, Quick Response (SP-03)</t>
  </si>
  <si>
    <t>Cabinet Complete with 06 Spare Sprinklers (Upright) (SP-01)</t>
  </si>
  <si>
    <t>Cabinet Complete with 06 Spare Sprinklers (Concealed Pendent) (SP-02)</t>
  </si>
  <si>
    <t>Cabinet Complete with 06 Spare Sprinklers (Pendent) (SP-03)</t>
  </si>
  <si>
    <t>Sub-total Carried to Summary</t>
  </si>
  <si>
    <t>CORRUGATED STAINLESS STEEL FLEXIBLE CONNECTOR</t>
  </si>
  <si>
    <t>Corrugated Stainless Steel Flexible Connector Ø 1" X 3 ft (UL/FM) (Braided)</t>
  </si>
  <si>
    <t>PORTABLE FIRE EXTINGUISHER FOR FIRE TYPES A, B, C &amp; AFFF (SECTION 21 21 10 &amp; DS/1909-21 21 10)</t>
  </si>
  <si>
    <t>Supply &amp; Installation of 6 Kg Dry Powder Extinguisher (ABC)</t>
  </si>
  <si>
    <r>
      <t>Supply &amp; Installation of 6 Kg CO</t>
    </r>
    <r>
      <rPr>
        <vertAlign val="subscript"/>
        <sz val="8"/>
        <rFont val="Lucida Sans Unicode"/>
        <family val="2"/>
      </rPr>
      <t>2</t>
    </r>
    <r>
      <rPr>
        <sz val="8"/>
        <rFont val="Lucida Sans Unicode"/>
        <family val="2"/>
      </rPr>
      <t xml:space="preserve"> Fire Extinguisher</t>
    </r>
  </si>
  <si>
    <t>BLACK STEEL SCHEDULE-40 PIPING (SECTION 21 10 10)</t>
  </si>
  <si>
    <t xml:space="preserve">Welded Piping System </t>
  </si>
  <si>
    <t>Ø 4" (100mm)</t>
  </si>
  <si>
    <t>Ø 3" (75mm)</t>
  </si>
  <si>
    <r>
      <t>Ø 2</t>
    </r>
    <r>
      <rPr>
        <sz val="8"/>
        <rFont val="Calibri"/>
        <family val="2"/>
      </rPr>
      <t xml:space="preserve">½" </t>
    </r>
    <r>
      <rPr>
        <sz val="8"/>
        <rFont val="Lucida Sans Unicode"/>
        <family val="2"/>
      </rPr>
      <t>(65mm)</t>
    </r>
  </si>
  <si>
    <t>Threaded Piping System</t>
  </si>
  <si>
    <t>Ø 2" (50mm)</t>
  </si>
  <si>
    <r>
      <t>Ø 1</t>
    </r>
    <r>
      <rPr>
        <sz val="8"/>
        <rFont val="Calibri"/>
        <family val="2"/>
      </rPr>
      <t xml:space="preserve">½" </t>
    </r>
    <r>
      <rPr>
        <sz val="8"/>
        <rFont val="Lucida Sans Unicode"/>
        <family val="2"/>
      </rPr>
      <t>(40mm)</t>
    </r>
  </si>
  <si>
    <t>Ø 1¼" (32mm)</t>
  </si>
  <si>
    <t>Ø 1" (25mm)</t>
  </si>
  <si>
    <t>GATE VALVE (SECTION 21 05 23)</t>
  </si>
  <si>
    <t xml:space="preserve">Ø2 inch (50 mm) </t>
  </si>
  <si>
    <t>SIESMIC BRACING</t>
  </si>
  <si>
    <t>Transverse Seismic Bracing (As per FND Detail No. FND/SS/10)</t>
  </si>
  <si>
    <t>6.1.1</t>
  </si>
  <si>
    <t>6.1.2</t>
  </si>
  <si>
    <t>6.1.3</t>
  </si>
  <si>
    <t>Longitudinal Seismic Bracing (As per FND Detail No. FND/SS/11)</t>
  </si>
  <si>
    <t>6.2.1</t>
  </si>
  <si>
    <t>6.2.2</t>
  </si>
  <si>
    <t>6.2.3</t>
  </si>
  <si>
    <t>Seismic Restraint (As per FND Detail No. FND/ADD/08)</t>
  </si>
  <si>
    <t>FIRE SPRINKLER SYSTEM ACCEPTANCE TEST (SECTION 21 13 17)</t>
  </si>
  <si>
    <t>Fire Sprinkler System Acceptance Test</t>
  </si>
  <si>
    <t xml:space="preserve">PAINTING COATING &amp; STENCILING (SECTION 21 05 50) </t>
  </si>
  <si>
    <t>Painting, Coating, Stenciling &amp; Identification of Fire Piping</t>
  </si>
  <si>
    <t>PIPE SUPPORT SYSTEM (SECTION 21 05 29)</t>
  </si>
  <si>
    <t>Engineered Pipe Support System</t>
  </si>
  <si>
    <t>Hydrostatic Testing</t>
  </si>
  <si>
    <t>Shop Drawings, As Built Drawings, Operation &amp; Maintenance Manuals</t>
  </si>
  <si>
    <t>Fire Stopping of Walls &amp; Structure Openings (For Small Openings - Hilti FS - ONE or Approved Equivalent)</t>
  </si>
  <si>
    <t>S.No</t>
  </si>
  <si>
    <t>A</t>
  </si>
  <si>
    <t>B</t>
  </si>
  <si>
    <t>DOMAIN</t>
  </si>
  <si>
    <t>Total=</t>
  </si>
  <si>
    <t>Grand Total Amount Rs</t>
  </si>
  <si>
    <t>FAN COIL UNITS (SECTION 23 73 20 &amp; DS/1909-23 73 20)</t>
  </si>
  <si>
    <t>Supply &amp; installation of Variable Air Volume (VAV) Terminals with Wall Mounted Thermostat having temperature (Inc./dec.) (Section 23 36 10 &amp; DS/1909-23 36 10)</t>
  </si>
  <si>
    <t>Flexible Ducts (Section 23 33 46) with Supports, Complete in all Respect</t>
  </si>
  <si>
    <t>Supply and Installation of Strainer for Chilled &amp; Cooling Water with Material/Flanges/Unions etc.</t>
  </si>
  <si>
    <t>Supply Air Linear (Tuttle &amp; Bailey) (Series 7000 1" - 25mm x 2 Slots) with Factory Supplied &amp; Field Installed Plenum 
 with Insulation</t>
  </si>
  <si>
    <t>Supply/Return Air Fixed Bar Grill &amp; Register (Tuttle &amp; Bailey - A50 Series) 48" x 6" with Damper</t>
  </si>
  <si>
    <t>Return Air Fixed Bar Grill &amp; Register (Tuttle &amp; Bailey - A50 Series) 72" x 16" with Damper</t>
  </si>
  <si>
    <t>Retrun Air Fixed Bar Grill &amp; Register (Tuttle &amp; Bailey - A50 Series) 252" x 18" with Damper</t>
  </si>
  <si>
    <t>WATER COOLED PACKAGED AIR CONDITIONER (SECTION 23 81 30 &amp; DS/1909-23 81 30)</t>
  </si>
  <si>
    <t xml:space="preserve">Supply, Installation, Integration &amp; commissioning of Pressure Independent Control Valve ( Ø 1" ) with Modulating Proportional Valve Actuator with Reversible Synchronous Motor 0-10 VDC. (Chilled Water Application) </t>
  </si>
  <si>
    <t xml:space="preserve">Supply, Installation, Integration &amp; commissioning of Water Flow Meter (Ultrasonic) ( Ø 1¼" ) for (Cooling Water Application) </t>
  </si>
  <si>
    <t>Integration of Wall Mounted Room Thermostat for FCU-17/01 - Supplied with FCU's</t>
  </si>
  <si>
    <t>Integration of Wall Mounted Room Thermostat for WCPU-17/01 - Supplied with WPCU's</t>
  </si>
  <si>
    <t>Integration of FCU &amp; WCPU with NOVEC FSS Panel</t>
  </si>
  <si>
    <t>Cleaning &amp; Balancing of HVAC System (Water + Air)</t>
  </si>
  <si>
    <t xml:space="preserve">Ø2 inch (50mm) </t>
  </si>
  <si>
    <r>
      <t xml:space="preserve">Supply &amp; Installation of Fan Coil Units (FCU-17/01) </t>
    </r>
    <r>
      <rPr>
        <b/>
        <sz val="14"/>
        <rFont val="Calibri"/>
        <family val="2"/>
        <scheme val="minor"/>
      </rPr>
      <t xml:space="preserve">(3.0 TR) </t>
    </r>
    <r>
      <rPr>
        <sz val="14"/>
        <rFont val="Calibri"/>
        <family val="2"/>
        <scheme val="minor"/>
      </rPr>
      <t xml:space="preserve">Ceiling Hung Type including Wall Mounted Room Thermostat with Scheduling Feature and Auxiliary Drain Pan. </t>
    </r>
  </si>
  <si>
    <r>
      <t xml:space="preserve">Supply and Installation of Water Cooled Packaged Air Conditioner (WCPU-17/01) </t>
    </r>
    <r>
      <rPr>
        <b/>
        <sz val="14"/>
        <rFont val="Calibri"/>
        <family val="2"/>
        <scheme val="minor"/>
      </rPr>
      <t xml:space="preserve">(3.0 TR) </t>
    </r>
    <r>
      <rPr>
        <sz val="14"/>
        <rFont val="Calibri"/>
        <family val="2"/>
        <scheme val="minor"/>
      </rPr>
      <t>Ceiling Hung Type including Wall Mounted Room Thermostat with Scheduling Feature and Auxiliary Drain Pan. (Refer to FND Detail FND/PH/27-A)</t>
    </r>
  </si>
  <si>
    <r>
      <t xml:space="preserve">DDC Controller (BACnet/IP) </t>
    </r>
    <r>
      <rPr>
        <b/>
        <sz val="14"/>
        <rFont val="Calibri"/>
        <family val="2"/>
        <scheme val="minor"/>
      </rPr>
      <t>Localized Stand-alone Solution</t>
    </r>
  </si>
  <si>
    <r>
      <t xml:space="preserve">SS </t>
    </r>
    <r>
      <rPr>
        <b/>
        <sz val="14"/>
        <color indexed="10"/>
        <rFont val="Calibri"/>
        <family val="2"/>
        <scheme val="minor"/>
      </rPr>
      <t xml:space="preserve"> </t>
    </r>
    <r>
      <rPr>
        <b/>
        <sz val="14"/>
        <rFont val="Calibri"/>
        <family val="2"/>
        <scheme val="minor"/>
      </rPr>
      <t>Floor Drain (Section 22 11 19)</t>
    </r>
  </si>
  <si>
    <t>17th Floor</t>
  </si>
  <si>
    <t>18th Floor</t>
  </si>
  <si>
    <t>i</t>
  </si>
  <si>
    <t>ii</t>
  </si>
  <si>
    <t>Fire Fighting Works</t>
  </si>
  <si>
    <t>HVAC &amp; Plumbign Works</t>
  </si>
  <si>
    <t>04 to 05 Months</t>
  </si>
  <si>
    <t>02 to 03 Months</t>
  </si>
  <si>
    <t>02 to 03 Weeks</t>
  </si>
  <si>
    <t>ISL</t>
  </si>
  <si>
    <t>06 to 08 Weeks</t>
  </si>
  <si>
    <t>PROTECK</t>
  </si>
  <si>
    <t>Aquatherm</t>
  </si>
  <si>
    <t>AEROFOAM XLPE</t>
  </si>
  <si>
    <t>06 to 07 Months</t>
  </si>
  <si>
    <t>Weksler</t>
  </si>
  <si>
    <t>03 to 04 Months</t>
  </si>
  <si>
    <t>Ariston</t>
  </si>
  <si>
    <t>REKTHERM</t>
  </si>
  <si>
    <t>FIXTURES are PORTA 
&amp; FAUCETS are GROHE</t>
  </si>
  <si>
    <t>03 to 05 Months</t>
  </si>
  <si>
    <t>IIL</t>
  </si>
  <si>
    <t>03 to 04 Weeks</t>
  </si>
  <si>
    <t>04 to 05 Weeks</t>
  </si>
  <si>
    <t>NAFFCO</t>
  </si>
  <si>
    <t>SHIELD</t>
  </si>
  <si>
    <t>INDEX</t>
  </si>
  <si>
    <t>Trane</t>
  </si>
  <si>
    <t>JES</t>
  </si>
  <si>
    <t>Awaiting from the supplier</t>
  </si>
  <si>
    <t>Data Sheet Attached</t>
  </si>
  <si>
    <t>Cosmoplast</t>
  </si>
  <si>
    <t>Highlighted Data Sheet attached</t>
  </si>
  <si>
    <t>Plumbing Fixtures available with the Supplier</t>
  </si>
  <si>
    <t>IIL Brand is in LOAM</t>
  </si>
  <si>
    <t>Flexiva</t>
  </si>
  <si>
    <t>SCON</t>
  </si>
  <si>
    <t xml:space="preserve">Alpine
</t>
  </si>
  <si>
    <t>Seung Jin Ind Co. Ltd.</t>
  </si>
  <si>
    <t xml:space="preserve">Mehran
</t>
  </si>
  <si>
    <t xml:space="preserve">Dunhum Bush
</t>
  </si>
  <si>
    <t>Dunhum Bush</t>
  </si>
  <si>
    <t>EXTIMATED QUANTITY</t>
  </si>
  <si>
    <t>EY Karachi - 17th, &amp; 18th Floors - Grand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</si>
</sst>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Rs&quot;* #,##0_-;\-&quot;Rs&quot;* #,##0_-;_-&quot;Rs&quot;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0.0"/>
    <numFmt numFmtId="167" formatCode="#,##0.0_);[Red]\(#,##0.0\)"/>
  </numFmts>
  <fonts count="74" x14ac:knownFonts="1">
    <font>
      <sz val="10"/>
      <name val="MS Sans Serif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sz val="10"/>
      <name val="Arial"/>
      <family val="2"/>
    </font>
    <font>
      <sz val="8"/>
      <color indexed="19"/>
      <name val="Arial Black"/>
      <family val="2"/>
    </font>
    <font>
      <sz val="9"/>
      <name val="Arial Narrow"/>
      <family val="2"/>
    </font>
    <font>
      <sz val="9"/>
      <color indexed="12"/>
      <name val="Arial Black"/>
      <family val="2"/>
    </font>
    <font>
      <sz val="10"/>
      <name val="Arial Black"/>
      <family val="2"/>
    </font>
    <font>
      <sz val="9"/>
      <name val="Arial Black"/>
      <family val="2"/>
    </font>
    <font>
      <sz val="8"/>
      <color indexed="8"/>
      <name val="Arial Black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8"/>
      <color indexed="8"/>
      <name val="Lucida Sans Unicode"/>
      <family val="2"/>
    </font>
    <font>
      <sz val="8"/>
      <color indexed="8"/>
      <name val="Lucida Sans"/>
      <family val="2"/>
    </font>
    <font>
      <sz val="8"/>
      <name val="Lucida Sans Unicode"/>
      <family val="2"/>
    </font>
    <font>
      <sz val="9"/>
      <color indexed="8"/>
      <name val="Arial Black"/>
      <family val="2"/>
    </font>
    <font>
      <b/>
      <sz val="8"/>
      <color indexed="8"/>
      <name val="Lucida Sans Unicode"/>
      <family val="2"/>
    </font>
    <font>
      <vertAlign val="superscript"/>
      <sz val="8"/>
      <color indexed="8"/>
      <name val="Lucida Sans Unicode"/>
      <family val="2"/>
    </font>
    <font>
      <b/>
      <sz val="8"/>
      <name val="Lucida Sans Unicode"/>
      <family val="2"/>
    </font>
    <font>
      <sz val="8"/>
      <color indexed="12"/>
      <name val="Arial Black"/>
      <family val="2"/>
    </font>
    <font>
      <sz val="8"/>
      <name val="Arial"/>
      <family val="2"/>
    </font>
    <font>
      <sz val="9"/>
      <name val="Arial"/>
      <family val="2"/>
    </font>
    <font>
      <sz val="8"/>
      <color indexed="10"/>
      <name val="Lucida Sans Unicode"/>
      <family val="2"/>
    </font>
    <font>
      <sz val="8"/>
      <color indexed="12"/>
      <name val="Arial"/>
      <family val="2"/>
    </font>
    <font>
      <sz val="10"/>
      <name val="MS Sans Serif"/>
    </font>
    <font>
      <sz val="8"/>
      <name val="Arial Black"/>
      <family val="2"/>
    </font>
    <font>
      <b/>
      <sz val="8"/>
      <color indexed="10"/>
      <name val="Lucida Sans Unicode"/>
      <family val="2"/>
    </font>
    <font>
      <sz val="12"/>
      <name val="Arial"/>
      <family val="2"/>
    </font>
    <font>
      <b/>
      <sz val="12"/>
      <name val="Arial"/>
      <family val="2"/>
    </font>
    <font>
      <sz val="9"/>
      <color indexed="23"/>
      <name val="Arial Black"/>
      <family val="2"/>
    </font>
    <font>
      <sz val="8"/>
      <name val="MS Sans Serif"/>
    </font>
    <font>
      <sz val="10"/>
      <name val="Lucida Sans Unicode"/>
      <family val="2"/>
    </font>
    <font>
      <sz val="9"/>
      <name val="Verdana"/>
      <family val="2"/>
    </font>
    <font>
      <vertAlign val="subscript"/>
      <sz val="8"/>
      <name val="Lucida Sans Unicode"/>
      <family val="2"/>
    </font>
    <font>
      <sz val="8"/>
      <name val="Calibri"/>
      <family val="2"/>
    </font>
    <font>
      <sz val="10"/>
      <name val="Times New Roman"/>
      <family val="1"/>
    </font>
    <font>
      <sz val="11"/>
      <color theme="1"/>
      <name val="Calibri"/>
      <family val="2"/>
      <scheme val="minor"/>
    </font>
    <font>
      <sz val="8"/>
      <color rgb="FF00B050"/>
      <name val="Lucida Sans Unicode"/>
      <family val="2"/>
    </font>
    <font>
      <sz val="8"/>
      <color theme="1"/>
      <name val="Lucida Sans Unicode"/>
      <family val="2"/>
    </font>
    <font>
      <sz val="8"/>
      <color rgb="FFFF0000"/>
      <name val="Lucida Sans Unicode"/>
      <family val="2"/>
    </font>
    <font>
      <sz val="10"/>
      <color rgb="FFFF0000"/>
      <name val="Arial"/>
      <family val="2"/>
    </font>
    <font>
      <b/>
      <sz val="8"/>
      <color theme="1"/>
      <name val="Lucida Sans Unicode"/>
      <family val="2"/>
    </font>
    <font>
      <sz val="9"/>
      <color theme="1"/>
      <name val="Arial Black"/>
      <family val="2"/>
    </font>
    <font>
      <sz val="8"/>
      <color theme="1"/>
      <name val="Arial Black"/>
      <family val="2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name val="Calibri"/>
      <family val="2"/>
      <scheme val="minor"/>
    </font>
    <font>
      <sz val="13"/>
      <name val="Calibri"/>
      <family val="2"/>
      <scheme val="minor"/>
    </font>
    <font>
      <b/>
      <sz val="16"/>
      <name val="Calibri"/>
      <family val="2"/>
      <scheme val="minor"/>
    </font>
    <font>
      <sz val="10"/>
      <name val="Century Gothic"/>
      <family val="2"/>
    </font>
    <font>
      <sz val="10"/>
      <name val="Century Gothic"/>
      <family val="2"/>
    </font>
    <font>
      <sz val="8"/>
      <color theme="1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sz val="9"/>
      <color theme="1"/>
      <name val="Calibri"/>
      <family val="2"/>
      <scheme val="minor"/>
    </font>
    <font>
      <sz val="9"/>
      <color indexed="12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indexed="12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14"/>
      <color indexed="8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indexed="10"/>
      <name val="Calibri"/>
      <family val="2"/>
      <scheme val="minor"/>
    </font>
    <font>
      <sz val="16"/>
      <name val="Calibri"/>
      <family val="2"/>
      <scheme val="minor"/>
    </font>
    <font>
      <b/>
      <sz val="18"/>
      <name val="Calibri"/>
      <family val="2"/>
      <scheme val="minor"/>
    </font>
    <font>
      <sz val="1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1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medium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/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8"/>
      </left>
      <right style="thin">
        <color indexed="64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/>
      <top style="thin">
        <color indexed="8"/>
      </top>
      <bottom style="medium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indexed="8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8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8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8"/>
      </bottom>
      <diagonal/>
    </border>
    <border>
      <left style="medium">
        <color indexed="8"/>
      </left>
      <right/>
      <top style="thin">
        <color theme="1"/>
      </top>
      <bottom style="thin">
        <color indexed="8"/>
      </bottom>
      <diagonal/>
    </border>
    <border>
      <left style="thin">
        <color indexed="8"/>
      </left>
      <right/>
      <top style="thin">
        <color theme="1"/>
      </top>
      <bottom style="thin">
        <color indexed="8"/>
      </bottom>
      <diagonal/>
    </border>
    <border>
      <left/>
      <right/>
      <top style="thin">
        <color theme="1"/>
      </top>
      <bottom style="thin">
        <color indexed="8"/>
      </bottom>
      <diagonal/>
    </border>
    <border>
      <left style="medium">
        <color indexed="8"/>
      </left>
      <right style="thin">
        <color theme="1"/>
      </right>
      <top style="thin">
        <color indexed="8"/>
      </top>
      <bottom style="thin">
        <color indexed="8"/>
      </bottom>
      <diagonal/>
    </border>
    <border>
      <left style="thin">
        <color theme="1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8"/>
      </bottom>
      <diagonal/>
    </border>
    <border>
      <left style="medium">
        <color indexed="8"/>
      </left>
      <right style="thin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thin">
        <color indexed="64"/>
      </left>
      <right style="medium">
        <color indexed="8"/>
      </right>
      <top/>
      <bottom/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64"/>
      </bottom>
      <diagonal/>
    </border>
    <border>
      <left style="thin">
        <color indexed="64"/>
      </left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</borders>
  <cellStyleXfs count="66">
    <xf numFmtId="0" fontId="0" fillId="0" borderId="0"/>
    <xf numFmtId="40" fontId="5" fillId="0" borderId="0" applyFont="0" applyFill="0" applyBorder="0" applyAlignment="0" applyProtection="0"/>
    <xf numFmtId="38" fontId="9" fillId="0" borderId="1" applyFill="0" applyAlignment="0" applyProtection="0"/>
    <xf numFmtId="164" fontId="6" fillId="0" borderId="0" applyFont="0" applyFill="0" applyBorder="0" applyAlignment="0" applyProtection="0"/>
    <xf numFmtId="38" fontId="9" fillId="0" borderId="2" applyFill="0" applyAlignment="0" applyProtection="0"/>
    <xf numFmtId="38" fontId="5" fillId="0" borderId="0" applyFont="0" applyFill="0" applyBorder="0" applyAlignment="0" applyProtection="0"/>
    <xf numFmtId="43" fontId="41" fillId="0" borderId="0" applyFont="0" applyFill="0" applyBorder="0" applyAlignment="0" applyProtection="0"/>
    <xf numFmtId="40" fontId="5" fillId="0" borderId="0" applyFill="0" applyBorder="0" applyAlignment="0" applyProtection="0"/>
    <xf numFmtId="40" fontId="5" fillId="0" borderId="0" applyFont="0" applyFill="0" applyBorder="0" applyAlignment="0" applyProtection="0"/>
    <xf numFmtId="165" fontId="41" fillId="0" borderId="0" applyFont="0" applyFill="0" applyBorder="0" applyAlignment="0" applyProtection="0"/>
    <xf numFmtId="40" fontId="5" fillId="0" borderId="0" applyFont="0" applyFill="0" applyBorder="0" applyAlignment="0" applyProtection="0"/>
    <xf numFmtId="40" fontId="5" fillId="0" borderId="0" applyFont="0" applyFill="0" applyBorder="0" applyAlignment="0" applyProtection="0"/>
    <xf numFmtId="0" fontId="9" fillId="0" borderId="1">
      <alignment horizontal="left"/>
    </xf>
    <xf numFmtId="0" fontId="9" fillId="0" borderId="1">
      <alignment horizontal="left"/>
    </xf>
    <xf numFmtId="0" fontId="36" fillId="0" borderId="2">
      <alignment horizontal="left"/>
    </xf>
    <xf numFmtId="0" fontId="36" fillId="0" borderId="2">
      <alignment horizontal="left"/>
    </xf>
    <xf numFmtId="167" fontId="8" fillId="0" borderId="0" applyNumberFormat="0" applyAlignment="0">
      <alignment horizontal="left"/>
    </xf>
    <xf numFmtId="0" fontId="8" fillId="0" borderId="0" applyNumberFormat="0" applyAlignment="0"/>
    <xf numFmtId="166" fontId="34" fillId="0" borderId="0">
      <alignment horizontal="left"/>
    </xf>
    <xf numFmtId="0" fontId="8" fillId="0" borderId="0" applyNumberFormat="0" applyAlignment="0"/>
    <xf numFmtId="42" fontId="8" fillId="0" borderId="0" applyNumberFormat="0" applyAlignment="0">
      <alignment horizontal="left"/>
    </xf>
    <xf numFmtId="167" fontId="9" fillId="0" borderId="0">
      <alignment horizontal="left"/>
    </xf>
    <xf numFmtId="0" fontId="6" fillId="0" borderId="0"/>
    <xf numFmtId="0" fontId="40" fillId="0" borderId="0"/>
    <xf numFmtId="0" fontId="41" fillId="0" borderId="0"/>
    <xf numFmtId="0" fontId="5" fillId="0" borderId="0"/>
    <xf numFmtId="0" fontId="5" fillId="0" borderId="0"/>
    <xf numFmtId="0" fontId="37" fillId="0" borderId="0"/>
    <xf numFmtId="0" fontId="41" fillId="0" borderId="0"/>
    <xf numFmtId="0" fontId="29" fillId="0" borderId="0"/>
    <xf numFmtId="0" fontId="41" fillId="0" borderId="0"/>
    <xf numFmtId="0" fontId="41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7" fillId="0" borderId="0"/>
    <xf numFmtId="0" fontId="6" fillId="0" borderId="0"/>
    <xf numFmtId="0" fontId="9" fillId="0" borderId="1">
      <alignment horizontal="center"/>
    </xf>
    <xf numFmtId="0" fontId="10" fillId="0" borderId="0" applyNumberFormat="0">
      <alignment horizontal="center" vertical="center" wrapText="1"/>
    </xf>
    <xf numFmtId="0" fontId="55" fillId="0" borderId="0"/>
    <xf numFmtId="165" fontId="4" fillId="0" borderId="0" applyFont="0" applyFill="0" applyBorder="0" applyAlignment="0" applyProtection="0"/>
    <xf numFmtId="0" fontId="55" fillId="0" borderId="0"/>
    <xf numFmtId="165" fontId="55" fillId="0" borderId="0" applyFont="0" applyFill="0" applyBorder="0" applyAlignment="0" applyProtection="0"/>
    <xf numFmtId="0" fontId="56" fillId="0" borderId="0"/>
    <xf numFmtId="0" fontId="55" fillId="0" borderId="0"/>
    <xf numFmtId="0" fontId="4" fillId="0" borderId="0"/>
    <xf numFmtId="165" fontId="4" fillId="0" borderId="0" applyFont="0" applyFill="0" applyBorder="0" applyAlignment="0" applyProtection="0"/>
    <xf numFmtId="0" fontId="6" fillId="0" borderId="0"/>
    <xf numFmtId="0" fontId="4" fillId="0" borderId="0"/>
    <xf numFmtId="165" fontId="4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" fillId="0" borderId="0"/>
  </cellStyleXfs>
  <cellXfs count="909">
    <xf numFmtId="0" fontId="0" fillId="0" borderId="0" xfId="0"/>
    <xf numFmtId="0" fontId="11" fillId="0" borderId="0" xfId="0" applyFont="1" applyAlignment="1">
      <alignment vertical="center"/>
    </xf>
    <xf numFmtId="0" fontId="13" fillId="2" borderId="3" xfId="16" applyNumberFormat="1" applyFont="1" applyFill="1" applyBorder="1" applyAlignment="1">
      <alignment horizontal="left" vertical="center"/>
    </xf>
    <xf numFmtId="0" fontId="19" fillId="2" borderId="4" xfId="12" applyFont="1" applyFill="1" applyBorder="1" applyAlignment="1">
      <alignment horizontal="left" vertical="center"/>
    </xf>
    <xf numFmtId="0" fontId="19" fillId="0" borderId="0" xfId="0" applyFont="1" applyAlignment="1">
      <alignment vertical="center"/>
    </xf>
    <xf numFmtId="0" fontId="13" fillId="0" borderId="5" xfId="16" applyNumberFormat="1" applyFont="1" applyBorder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15" fillId="0" borderId="0" xfId="0" applyFont="1" applyAlignment="1">
      <alignment vertical="center"/>
    </xf>
    <xf numFmtId="0" fontId="17" fillId="0" borderId="3" xfId="12" applyFont="1" applyBorder="1" applyAlignment="1">
      <alignment horizontal="left" vertical="center"/>
    </xf>
    <xf numFmtId="0" fontId="18" fillId="2" borderId="3" xfId="12" applyFont="1" applyFill="1" applyBorder="1" applyAlignment="1">
      <alignment horizontal="left" vertical="center"/>
    </xf>
    <xf numFmtId="0" fontId="15" fillId="2" borderId="0" xfId="0" applyFont="1" applyFill="1" applyAlignment="1">
      <alignment vertical="center"/>
    </xf>
    <xf numFmtId="0" fontId="18" fillId="0" borderId="3" xfId="12" applyFont="1" applyBorder="1" applyAlignment="1">
      <alignment horizontal="left" vertical="center"/>
    </xf>
    <xf numFmtId="0" fontId="16" fillId="0" borderId="0" xfId="0" applyFont="1" applyAlignment="1">
      <alignment vertical="center"/>
    </xf>
    <xf numFmtId="0" fontId="13" fillId="0" borderId="5" xfId="16" applyNumberFormat="1" applyFont="1" applyBorder="1" applyAlignment="1">
      <alignment vertical="center"/>
    </xf>
    <xf numFmtId="0" fontId="18" fillId="0" borderId="3" xfId="38" applyFont="1" applyBorder="1" applyAlignment="1">
      <alignment horizontal="center" vertical="center"/>
    </xf>
    <xf numFmtId="0" fontId="13" fillId="0" borderId="3" xfId="0" applyFont="1" applyBorder="1" applyAlignment="1">
      <alignment horizontal="left" vertical="center"/>
    </xf>
    <xf numFmtId="0" fontId="17" fillId="2" borderId="3" xfId="12" applyFont="1" applyFill="1" applyBorder="1" applyAlignment="1">
      <alignment horizontal="left" vertical="center"/>
    </xf>
    <xf numFmtId="0" fontId="17" fillId="2" borderId="4" xfId="12" applyFont="1" applyFill="1" applyBorder="1" applyAlignment="1">
      <alignment horizontal="left" vertical="center"/>
    </xf>
    <xf numFmtId="0" fontId="17" fillId="0" borderId="4" xfId="12" applyFont="1" applyBorder="1" applyAlignment="1">
      <alignment horizontal="left" vertical="center"/>
    </xf>
    <xf numFmtId="0" fontId="20" fillId="0" borderId="4" xfId="16" applyNumberFormat="1" applyFont="1" applyBorder="1" applyAlignment="1">
      <alignment horizontal="left" vertical="center"/>
    </xf>
    <xf numFmtId="0" fontId="15" fillId="0" borderId="0" xfId="0" applyFont="1" applyAlignment="1">
      <alignment horizontal="right" vertical="center"/>
    </xf>
    <xf numFmtId="0" fontId="17" fillId="0" borderId="6" xfId="38" applyFont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7" fillId="0" borderId="0" xfId="0" applyFont="1" applyAlignment="1">
      <alignment vertical="center"/>
    </xf>
    <xf numFmtId="0" fontId="17" fillId="0" borderId="0" xfId="16" applyNumberFormat="1" applyFont="1" applyAlignment="1">
      <alignment vertical="center"/>
    </xf>
    <xf numFmtId="0" fontId="21" fillId="0" borderId="4" xfId="12" applyFont="1" applyBorder="1" applyAlignment="1">
      <alignment horizontal="left" vertical="center"/>
    </xf>
    <xf numFmtId="0" fontId="17" fillId="0" borderId="3" xfId="12" applyFont="1" applyBorder="1" applyAlignment="1">
      <alignment horizontal="right" vertical="center"/>
    </xf>
    <xf numFmtId="0" fontId="17" fillId="0" borderId="3" xfId="38" applyFont="1" applyBorder="1" applyAlignment="1">
      <alignment horizontal="center" vertical="center"/>
    </xf>
    <xf numFmtId="38" fontId="17" fillId="0" borderId="3" xfId="2" applyFont="1" applyFill="1" applyBorder="1" applyAlignment="1">
      <alignment horizontal="right" vertical="center"/>
    </xf>
    <xf numFmtId="38" fontId="17" fillId="2" borderId="7" xfId="1" applyNumberFormat="1" applyFont="1" applyFill="1" applyBorder="1" applyAlignment="1">
      <alignment horizontal="right" vertical="center"/>
    </xf>
    <xf numFmtId="38" fontId="17" fillId="2" borderId="8" xfId="1" applyNumberFormat="1" applyFont="1" applyFill="1" applyBorder="1" applyAlignment="1">
      <alignment horizontal="right" vertical="center"/>
    </xf>
    <xf numFmtId="38" fontId="17" fillId="2" borderId="3" xfId="2" applyFont="1" applyFill="1" applyBorder="1" applyAlignment="1">
      <alignment horizontal="right" vertical="center"/>
    </xf>
    <xf numFmtId="0" fontId="17" fillId="0" borderId="3" xfId="16" applyNumberFormat="1" applyFont="1" applyBorder="1" applyAlignment="1">
      <alignment horizontal="left" vertical="center"/>
    </xf>
    <xf numFmtId="0" fontId="19" fillId="2" borderId="3" xfId="12" applyFont="1" applyFill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3" fontId="21" fillId="0" borderId="0" xfId="0" applyNumberFormat="1" applyFont="1" applyAlignment="1">
      <alignment horizontal="right" vertical="center"/>
    </xf>
    <xf numFmtId="0" fontId="12" fillId="0" borderId="4" xfId="16" applyNumberFormat="1" applyFont="1" applyBorder="1" applyAlignment="1">
      <alignment horizontal="left" vertical="center"/>
    </xf>
    <xf numFmtId="0" fontId="19" fillId="0" borderId="4" xfId="12" applyFont="1" applyBorder="1" applyAlignment="1">
      <alignment horizontal="left" vertical="center"/>
    </xf>
    <xf numFmtId="0" fontId="12" fillId="2" borderId="4" xfId="16" applyNumberFormat="1" applyFont="1" applyFill="1" applyBorder="1" applyAlignment="1">
      <alignment horizontal="left" vertical="center"/>
    </xf>
    <xf numFmtId="0" fontId="23" fillId="0" borderId="4" xfId="12" applyFont="1" applyBorder="1" applyAlignment="1">
      <alignment horizontal="left" vertical="center"/>
    </xf>
    <xf numFmtId="167" fontId="12" fillId="0" borderId="4" xfId="16" quotePrefix="1" applyNumberFormat="1" applyFont="1" applyBorder="1" applyAlignment="1">
      <alignment horizontal="left" vertical="center"/>
    </xf>
    <xf numFmtId="38" fontId="17" fillId="5" borderId="8" xfId="1" applyNumberFormat="1" applyFont="1" applyFill="1" applyBorder="1" applyAlignment="1">
      <alignment horizontal="right" vertical="center"/>
    </xf>
    <xf numFmtId="0" fontId="18" fillId="2" borderId="5" xfId="38" applyFont="1" applyFill="1" applyBorder="1" applyAlignment="1">
      <alignment horizontal="center" vertical="center"/>
    </xf>
    <xf numFmtId="0" fontId="18" fillId="0" borderId="5" xfId="38" applyFont="1" applyBorder="1" applyAlignment="1">
      <alignment horizontal="center" vertical="center"/>
    </xf>
    <xf numFmtId="38" fontId="19" fillId="0" borderId="8" xfId="1" applyNumberFormat="1" applyFont="1" applyFill="1" applyBorder="1" applyAlignment="1">
      <alignment horizontal="right" vertical="center"/>
    </xf>
    <xf numFmtId="38" fontId="17" fillId="0" borderId="8" xfId="1" applyNumberFormat="1" applyFont="1" applyFill="1" applyBorder="1" applyAlignment="1">
      <alignment horizontal="right" vertical="center"/>
    </xf>
    <xf numFmtId="38" fontId="17" fillId="0" borderId="3" xfId="1" applyNumberFormat="1" applyFont="1" applyFill="1" applyBorder="1" applyAlignment="1">
      <alignment horizontal="right" vertical="center"/>
    </xf>
    <xf numFmtId="38" fontId="19" fillId="0" borderId="3" xfId="1" applyNumberFormat="1" applyFont="1" applyFill="1" applyBorder="1" applyAlignment="1">
      <alignment horizontal="right" vertical="center"/>
    </xf>
    <xf numFmtId="38" fontId="18" fillId="0" borderId="3" xfId="1" applyNumberFormat="1" applyFont="1" applyFill="1" applyBorder="1" applyAlignment="1">
      <alignment horizontal="right" vertical="center"/>
    </xf>
    <xf numFmtId="38" fontId="21" fillId="2" borderId="9" xfId="1" applyNumberFormat="1" applyFont="1" applyFill="1" applyBorder="1" applyAlignment="1">
      <alignment horizontal="right" vertical="center"/>
    </xf>
    <xf numFmtId="38" fontId="19" fillId="0" borderId="6" xfId="1" applyNumberFormat="1" applyFont="1" applyFill="1" applyBorder="1" applyAlignment="1">
      <alignment horizontal="right" vertical="center"/>
    </xf>
    <xf numFmtId="38" fontId="18" fillId="0" borderId="10" xfId="1" applyNumberFormat="1" applyFont="1" applyFill="1" applyBorder="1" applyAlignment="1">
      <alignment horizontal="right" vertical="center"/>
    </xf>
    <xf numFmtId="38" fontId="17" fillId="0" borderId="11" xfId="1" applyNumberFormat="1" applyFont="1" applyFill="1" applyBorder="1" applyAlignment="1">
      <alignment horizontal="right" vertical="center"/>
    </xf>
    <xf numFmtId="38" fontId="18" fillId="0" borderId="11" xfId="1" applyNumberFormat="1" applyFont="1" applyFill="1" applyBorder="1" applyAlignment="1">
      <alignment horizontal="right" vertical="center"/>
    </xf>
    <xf numFmtId="167" fontId="17" fillId="0" borderId="8" xfId="21" applyFont="1" applyBorder="1" applyAlignment="1">
      <alignment horizontal="center" vertical="center"/>
    </xf>
    <xf numFmtId="167" fontId="19" fillId="0" borderId="8" xfId="21" applyFont="1" applyBorder="1" applyAlignment="1">
      <alignment horizontal="center" vertical="center"/>
    </xf>
    <xf numFmtId="167" fontId="20" fillId="0" borderId="12" xfId="16" quotePrefix="1" applyNumberFormat="1" applyFont="1" applyBorder="1" applyAlignment="1">
      <alignment horizontal="center" vertical="center"/>
    </xf>
    <xf numFmtId="40" fontId="17" fillId="0" borderId="8" xfId="21" applyNumberFormat="1" applyFont="1" applyBorder="1" applyAlignment="1">
      <alignment horizontal="center" vertical="center"/>
    </xf>
    <xf numFmtId="167" fontId="21" fillId="0" borderId="7" xfId="21" applyFont="1" applyBorder="1" applyAlignment="1">
      <alignment horizontal="center" vertical="center"/>
    </xf>
    <xf numFmtId="167" fontId="17" fillId="5" borderId="8" xfId="21" applyFont="1" applyFill="1" applyBorder="1" applyAlignment="1">
      <alignment horizontal="center" vertical="center"/>
    </xf>
    <xf numFmtId="167" fontId="20" fillId="0" borderId="13" xfId="16" quotePrefix="1" applyNumberFormat="1" applyFont="1" applyBorder="1" applyAlignment="1">
      <alignment horizontal="center" vertical="center"/>
    </xf>
    <xf numFmtId="167" fontId="21" fillId="0" borderId="8" xfId="21" applyFont="1" applyBorder="1" applyAlignment="1">
      <alignment horizontal="center" vertical="center"/>
    </xf>
    <xf numFmtId="40" fontId="21" fillId="0" borderId="8" xfId="21" applyNumberFormat="1" applyFont="1" applyBorder="1" applyAlignment="1">
      <alignment horizontal="center" vertical="center"/>
    </xf>
    <xf numFmtId="167" fontId="20" fillId="0" borderId="7" xfId="16" quotePrefix="1" applyNumberFormat="1" applyFont="1" applyBorder="1" applyAlignment="1">
      <alignment horizontal="center" vertical="center"/>
    </xf>
    <xf numFmtId="166" fontId="20" fillId="2" borderId="12" xfId="16" quotePrefix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3" borderId="0" xfId="0" applyFont="1" applyFill="1" applyAlignment="1">
      <alignment vertical="center"/>
    </xf>
    <xf numFmtId="3" fontId="17" fillId="5" borderId="7" xfId="1" applyNumberFormat="1" applyFont="1" applyFill="1" applyBorder="1" applyAlignment="1">
      <alignment horizontal="right" vertical="center"/>
    </xf>
    <xf numFmtId="0" fontId="17" fillId="5" borderId="0" xfId="0" applyFont="1" applyFill="1" applyAlignment="1">
      <alignment vertical="center"/>
    </xf>
    <xf numFmtId="0" fontId="18" fillId="0" borderId="3" xfId="38" applyFont="1" applyBorder="1" applyAlignment="1">
      <alignment horizontal="right" vertical="center"/>
    </xf>
    <xf numFmtId="3" fontId="17" fillId="0" borderId="7" xfId="1" applyNumberFormat="1" applyFont="1" applyFill="1" applyBorder="1" applyAlignment="1">
      <alignment horizontal="right" vertical="center"/>
    </xf>
    <xf numFmtId="0" fontId="19" fillId="0" borderId="8" xfId="38" applyFont="1" applyBorder="1" applyAlignment="1">
      <alignment horizontal="right" vertical="center"/>
    </xf>
    <xf numFmtId="3" fontId="17" fillId="2" borderId="7" xfId="38" applyNumberFormat="1" applyFont="1" applyFill="1" applyBorder="1" applyAlignment="1">
      <alignment horizontal="right" vertical="center"/>
    </xf>
    <xf numFmtId="0" fontId="17" fillId="0" borderId="3" xfId="38" applyFont="1" applyBorder="1" applyAlignment="1">
      <alignment horizontal="right" vertical="center"/>
    </xf>
    <xf numFmtId="0" fontId="17" fillId="2" borderId="3" xfId="38" applyFont="1" applyFill="1" applyBorder="1" applyAlignment="1">
      <alignment horizontal="center" vertical="center"/>
    </xf>
    <xf numFmtId="0" fontId="17" fillId="2" borderId="3" xfId="12" applyFont="1" applyFill="1" applyBorder="1" applyAlignment="1">
      <alignment vertical="center"/>
    </xf>
    <xf numFmtId="0" fontId="19" fillId="2" borderId="8" xfId="16" applyNumberFormat="1" applyFont="1" applyFill="1" applyBorder="1" applyAlignment="1">
      <alignment horizontal="right" vertical="center"/>
    </xf>
    <xf numFmtId="0" fontId="13" fillId="0" borderId="3" xfId="16" applyNumberFormat="1" applyFont="1" applyBorder="1" applyAlignment="1">
      <alignment horizontal="left" vertical="center"/>
    </xf>
    <xf numFmtId="40" fontId="17" fillId="5" borderId="8" xfId="21" applyNumberFormat="1" applyFont="1" applyFill="1" applyBorder="1" applyAlignment="1">
      <alignment horizontal="center" vertical="center"/>
    </xf>
    <xf numFmtId="0" fontId="18" fillId="0" borderId="11" xfId="38" applyFont="1" applyBorder="1" applyAlignment="1">
      <alignment horizontal="right" vertical="center"/>
    </xf>
    <xf numFmtId="0" fontId="18" fillId="2" borderId="11" xfId="38" applyFont="1" applyFill="1" applyBorder="1" applyAlignment="1">
      <alignment horizontal="right" vertical="center"/>
    </xf>
    <xf numFmtId="0" fontId="17" fillId="0" borderId="11" xfId="38" applyFont="1" applyBorder="1" applyAlignment="1">
      <alignment horizontal="right" vertical="center"/>
    </xf>
    <xf numFmtId="3" fontId="15" fillId="0" borderId="0" xfId="0" applyNumberFormat="1" applyFont="1" applyAlignment="1">
      <alignment horizontal="center" vertical="center"/>
    </xf>
    <xf numFmtId="0" fontId="19" fillId="0" borderId="6" xfId="38" applyFont="1" applyBorder="1" applyAlignment="1">
      <alignment horizontal="center" vertical="center"/>
    </xf>
    <xf numFmtId="0" fontId="19" fillId="0" borderId="3" xfId="12" applyFont="1" applyBorder="1" applyAlignment="1">
      <alignment horizontal="left" vertical="center"/>
    </xf>
    <xf numFmtId="38" fontId="23" fillId="0" borderId="9" xfId="1" applyNumberFormat="1" applyFont="1" applyFill="1" applyBorder="1" applyAlignment="1">
      <alignment horizontal="right" vertical="center"/>
    </xf>
    <xf numFmtId="38" fontId="21" fillId="0" borderId="9" xfId="1" applyNumberFormat="1" applyFont="1" applyFill="1" applyBorder="1" applyAlignment="1">
      <alignment horizontal="right" vertical="center"/>
    </xf>
    <xf numFmtId="38" fontId="19" fillId="0" borderId="14" xfId="1" applyNumberFormat="1" applyFont="1" applyFill="1" applyBorder="1" applyAlignment="1">
      <alignment horizontal="right" vertical="center"/>
    </xf>
    <xf numFmtId="0" fontId="17" fillId="2" borderId="4" xfId="38" applyFont="1" applyFill="1" applyBorder="1" applyAlignment="1">
      <alignment horizontal="center" vertical="center"/>
    </xf>
    <xf numFmtId="0" fontId="17" fillId="0" borderId="4" xfId="38" applyFont="1" applyBorder="1" applyAlignment="1">
      <alignment horizontal="center" vertical="center"/>
    </xf>
    <xf numFmtId="0" fontId="17" fillId="5" borderId="4" xfId="38" applyFont="1" applyFill="1" applyBorder="1" applyAlignment="1">
      <alignment horizontal="center" vertical="center"/>
    </xf>
    <xf numFmtId="0" fontId="19" fillId="0" borderId="4" xfId="38" applyFont="1" applyBorder="1" applyAlignment="1">
      <alignment horizontal="center" vertical="center"/>
    </xf>
    <xf numFmtId="3" fontId="19" fillId="0" borderId="7" xfId="38" applyNumberFormat="1" applyFont="1" applyBorder="1" applyAlignment="1">
      <alignment horizontal="right" vertical="center"/>
    </xf>
    <xf numFmtId="0" fontId="11" fillId="0" borderId="0" xfId="0" applyFont="1" applyAlignment="1">
      <alignment horizontal="left" vertical="center"/>
    </xf>
    <xf numFmtId="0" fontId="11" fillId="0" borderId="15" xfId="0" applyFont="1" applyBorder="1" applyAlignment="1">
      <alignment vertical="center"/>
    </xf>
    <xf numFmtId="0" fontId="24" fillId="6" borderId="16" xfId="0" quotePrefix="1" applyFont="1" applyFill="1" applyBorder="1" applyAlignment="1">
      <alignment horizontal="center" vertical="center"/>
    </xf>
    <xf numFmtId="4" fontId="24" fillId="6" borderId="17" xfId="0" quotePrefix="1" applyNumberFormat="1" applyFont="1" applyFill="1" applyBorder="1" applyAlignment="1">
      <alignment horizontal="center" vertical="center"/>
    </xf>
    <xf numFmtId="0" fontId="28" fillId="0" borderId="0" xfId="36" applyFont="1" applyAlignment="1">
      <alignment vertical="center"/>
    </xf>
    <xf numFmtId="4" fontId="24" fillId="6" borderId="18" xfId="39" applyNumberFormat="1" applyFont="1" applyFill="1" applyBorder="1">
      <alignment horizontal="center" vertical="center" wrapText="1"/>
    </xf>
    <xf numFmtId="4" fontId="24" fillId="6" borderId="19" xfId="39" applyNumberFormat="1" applyFont="1" applyFill="1" applyBorder="1">
      <alignment horizontal="center" vertical="center" wrapText="1"/>
    </xf>
    <xf numFmtId="4" fontId="24" fillId="6" borderId="14" xfId="39" applyNumberFormat="1" applyFont="1" applyFill="1" applyBorder="1">
      <alignment horizontal="center" vertical="center" wrapText="1"/>
    </xf>
    <xf numFmtId="4" fontId="24" fillId="6" borderId="20" xfId="39" quotePrefix="1" applyNumberFormat="1" applyFont="1" applyFill="1" applyBorder="1">
      <alignment horizontal="center" vertical="center" wrapText="1"/>
    </xf>
    <xf numFmtId="4" fontId="24" fillId="6" borderId="21" xfId="39" quotePrefix="1" applyNumberFormat="1" applyFont="1" applyFill="1" applyBorder="1">
      <alignment horizontal="center" vertical="center" wrapText="1"/>
    </xf>
    <xf numFmtId="4" fontId="24" fillId="6" borderId="22" xfId="39" quotePrefix="1" applyNumberFormat="1" applyFont="1" applyFill="1" applyBorder="1">
      <alignment horizontal="center" vertical="center" wrapText="1"/>
    </xf>
    <xf numFmtId="0" fontId="24" fillId="6" borderId="8" xfId="39" applyFont="1" applyFill="1" applyBorder="1" applyAlignment="1">
      <alignment horizontal="left" vertical="center" wrapText="1"/>
    </xf>
    <xf numFmtId="4" fontId="24" fillId="6" borderId="4" xfId="39" quotePrefix="1" applyNumberFormat="1" applyFont="1" applyFill="1" applyBorder="1">
      <alignment horizontal="center" vertical="center" wrapText="1"/>
    </xf>
    <xf numFmtId="4" fontId="24" fillId="6" borderId="7" xfId="39" quotePrefix="1" applyNumberFormat="1" applyFont="1" applyFill="1" applyBorder="1">
      <alignment horizontal="center" vertical="center" wrapText="1"/>
    </xf>
    <xf numFmtId="4" fontId="24" fillId="6" borderId="6" xfId="39" quotePrefix="1" applyNumberFormat="1" applyFont="1" applyFill="1" applyBorder="1">
      <alignment horizontal="center" vertical="center" wrapText="1"/>
    </xf>
    <xf numFmtId="0" fontId="17" fillId="2" borderId="3" xfId="12" applyFont="1" applyFill="1" applyBorder="1" applyAlignment="1">
      <alignment horizontal="right" vertical="center"/>
    </xf>
    <xf numFmtId="0" fontId="17" fillId="5" borderId="3" xfId="12" applyFont="1" applyFill="1" applyBorder="1" applyAlignment="1">
      <alignment horizontal="right" vertical="center"/>
    </xf>
    <xf numFmtId="4" fontId="24" fillId="6" borderId="23" xfId="39" applyNumberFormat="1" applyFont="1" applyFill="1" applyBorder="1">
      <alignment horizontal="center" vertical="center" wrapText="1"/>
    </xf>
    <xf numFmtId="4" fontId="24" fillId="6" borderId="24" xfId="39" quotePrefix="1" applyNumberFormat="1" applyFont="1" applyFill="1" applyBorder="1">
      <alignment horizontal="center" vertical="center" wrapText="1"/>
    </xf>
    <xf numFmtId="4" fontId="24" fillId="6" borderId="25" xfId="39" applyNumberFormat="1" applyFont="1" applyFill="1" applyBorder="1">
      <alignment horizontal="center" vertical="center" wrapText="1"/>
    </xf>
    <xf numFmtId="0" fontId="17" fillId="5" borderId="4" xfId="12" applyFont="1" applyFill="1" applyBorder="1" applyAlignment="1">
      <alignment vertical="center"/>
    </xf>
    <xf numFmtId="0" fontId="17" fillId="5" borderId="3" xfId="12" applyFont="1" applyFill="1" applyBorder="1" applyAlignment="1">
      <alignment vertical="center"/>
    </xf>
    <xf numFmtId="0" fontId="19" fillId="5" borderId="4" xfId="12" applyFont="1" applyFill="1" applyBorder="1" applyAlignment="1">
      <alignment vertical="center"/>
    </xf>
    <xf numFmtId="0" fontId="19" fillId="5" borderId="3" xfId="12" applyFont="1" applyFill="1" applyBorder="1" applyAlignment="1">
      <alignment vertical="center"/>
    </xf>
    <xf numFmtId="4" fontId="24" fillId="6" borderId="26" xfId="0" quotePrefix="1" applyNumberFormat="1" applyFont="1" applyFill="1" applyBorder="1" applyAlignment="1">
      <alignment horizontal="center" vertical="center"/>
    </xf>
    <xf numFmtId="4" fontId="24" fillId="6" borderId="27" xfId="0" quotePrefix="1" applyNumberFormat="1" applyFont="1" applyFill="1" applyBorder="1" applyAlignment="1">
      <alignment horizontal="center" vertical="center"/>
    </xf>
    <xf numFmtId="4" fontId="24" fillId="6" borderId="28" xfId="0" quotePrefix="1" applyNumberFormat="1" applyFont="1" applyFill="1" applyBorder="1" applyAlignment="1">
      <alignment horizontal="center" vertical="center"/>
    </xf>
    <xf numFmtId="4" fontId="24" fillId="6" borderId="29" xfId="0" quotePrefix="1" applyNumberFormat="1" applyFont="1" applyFill="1" applyBorder="1" applyAlignment="1">
      <alignment horizontal="center" vertical="center"/>
    </xf>
    <xf numFmtId="0" fontId="19" fillId="0" borderId="4" xfId="12" applyFont="1" applyBorder="1" applyAlignment="1">
      <alignment vertical="center"/>
    </xf>
    <xf numFmtId="0" fontId="19" fillId="0" borderId="3" xfId="12" applyFont="1" applyBorder="1" applyAlignment="1">
      <alignment vertical="center"/>
    </xf>
    <xf numFmtId="0" fontId="42" fillId="2" borderId="3" xfId="12" applyFont="1" applyFill="1" applyBorder="1" applyAlignment="1">
      <alignment horizontal="left" vertical="center"/>
    </xf>
    <xf numFmtId="166" fontId="17" fillId="2" borderId="25" xfId="38" quotePrefix="1" applyNumberFormat="1" applyFont="1" applyFill="1" applyBorder="1" applyAlignment="1">
      <alignment horizontal="center" vertical="center"/>
    </xf>
    <xf numFmtId="0" fontId="17" fillId="5" borderId="25" xfId="38" quotePrefix="1" applyFont="1" applyFill="1" applyBorder="1" applyAlignment="1">
      <alignment horizontal="center" vertical="center"/>
    </xf>
    <xf numFmtId="166" fontId="17" fillId="5" borderId="25" xfId="38" quotePrefix="1" applyNumberFormat="1" applyFont="1" applyFill="1" applyBorder="1" applyAlignment="1">
      <alignment horizontal="center" vertical="center"/>
    </xf>
    <xf numFmtId="0" fontId="17" fillId="5" borderId="25" xfId="16" applyNumberFormat="1" applyFont="1" applyFill="1" applyBorder="1" applyAlignment="1">
      <alignment horizontal="center" vertical="center"/>
    </xf>
    <xf numFmtId="0" fontId="43" fillId="5" borderId="25" xfId="38" applyFont="1" applyFill="1" applyBorder="1" applyAlignment="1">
      <alignment horizontal="center" vertical="center"/>
    </xf>
    <xf numFmtId="0" fontId="19" fillId="5" borderId="25" xfId="38" applyFont="1" applyFill="1" applyBorder="1" applyAlignment="1">
      <alignment horizontal="center" vertical="center"/>
    </xf>
    <xf numFmtId="0" fontId="43" fillId="5" borderId="25" xfId="38" quotePrefix="1" applyFont="1" applyFill="1" applyBorder="1" applyAlignment="1">
      <alignment horizontal="center" vertical="center"/>
    </xf>
    <xf numFmtId="0" fontId="17" fillId="5" borderId="25" xfId="38" applyFont="1" applyFill="1" applyBorder="1" applyAlignment="1">
      <alignment horizontal="center" vertical="center"/>
    </xf>
    <xf numFmtId="0" fontId="19" fillId="0" borderId="25" xfId="38" quotePrefix="1" applyFont="1" applyBorder="1" applyAlignment="1">
      <alignment horizontal="center" vertical="center"/>
    </xf>
    <xf numFmtId="3" fontId="19" fillId="5" borderId="30" xfId="38" applyNumberFormat="1" applyFont="1" applyFill="1" applyBorder="1" applyAlignment="1">
      <alignment horizontal="center" vertical="center"/>
    </xf>
    <xf numFmtId="0" fontId="19" fillId="5" borderId="30" xfId="38" applyFont="1" applyFill="1" applyBorder="1" applyAlignment="1">
      <alignment horizontal="center" vertical="center"/>
    </xf>
    <xf numFmtId="0" fontId="19" fillId="0" borderId="30" xfId="38" applyFont="1" applyBorder="1" applyAlignment="1">
      <alignment horizontal="center" vertical="center"/>
    </xf>
    <xf numFmtId="0" fontId="19" fillId="0" borderId="25" xfId="38" applyFont="1" applyBorder="1" applyAlignment="1">
      <alignment horizontal="center" vertical="center"/>
    </xf>
    <xf numFmtId="0" fontId="17" fillId="5" borderId="4" xfId="38" quotePrefix="1" applyFont="1" applyFill="1" applyBorder="1" applyAlignment="1">
      <alignment horizontal="center" vertical="center"/>
    </xf>
    <xf numFmtId="0" fontId="17" fillId="0" borderId="4" xfId="38" quotePrefix="1" applyFont="1" applyBorder="1" applyAlignment="1">
      <alignment horizontal="center" vertical="center"/>
    </xf>
    <xf numFmtId="0" fontId="17" fillId="5" borderId="3" xfId="38" applyFont="1" applyFill="1" applyBorder="1" applyAlignment="1">
      <alignment horizontal="center" vertical="center"/>
    </xf>
    <xf numFmtId="0" fontId="19" fillId="2" borderId="31" xfId="38" applyFont="1" applyFill="1" applyBorder="1" applyAlignment="1">
      <alignment horizontal="center" vertical="center"/>
    </xf>
    <xf numFmtId="38" fontId="18" fillId="0" borderId="5" xfId="1" applyNumberFormat="1" applyFont="1" applyFill="1" applyBorder="1" applyAlignment="1">
      <alignment horizontal="right" vertical="center"/>
    </xf>
    <xf numFmtId="0" fontId="17" fillId="0" borderId="32" xfId="38" applyFont="1" applyBorder="1" applyAlignment="1">
      <alignment horizontal="center" vertical="center"/>
    </xf>
    <xf numFmtId="0" fontId="17" fillId="0" borderId="19" xfId="38" applyFont="1" applyBorder="1" applyAlignment="1">
      <alignment horizontal="center" vertical="center"/>
    </xf>
    <xf numFmtId="38" fontId="17" fillId="2" borderId="18" xfId="1" applyNumberFormat="1" applyFont="1" applyFill="1" applyBorder="1" applyAlignment="1">
      <alignment horizontal="right" vertical="center"/>
    </xf>
    <xf numFmtId="0" fontId="17" fillId="2" borderId="32" xfId="38" applyFont="1" applyFill="1" applyBorder="1" applyAlignment="1">
      <alignment horizontal="center" vertical="center"/>
    </xf>
    <xf numFmtId="0" fontId="17" fillId="2" borderId="19" xfId="38" applyFont="1" applyFill="1" applyBorder="1" applyAlignment="1">
      <alignment horizontal="center" vertical="center"/>
    </xf>
    <xf numFmtId="0" fontId="17" fillId="0" borderId="4" xfId="12" quotePrefix="1" applyFont="1" applyBorder="1" applyAlignment="1">
      <alignment horizontal="left" vertical="center"/>
    </xf>
    <xf numFmtId="38" fontId="19" fillId="0" borderId="22" xfId="1" applyNumberFormat="1" applyFont="1" applyFill="1" applyBorder="1" applyAlignment="1">
      <alignment horizontal="right" vertical="center"/>
    </xf>
    <xf numFmtId="38" fontId="19" fillId="0" borderId="11" xfId="1" applyNumberFormat="1" applyFont="1" applyFill="1" applyBorder="1" applyAlignment="1">
      <alignment horizontal="right" vertical="center"/>
    </xf>
    <xf numFmtId="0" fontId="44" fillId="0" borderId="3" xfId="12" applyFont="1" applyBorder="1" applyAlignment="1">
      <alignment horizontal="left" vertical="center"/>
    </xf>
    <xf numFmtId="0" fontId="17" fillId="2" borderId="4" xfId="0" applyFont="1" applyFill="1" applyBorder="1" applyAlignment="1">
      <alignment vertical="center"/>
    </xf>
    <xf numFmtId="0" fontId="15" fillId="7" borderId="0" xfId="0" applyFont="1" applyFill="1" applyAlignment="1">
      <alignment vertical="center"/>
    </xf>
    <xf numFmtId="0" fontId="45" fillId="7" borderId="0" xfId="0" applyFont="1" applyFill="1" applyAlignment="1">
      <alignment vertical="center"/>
    </xf>
    <xf numFmtId="0" fontId="17" fillId="0" borderId="25" xfId="38" quotePrefix="1" applyFont="1" applyBorder="1" applyAlignment="1">
      <alignment horizontal="center" vertical="center"/>
    </xf>
    <xf numFmtId="0" fontId="17" fillId="5" borderId="4" xfId="12" applyFont="1" applyFill="1" applyBorder="1" applyAlignment="1">
      <alignment horizontal="left" vertical="center"/>
    </xf>
    <xf numFmtId="0" fontId="17" fillId="5" borderId="3" xfId="12" applyFont="1" applyFill="1" applyBorder="1" applyAlignment="1">
      <alignment horizontal="left" vertical="center"/>
    </xf>
    <xf numFmtId="0" fontId="19" fillId="0" borderId="3" xfId="38" quotePrefix="1" applyFont="1" applyBorder="1" applyAlignment="1">
      <alignment horizontal="center" vertical="center"/>
    </xf>
    <xf numFmtId="0" fontId="44" fillId="0" borderId="3" xfId="38" quotePrefix="1" applyFont="1" applyBorder="1" applyAlignment="1">
      <alignment horizontal="center" vertical="center"/>
    </xf>
    <xf numFmtId="0" fontId="17" fillId="0" borderId="3" xfId="38" quotePrefix="1" applyFont="1" applyBorder="1" applyAlignment="1">
      <alignment horizontal="center" vertical="center"/>
    </xf>
    <xf numFmtId="0" fontId="19" fillId="0" borderId="8" xfId="38" applyFont="1" applyBorder="1" applyAlignment="1">
      <alignment horizontal="center" vertical="center"/>
    </xf>
    <xf numFmtId="0" fontId="44" fillId="0" borderId="8" xfId="38" applyFont="1" applyBorder="1" applyAlignment="1">
      <alignment horizontal="center" vertical="center"/>
    </xf>
    <xf numFmtId="0" fontId="17" fillId="0" borderId="8" xfId="38" applyFont="1" applyBorder="1" applyAlignment="1">
      <alignment horizontal="center" vertical="center"/>
    </xf>
    <xf numFmtId="167" fontId="17" fillId="0" borderId="7" xfId="21" applyFont="1" applyBorder="1" applyAlignment="1">
      <alignment horizontal="center" vertical="center"/>
    </xf>
    <xf numFmtId="0" fontId="17" fillId="5" borderId="33" xfId="12" applyFont="1" applyFill="1" applyBorder="1" applyAlignment="1">
      <alignment horizontal="left" vertical="center"/>
    </xf>
    <xf numFmtId="0" fontId="11" fillId="0" borderId="15" xfId="0" applyFont="1" applyBorder="1" applyAlignment="1">
      <alignment horizontal="right" vertical="center"/>
    </xf>
    <xf numFmtId="40" fontId="19" fillId="0" borderId="8" xfId="21" applyNumberFormat="1" applyFont="1" applyBorder="1" applyAlignment="1">
      <alignment horizontal="center" vertical="center"/>
    </xf>
    <xf numFmtId="40" fontId="21" fillId="0" borderId="7" xfId="21" applyNumberFormat="1" applyFont="1" applyBorder="1" applyAlignment="1">
      <alignment horizontal="center" vertical="center"/>
    </xf>
    <xf numFmtId="0" fontId="21" fillId="5" borderId="4" xfId="12" applyFont="1" applyFill="1" applyBorder="1" applyAlignment="1">
      <alignment vertical="center"/>
    </xf>
    <xf numFmtId="3" fontId="14" fillId="0" borderId="3" xfId="0" applyNumberFormat="1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38" fontId="14" fillId="0" borderId="3" xfId="1" applyNumberFormat="1" applyFont="1" applyFill="1" applyBorder="1" applyAlignment="1">
      <alignment horizontal="right" vertical="center"/>
    </xf>
    <xf numFmtId="38" fontId="14" fillId="0" borderId="11" xfId="1" applyNumberFormat="1" applyFont="1" applyFill="1" applyBorder="1" applyAlignment="1">
      <alignment horizontal="right" vertical="center"/>
    </xf>
    <xf numFmtId="3" fontId="17" fillId="0" borderId="3" xfId="38" applyNumberFormat="1" applyFont="1" applyBorder="1" applyAlignment="1">
      <alignment horizontal="center" vertical="center"/>
    </xf>
    <xf numFmtId="3" fontId="13" fillId="0" borderId="5" xfId="16" applyNumberFormat="1" applyFont="1" applyBorder="1" applyAlignment="1">
      <alignment vertical="center"/>
    </xf>
    <xf numFmtId="3" fontId="18" fillId="0" borderId="3" xfId="38" applyNumberFormat="1" applyFont="1" applyBorder="1" applyAlignment="1">
      <alignment horizontal="center" vertical="center"/>
    </xf>
    <xf numFmtId="0" fontId="17" fillId="5" borderId="34" xfId="12" applyFont="1" applyFill="1" applyBorder="1" applyAlignment="1">
      <alignment horizontal="left" vertical="center"/>
    </xf>
    <xf numFmtId="0" fontId="17" fillId="5" borderId="5" xfId="12" applyFont="1" applyFill="1" applyBorder="1" applyAlignment="1">
      <alignment horizontal="left" vertical="center"/>
    </xf>
    <xf numFmtId="0" fontId="17" fillId="5" borderId="5" xfId="12" applyFont="1" applyFill="1" applyBorder="1" applyAlignment="1">
      <alignment vertical="center"/>
    </xf>
    <xf numFmtId="0" fontId="19" fillId="5" borderId="35" xfId="38" applyFont="1" applyFill="1" applyBorder="1" applyAlignment="1">
      <alignment horizontal="center" vertical="center"/>
    </xf>
    <xf numFmtId="0" fontId="17" fillId="0" borderId="21" xfId="38" quotePrefix="1" applyFont="1" applyBorder="1" applyAlignment="1">
      <alignment horizontal="center" vertical="center"/>
    </xf>
    <xf numFmtId="0" fontId="19" fillId="0" borderId="20" xfId="38" applyFont="1" applyBorder="1" applyAlignment="1">
      <alignment horizontal="right" vertical="center"/>
    </xf>
    <xf numFmtId="3" fontId="19" fillId="0" borderId="3" xfId="38" applyNumberFormat="1" applyFont="1" applyBorder="1" applyAlignment="1">
      <alignment horizontal="center" vertical="center"/>
    </xf>
    <xf numFmtId="0" fontId="19" fillId="5" borderId="3" xfId="38" applyFont="1" applyFill="1" applyBorder="1" applyAlignment="1">
      <alignment horizontal="center" vertical="center"/>
    </xf>
    <xf numFmtId="0" fontId="19" fillId="0" borderId="3" xfId="38" applyFont="1" applyBorder="1" applyAlignment="1">
      <alignment horizontal="right" vertical="center"/>
    </xf>
    <xf numFmtId="3" fontId="18" fillId="2" borderId="3" xfId="38" applyNumberFormat="1" applyFont="1" applyFill="1" applyBorder="1" applyAlignment="1">
      <alignment horizontal="center" vertical="center"/>
    </xf>
    <xf numFmtId="0" fontId="18" fillId="2" borderId="5" xfId="38" applyFont="1" applyFill="1" applyBorder="1" applyAlignment="1">
      <alignment horizontal="right" vertical="center"/>
    </xf>
    <xf numFmtId="0" fontId="13" fillId="2" borderId="5" xfId="16" applyNumberFormat="1" applyFont="1" applyFill="1" applyBorder="1" applyAlignment="1">
      <alignment horizontal="left" vertical="center"/>
    </xf>
    <xf numFmtId="0" fontId="18" fillId="0" borderId="5" xfId="38" applyFont="1" applyBorder="1" applyAlignment="1">
      <alignment horizontal="right" vertical="center"/>
    </xf>
    <xf numFmtId="0" fontId="0" fillId="0" borderId="3" xfId="0" applyBorder="1" applyAlignment="1">
      <alignment vertical="center"/>
    </xf>
    <xf numFmtId="3" fontId="0" fillId="0" borderId="3" xfId="0" applyNumberFormat="1" applyBorder="1" applyAlignment="1">
      <alignment vertical="center"/>
    </xf>
    <xf numFmtId="0" fontId="0" fillId="0" borderId="11" xfId="0" applyBorder="1" applyAlignment="1">
      <alignment vertical="center"/>
    </xf>
    <xf numFmtId="38" fontId="21" fillId="2" borderId="36" xfId="1" applyNumberFormat="1" applyFont="1" applyFill="1" applyBorder="1" applyAlignment="1">
      <alignment horizontal="right" vertical="center"/>
    </xf>
    <xf numFmtId="0" fontId="24" fillId="6" borderId="37" xfId="0" quotePrefix="1" applyFont="1" applyFill="1" applyBorder="1" applyAlignment="1">
      <alignment horizontal="center" vertical="center"/>
    </xf>
    <xf numFmtId="0" fontId="24" fillId="6" borderId="17" xfId="0" quotePrefix="1" applyFont="1" applyFill="1" applyBorder="1" applyAlignment="1">
      <alignment horizontal="center" vertical="center"/>
    </xf>
    <xf numFmtId="3" fontId="17" fillId="2" borderId="38" xfId="38" quotePrefix="1" applyNumberFormat="1" applyFont="1" applyFill="1" applyBorder="1" applyAlignment="1">
      <alignment horizontal="center" vertical="center"/>
    </xf>
    <xf numFmtId="0" fontId="17" fillId="2" borderId="6" xfId="38" applyFont="1" applyFill="1" applyBorder="1" applyAlignment="1">
      <alignment horizontal="center" vertical="center"/>
    </xf>
    <xf numFmtId="3" fontId="17" fillId="5" borderId="38" xfId="38" quotePrefix="1" applyNumberFormat="1" applyFont="1" applyFill="1" applyBorder="1" applyAlignment="1">
      <alignment horizontal="center" vertical="center"/>
    </xf>
    <xf numFmtId="3" fontId="17" fillId="5" borderId="38" xfId="16" applyNumberFormat="1" applyFont="1" applyFill="1" applyBorder="1" applyAlignment="1">
      <alignment horizontal="center" vertical="center"/>
    </xf>
    <xf numFmtId="0" fontId="17" fillId="5" borderId="6" xfId="38" applyFont="1" applyFill="1" applyBorder="1" applyAlignment="1">
      <alignment horizontal="center" vertical="center"/>
    </xf>
    <xf numFmtId="3" fontId="19" fillId="0" borderId="38" xfId="38" quotePrefix="1" applyNumberFormat="1" applyFont="1" applyBorder="1" applyAlignment="1">
      <alignment horizontal="center" vertical="center"/>
    </xf>
    <xf numFmtId="3" fontId="17" fillId="0" borderId="38" xfId="38" quotePrefix="1" applyNumberFormat="1" applyFont="1" applyBorder="1" applyAlignment="1">
      <alignment horizontal="center" vertical="center"/>
    </xf>
    <xf numFmtId="3" fontId="43" fillId="5" borderId="38" xfId="38" applyNumberFormat="1" applyFont="1" applyFill="1" applyBorder="1" applyAlignment="1">
      <alignment horizontal="center" vertical="center"/>
    </xf>
    <xf numFmtId="3" fontId="19" fillId="5" borderId="38" xfId="38" applyNumberFormat="1" applyFont="1" applyFill="1" applyBorder="1" applyAlignment="1">
      <alignment horizontal="center" vertical="center"/>
    </xf>
    <xf numFmtId="3" fontId="17" fillId="5" borderId="38" xfId="38" applyNumberFormat="1" applyFont="1" applyFill="1" applyBorder="1" applyAlignment="1">
      <alignment horizontal="center" vertical="center"/>
    </xf>
    <xf numFmtId="3" fontId="19" fillId="0" borderId="38" xfId="38" applyNumberFormat="1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3" fontId="17" fillId="0" borderId="38" xfId="38" applyNumberFormat="1" applyFont="1" applyBorder="1" applyAlignment="1">
      <alignment horizontal="center" vertical="center"/>
    </xf>
    <xf numFmtId="3" fontId="17" fillId="0" borderId="6" xfId="38" applyNumberFormat="1" applyFont="1" applyBorder="1" applyAlignment="1">
      <alignment horizontal="center" vertical="center"/>
    </xf>
    <xf numFmtId="0" fontId="19" fillId="2" borderId="6" xfId="38" applyFont="1" applyFill="1" applyBorder="1" applyAlignment="1">
      <alignment horizontal="center" vertical="center"/>
    </xf>
    <xf numFmtId="167" fontId="21" fillId="5" borderId="8" xfId="21" applyFont="1" applyFill="1" applyBorder="1" applyAlignment="1">
      <alignment horizontal="center" vertical="center"/>
    </xf>
    <xf numFmtId="0" fontId="24" fillId="6" borderId="38" xfId="39" applyFont="1" applyFill="1" applyBorder="1">
      <alignment horizontal="center" vertical="center" wrapText="1"/>
    </xf>
    <xf numFmtId="0" fontId="24" fillId="6" borderId="6" xfId="39" applyFont="1" applyFill="1" applyBorder="1">
      <alignment horizontal="center" vertical="center" wrapText="1"/>
    </xf>
    <xf numFmtId="0" fontId="30" fillId="0" borderId="5" xfId="0" applyFont="1" applyBorder="1" applyAlignment="1">
      <alignment horizontal="left" vertical="center"/>
    </xf>
    <xf numFmtId="0" fontId="19" fillId="0" borderId="5" xfId="0" applyFont="1" applyBorder="1" applyAlignment="1">
      <alignment horizontal="center" vertical="center"/>
    </xf>
    <xf numFmtId="0" fontId="19" fillId="0" borderId="5" xfId="0" applyFont="1" applyBorder="1" applyAlignment="1">
      <alignment vertical="center"/>
    </xf>
    <xf numFmtId="0" fontId="23" fillId="2" borderId="5" xfId="0" applyFont="1" applyFill="1" applyBorder="1" applyAlignment="1">
      <alignment horizontal="right" vertical="center"/>
    </xf>
    <xf numFmtId="0" fontId="17" fillId="0" borderId="3" xfId="12" applyFont="1" applyBorder="1" applyAlignment="1">
      <alignment vertical="center"/>
    </xf>
    <xf numFmtId="0" fontId="12" fillId="0" borderId="21" xfId="16" applyNumberFormat="1" applyFont="1" applyBorder="1" applyAlignment="1">
      <alignment horizontal="left" vertical="center"/>
    </xf>
    <xf numFmtId="0" fontId="18" fillId="0" borderId="5" xfId="12" applyFont="1" applyBorder="1" applyAlignment="1">
      <alignment horizontal="left" vertical="center"/>
    </xf>
    <xf numFmtId="166" fontId="20" fillId="2" borderId="13" xfId="16" quotePrefix="1" applyNumberFormat="1" applyFont="1" applyFill="1" applyBorder="1" applyAlignment="1">
      <alignment horizontal="center" vertical="center"/>
    </xf>
    <xf numFmtId="167" fontId="12" fillId="5" borderId="21" xfId="16" applyFont="1" applyFill="1" applyBorder="1" applyAlignment="1">
      <alignment horizontal="left" vertical="center"/>
    </xf>
    <xf numFmtId="3" fontId="17" fillId="0" borderId="11" xfId="38" applyNumberFormat="1" applyFont="1" applyBorder="1" applyAlignment="1">
      <alignment horizontal="center" vertical="center"/>
    </xf>
    <xf numFmtId="167" fontId="12" fillId="0" borderId="39" xfId="16" applyFont="1" applyBorder="1" applyAlignment="1">
      <alignment horizontal="center" vertical="center"/>
    </xf>
    <xf numFmtId="167" fontId="12" fillId="0" borderId="40" xfId="16" applyFont="1" applyBorder="1" applyAlignment="1">
      <alignment horizontal="left" vertical="center"/>
    </xf>
    <xf numFmtId="0" fontId="30" fillId="0" borderId="41" xfId="0" applyFont="1" applyBorder="1" applyAlignment="1">
      <alignment horizontal="left" vertical="center"/>
    </xf>
    <xf numFmtId="0" fontId="17" fillId="0" borderId="5" xfId="38" applyFont="1" applyBorder="1" applyAlignment="1">
      <alignment horizontal="center" vertical="center"/>
    </xf>
    <xf numFmtId="3" fontId="17" fillId="2" borderId="3" xfId="38" applyNumberFormat="1" applyFont="1" applyFill="1" applyBorder="1" applyAlignment="1">
      <alignment horizontal="right" vertical="center"/>
    </xf>
    <xf numFmtId="38" fontId="19" fillId="0" borderId="5" xfId="1" applyNumberFormat="1" applyFont="1" applyFill="1" applyBorder="1" applyAlignment="1">
      <alignment horizontal="right" vertical="center"/>
    </xf>
    <xf numFmtId="38" fontId="19" fillId="0" borderId="42" xfId="1" applyNumberFormat="1" applyFont="1" applyFill="1" applyBorder="1" applyAlignment="1">
      <alignment horizontal="right" vertical="center"/>
    </xf>
    <xf numFmtId="167" fontId="23" fillId="0" borderId="43" xfId="16" applyFont="1" applyBorder="1" applyAlignment="1">
      <alignment horizontal="center" vertical="center"/>
    </xf>
    <xf numFmtId="167" fontId="23" fillId="0" borderId="31" xfId="16" applyFont="1" applyBorder="1" applyAlignment="1">
      <alignment horizontal="left" vertical="center"/>
    </xf>
    <xf numFmtId="0" fontId="30" fillId="0" borderId="3" xfId="0" applyFont="1" applyBorder="1" applyAlignment="1">
      <alignment horizontal="left" vertical="center"/>
    </xf>
    <xf numFmtId="0" fontId="46" fillId="0" borderId="4" xfId="12" applyFont="1" applyBorder="1" applyAlignment="1">
      <alignment horizontal="left" vertical="center"/>
    </xf>
    <xf numFmtId="3" fontId="19" fillId="0" borderId="6" xfId="1" applyNumberFormat="1" applyFont="1" applyFill="1" applyBorder="1" applyAlignment="1">
      <alignment horizontal="right" vertical="center"/>
    </xf>
    <xf numFmtId="3" fontId="17" fillId="0" borderId="6" xfId="38" quotePrefix="1" applyNumberFormat="1" applyFont="1" applyBorder="1" applyAlignment="1">
      <alignment horizontal="right" vertical="center"/>
    </xf>
    <xf numFmtId="0" fontId="19" fillId="4" borderId="38" xfId="12" applyFont="1" applyFill="1" applyBorder="1" applyAlignment="1">
      <alignment vertical="center"/>
    </xf>
    <xf numFmtId="40" fontId="17" fillId="0" borderId="7" xfId="21" applyNumberFormat="1" applyFont="1" applyBorder="1" applyAlignment="1">
      <alignment horizontal="center" vertical="center"/>
    </xf>
    <xf numFmtId="0" fontId="19" fillId="4" borderId="3" xfId="12" applyFont="1" applyFill="1" applyBorder="1" applyAlignment="1">
      <alignment vertical="center"/>
    </xf>
    <xf numFmtId="3" fontId="17" fillId="0" borderId="3" xfId="1" applyNumberFormat="1" applyFont="1" applyFill="1" applyBorder="1" applyAlignment="1">
      <alignment horizontal="right" vertical="center"/>
    </xf>
    <xf numFmtId="0" fontId="0" fillId="0" borderId="25" xfId="0" applyBorder="1" applyAlignment="1">
      <alignment vertical="center"/>
    </xf>
    <xf numFmtId="0" fontId="23" fillId="2" borderId="42" xfId="0" applyFont="1" applyFill="1" applyBorder="1" applyAlignment="1">
      <alignment horizontal="right" vertical="center"/>
    </xf>
    <xf numFmtId="3" fontId="19" fillId="0" borderId="6" xfId="38" applyNumberFormat="1" applyFont="1" applyBorder="1" applyAlignment="1">
      <alignment horizontal="center" vertical="center"/>
    </xf>
    <xf numFmtId="164" fontId="17" fillId="5" borderId="38" xfId="38" quotePrefix="1" applyNumberFormat="1" applyFont="1" applyFill="1" applyBorder="1" applyAlignment="1">
      <alignment horizontal="right" vertical="center"/>
    </xf>
    <xf numFmtId="3" fontId="17" fillId="5" borderId="3" xfId="38" quotePrefix="1" applyNumberFormat="1" applyFont="1" applyFill="1" applyBorder="1" applyAlignment="1">
      <alignment horizontal="right" vertical="center"/>
    </xf>
    <xf numFmtId="3" fontId="17" fillId="2" borderId="3" xfId="1" applyNumberFormat="1" applyFont="1" applyFill="1" applyBorder="1" applyAlignment="1">
      <alignment horizontal="right" vertical="center"/>
    </xf>
    <xf numFmtId="3" fontId="19" fillId="0" borderId="8" xfId="1" applyNumberFormat="1" applyFont="1" applyFill="1" applyBorder="1" applyAlignment="1">
      <alignment horizontal="right" vertical="center"/>
    </xf>
    <xf numFmtId="164" fontId="17" fillId="5" borderId="6" xfId="38" quotePrefix="1" applyNumberFormat="1" applyFont="1" applyFill="1" applyBorder="1" applyAlignment="1">
      <alignment horizontal="right" vertical="center"/>
    </xf>
    <xf numFmtId="0" fontId="19" fillId="0" borderId="3" xfId="38" applyFont="1" applyBorder="1" applyAlignment="1">
      <alignment horizontal="center" vertical="center"/>
    </xf>
    <xf numFmtId="167" fontId="12" fillId="0" borderId="8" xfId="0" applyNumberFormat="1" applyFont="1" applyBorder="1" applyAlignment="1">
      <alignment horizontal="center" vertical="center"/>
    </xf>
    <xf numFmtId="0" fontId="19" fillId="5" borderId="3" xfId="12" applyFont="1" applyFill="1" applyBorder="1" applyAlignment="1">
      <alignment horizontal="left" vertical="center"/>
    </xf>
    <xf numFmtId="3" fontId="43" fillId="0" borderId="38" xfId="38" applyNumberFormat="1" applyFont="1" applyBorder="1" applyAlignment="1">
      <alignment horizontal="center" vertical="center"/>
    </xf>
    <xf numFmtId="3" fontId="19" fillId="0" borderId="6" xfId="1" applyNumberFormat="1" applyFont="1" applyFill="1" applyBorder="1" applyAlignment="1">
      <alignment vertical="center"/>
    </xf>
    <xf numFmtId="167" fontId="23" fillId="0" borderId="8" xfId="21" applyFont="1" applyBorder="1" applyAlignment="1">
      <alignment horizontal="center" vertical="center"/>
    </xf>
    <xf numFmtId="3" fontId="17" fillId="0" borderId="3" xfId="38" quotePrefix="1" applyNumberFormat="1" applyFont="1" applyBorder="1" applyAlignment="1">
      <alignment horizontal="center" vertical="center"/>
    </xf>
    <xf numFmtId="3" fontId="19" fillId="0" borderId="3" xfId="2" applyNumberFormat="1" applyFont="1" applyFill="1" applyBorder="1" applyAlignment="1">
      <alignment horizontal="right" vertical="center"/>
    </xf>
    <xf numFmtId="0" fontId="17" fillId="0" borderId="32" xfId="12" applyFont="1" applyBorder="1" applyAlignment="1">
      <alignment horizontal="left" vertical="center"/>
    </xf>
    <xf numFmtId="0" fontId="12" fillId="0" borderId="81" xfId="35" quotePrefix="1" applyFont="1" applyBorder="1" applyAlignment="1">
      <alignment vertical="center"/>
    </xf>
    <xf numFmtId="0" fontId="32" fillId="0" borderId="82" xfId="0" applyFont="1" applyBorder="1" applyAlignment="1">
      <alignment vertical="center"/>
    </xf>
    <xf numFmtId="0" fontId="0" fillId="0" borderId="82" xfId="0" applyBorder="1" applyAlignment="1">
      <alignment horizontal="center" vertical="center"/>
    </xf>
    <xf numFmtId="0" fontId="19" fillId="0" borderId="82" xfId="0" applyFont="1" applyBorder="1" applyAlignment="1">
      <alignment horizontal="right" vertical="center"/>
    </xf>
    <xf numFmtId="3" fontId="19" fillId="0" borderId="83" xfId="0" applyNumberFormat="1" applyFont="1" applyBorder="1" applyAlignment="1">
      <alignment horizontal="right" vertical="center"/>
    </xf>
    <xf numFmtId="0" fontId="33" fillId="0" borderId="0" xfId="31" applyFont="1" applyAlignment="1">
      <alignment vertical="center"/>
    </xf>
    <xf numFmtId="166" fontId="23" fillId="0" borderId="84" xfId="18" applyFont="1" applyBorder="1" applyAlignment="1">
      <alignment horizontal="center" vertical="center"/>
    </xf>
    <xf numFmtId="0" fontId="23" fillId="0" borderId="81" xfId="13" applyFont="1" applyBorder="1" applyAlignment="1">
      <alignment horizontal="left" vertical="center"/>
    </xf>
    <xf numFmtId="0" fontId="23" fillId="0" borderId="82" xfId="13" applyFont="1" applyBorder="1" applyAlignment="1">
      <alignment horizontal="left" vertical="center"/>
    </xf>
    <xf numFmtId="0" fontId="19" fillId="0" borderId="82" xfId="0" applyFont="1" applyBorder="1" applyAlignment="1">
      <alignment horizontal="center" vertical="center"/>
    </xf>
    <xf numFmtId="3" fontId="19" fillId="0" borderId="82" xfId="0" applyNumberFormat="1" applyFont="1" applyBorder="1" applyAlignment="1">
      <alignment horizontal="right" vertical="center"/>
    </xf>
    <xf numFmtId="3" fontId="19" fillId="0" borderId="82" xfId="11" applyNumberFormat="1" applyFont="1" applyFill="1" applyBorder="1" applyAlignment="1">
      <alignment horizontal="right" vertical="center"/>
    </xf>
    <xf numFmtId="3" fontId="19" fillId="0" borderId="85" xfId="0" applyNumberFormat="1" applyFont="1" applyBorder="1" applyAlignment="1">
      <alignment horizontal="right" vertical="center"/>
    </xf>
    <xf numFmtId="166" fontId="23" fillId="0" borderId="44" xfId="39" applyNumberFormat="1" applyFont="1" applyBorder="1">
      <alignment horizontal="center" vertical="center" wrapText="1"/>
    </xf>
    <xf numFmtId="38" fontId="21" fillId="0" borderId="33" xfId="2" applyFont="1" applyFill="1" applyBorder="1" applyAlignment="1">
      <alignment vertical="center"/>
    </xf>
    <xf numFmtId="38" fontId="21" fillId="0" borderId="45" xfId="2" applyFont="1" applyFill="1" applyBorder="1" applyAlignment="1">
      <alignment vertical="center"/>
    </xf>
    <xf numFmtId="38" fontId="21" fillId="0" borderId="46" xfId="2" applyFont="1" applyFill="1" applyBorder="1" applyAlignment="1">
      <alignment vertical="center"/>
    </xf>
    <xf numFmtId="166" fontId="47" fillId="0" borderId="43" xfId="39" applyNumberFormat="1" applyFont="1" applyBorder="1">
      <alignment horizontal="center" vertical="center" wrapText="1"/>
    </xf>
    <xf numFmtId="0" fontId="47" fillId="0" borderId="31" xfId="16" applyNumberFormat="1" applyFont="1" applyBorder="1" applyAlignment="1">
      <alignment vertical="center"/>
    </xf>
    <xf numFmtId="0" fontId="47" fillId="0" borderId="3" xfId="16" applyNumberFormat="1" applyFont="1" applyBorder="1" applyAlignment="1">
      <alignment vertical="center"/>
    </xf>
    <xf numFmtId="0" fontId="47" fillId="0" borderId="5" xfId="16" applyNumberFormat="1" applyFont="1" applyBorder="1" applyAlignment="1">
      <alignment vertical="center"/>
    </xf>
    <xf numFmtId="0" fontId="47" fillId="0" borderId="11" xfId="16" applyNumberFormat="1" applyFont="1" applyBorder="1" applyAlignment="1">
      <alignment vertical="center"/>
    </xf>
    <xf numFmtId="0" fontId="19" fillId="0" borderId="43" xfId="39" applyFont="1" applyBorder="1">
      <alignment horizontal="center" vertical="center" wrapText="1"/>
    </xf>
    <xf numFmtId="0" fontId="17" fillId="0" borderId="30" xfId="12" applyFont="1" applyBorder="1" applyAlignment="1">
      <alignment horizontal="left" vertical="center"/>
    </xf>
    <xf numFmtId="3" fontId="17" fillId="0" borderId="47" xfId="38" quotePrefix="1" applyNumberFormat="1" applyFont="1" applyBorder="1" applyAlignment="1">
      <alignment horizontal="center" vertical="center"/>
    </xf>
    <xf numFmtId="0" fontId="17" fillId="0" borderId="11" xfId="38" applyFont="1" applyBorder="1" applyAlignment="1">
      <alignment horizontal="center" vertical="center"/>
    </xf>
    <xf numFmtId="4" fontId="24" fillId="0" borderId="48" xfId="39" quotePrefix="1" applyNumberFormat="1" applyFont="1" applyBorder="1">
      <alignment horizontal="center" vertical="center" wrapText="1"/>
    </xf>
    <xf numFmtId="0" fontId="17" fillId="0" borderId="51" xfId="12" applyFont="1" applyBorder="1" applyAlignment="1">
      <alignment horizontal="left" vertical="center"/>
    </xf>
    <xf numFmtId="0" fontId="17" fillId="0" borderId="52" xfId="12" applyFont="1" applyBorder="1" applyAlignment="1">
      <alignment horizontal="left" vertical="center"/>
    </xf>
    <xf numFmtId="4" fontId="24" fillId="0" borderId="53" xfId="39" quotePrefix="1" applyNumberFormat="1" applyFont="1" applyBorder="1">
      <alignment horizontal="center" vertical="center" wrapText="1"/>
    </xf>
    <xf numFmtId="38" fontId="21" fillId="0" borderId="3" xfId="2" applyFont="1" applyFill="1" applyBorder="1" applyAlignment="1">
      <alignment vertical="center"/>
    </xf>
    <xf numFmtId="38" fontId="21" fillId="0" borderId="54" xfId="2" applyFont="1" applyFill="1" applyBorder="1" applyAlignment="1">
      <alignment vertical="center"/>
    </xf>
    <xf numFmtId="38" fontId="21" fillId="0" borderId="55" xfId="2" applyFont="1" applyFill="1" applyBorder="1" applyAlignment="1">
      <alignment vertical="center"/>
    </xf>
    <xf numFmtId="38" fontId="21" fillId="0" borderId="9" xfId="2" applyFont="1" applyFill="1" applyBorder="1" applyAlignment="1">
      <alignment vertical="center"/>
    </xf>
    <xf numFmtId="0" fontId="23" fillId="0" borderId="81" xfId="13" applyFont="1" applyBorder="1" applyAlignment="1">
      <alignment vertical="center"/>
    </xf>
    <xf numFmtId="0" fontId="23" fillId="0" borderId="82" xfId="13" applyFont="1" applyBorder="1" applyAlignment="1">
      <alignment vertical="center"/>
    </xf>
    <xf numFmtId="0" fontId="23" fillId="0" borderId="85" xfId="13" applyFont="1" applyBorder="1" applyAlignment="1">
      <alignment vertical="center"/>
    </xf>
    <xf numFmtId="0" fontId="19" fillId="0" borderId="56" xfId="0" applyFont="1" applyBorder="1" applyAlignment="1">
      <alignment vertical="center"/>
    </xf>
    <xf numFmtId="166" fontId="12" fillId="0" borderId="84" xfId="35" applyNumberFormat="1" applyFont="1" applyBorder="1" applyAlignment="1">
      <alignment horizontal="center" vertical="center" wrapText="1"/>
    </xf>
    <xf numFmtId="0" fontId="33" fillId="0" borderId="56" xfId="31" applyFont="1" applyBorder="1" applyAlignment="1">
      <alignment vertical="center"/>
    </xf>
    <xf numFmtId="0" fontId="17" fillId="6" borderId="0" xfId="0" applyFont="1" applyFill="1" applyAlignment="1">
      <alignment vertical="center"/>
    </xf>
    <xf numFmtId="0" fontId="19" fillId="0" borderId="25" xfId="12" applyFont="1" applyBorder="1" applyAlignment="1">
      <alignment vertical="center"/>
    </xf>
    <xf numFmtId="0" fontId="43" fillId="0" borderId="4" xfId="12" applyFont="1" applyBorder="1" applyAlignment="1">
      <alignment vertical="center"/>
    </xf>
    <xf numFmtId="0" fontId="23" fillId="0" borderId="4" xfId="12" applyFont="1" applyBorder="1" applyAlignment="1">
      <alignment vertical="center"/>
    </xf>
    <xf numFmtId="3" fontId="17" fillId="0" borderId="3" xfId="38" quotePrefix="1" applyNumberFormat="1" applyFont="1" applyBorder="1" applyAlignment="1">
      <alignment horizontal="right" vertical="center"/>
    </xf>
    <xf numFmtId="38" fontId="21" fillId="0" borderId="57" xfId="2" applyFont="1" applyFill="1" applyBorder="1" applyAlignment="1">
      <alignment vertical="center"/>
    </xf>
    <xf numFmtId="38" fontId="21" fillId="0" borderId="58" xfId="2" applyFont="1" applyFill="1" applyBorder="1" applyAlignment="1">
      <alignment vertical="center"/>
    </xf>
    <xf numFmtId="38" fontId="21" fillId="0" borderId="59" xfId="2" applyFont="1" applyFill="1" applyBorder="1" applyAlignment="1">
      <alignment vertical="center"/>
    </xf>
    <xf numFmtId="38" fontId="21" fillId="0" borderId="36" xfId="2" applyFont="1" applyFill="1" applyBorder="1" applyAlignment="1">
      <alignment vertical="center"/>
    </xf>
    <xf numFmtId="0" fontId="17" fillId="5" borderId="25" xfId="12" applyFont="1" applyFill="1" applyBorder="1" applyAlignment="1">
      <alignment vertical="center"/>
    </xf>
    <xf numFmtId="1" fontId="19" fillId="5" borderId="38" xfId="38" quotePrefix="1" applyNumberFormat="1" applyFont="1" applyFill="1" applyBorder="1" applyAlignment="1">
      <alignment horizontal="center" vertical="center"/>
    </xf>
    <xf numFmtId="0" fontId="19" fillId="5" borderId="6" xfId="38" applyFont="1" applyFill="1" applyBorder="1" applyAlignment="1">
      <alignment horizontal="center" vertical="center"/>
    </xf>
    <xf numFmtId="3" fontId="19" fillId="5" borderId="6" xfId="1" applyNumberFormat="1" applyFont="1" applyFill="1" applyBorder="1" applyAlignment="1">
      <alignment horizontal="right" vertical="center"/>
    </xf>
    <xf numFmtId="164" fontId="17" fillId="0" borderId="38" xfId="38" quotePrefix="1" applyNumberFormat="1" applyFont="1" applyBorder="1" applyAlignment="1">
      <alignment horizontal="right" vertical="center"/>
    </xf>
    <xf numFmtId="167" fontId="20" fillId="0" borderId="3" xfId="16" quotePrefix="1" applyNumberFormat="1" applyFont="1" applyBorder="1" applyAlignment="1">
      <alignment horizontal="left" vertical="center"/>
    </xf>
    <xf numFmtId="38" fontId="18" fillId="0" borderId="3" xfId="2" applyFont="1" applyFill="1" applyBorder="1" applyAlignment="1">
      <alignment horizontal="right" vertical="center"/>
    </xf>
    <xf numFmtId="0" fontId="17" fillId="0" borderId="42" xfId="0" applyFont="1" applyBorder="1" applyAlignment="1">
      <alignment vertical="center"/>
    </xf>
    <xf numFmtId="0" fontId="19" fillId="0" borderId="47" xfId="14" applyFont="1" applyBorder="1" applyAlignment="1">
      <alignment vertical="center"/>
    </xf>
    <xf numFmtId="167" fontId="17" fillId="5" borderId="7" xfId="21" applyFont="1" applyFill="1" applyBorder="1" applyAlignment="1">
      <alignment horizontal="center" vertical="center"/>
    </xf>
    <xf numFmtId="0" fontId="19" fillId="0" borderId="3" xfId="12" applyFont="1" applyBorder="1" applyAlignment="1">
      <alignment horizontal="right" vertical="center"/>
    </xf>
    <xf numFmtId="0" fontId="19" fillId="5" borderId="4" xfId="12" applyFont="1" applyFill="1" applyBorder="1" applyAlignment="1">
      <alignment horizontal="left" vertical="center"/>
    </xf>
    <xf numFmtId="167" fontId="12" fillId="5" borderId="4" xfId="16" applyNumberFormat="1" applyFont="1" applyFill="1" applyBorder="1" applyAlignment="1">
      <alignment horizontal="left" vertical="center"/>
    </xf>
    <xf numFmtId="0" fontId="49" fillId="2" borderId="86" xfId="12" applyFont="1" applyFill="1" applyBorder="1" applyAlignment="1">
      <alignment horizontal="left" vertical="center"/>
    </xf>
    <xf numFmtId="0" fontId="24" fillId="6" borderId="60" xfId="0" quotePrefix="1" applyFont="1" applyFill="1" applyBorder="1" applyAlignment="1">
      <alignment horizontal="center" vertical="center"/>
    </xf>
    <xf numFmtId="0" fontId="24" fillId="6" borderId="61" xfId="0" quotePrefix="1" applyFont="1" applyFill="1" applyBorder="1" applyAlignment="1">
      <alignment horizontal="center" vertical="center"/>
    </xf>
    <xf numFmtId="0" fontId="24" fillId="6" borderId="62" xfId="0" quotePrefix="1" applyFont="1" applyFill="1" applyBorder="1" applyAlignment="1">
      <alignment horizontal="center" vertical="center"/>
    </xf>
    <xf numFmtId="4" fontId="24" fillId="6" borderId="63" xfId="0" quotePrefix="1" applyNumberFormat="1" applyFont="1" applyFill="1" applyBorder="1" applyAlignment="1">
      <alignment horizontal="center" vertical="center"/>
    </xf>
    <xf numFmtId="4" fontId="24" fillId="6" borderId="64" xfId="0" quotePrefix="1" applyNumberFormat="1" applyFont="1" applyFill="1" applyBorder="1" applyAlignment="1">
      <alignment horizontal="center" vertical="center"/>
    </xf>
    <xf numFmtId="4" fontId="24" fillId="6" borderId="65" xfId="0" quotePrefix="1" applyNumberFormat="1" applyFont="1" applyFill="1" applyBorder="1" applyAlignment="1">
      <alignment horizontal="center" vertical="center"/>
    </xf>
    <xf numFmtId="4" fontId="24" fillId="6" borderId="62" xfId="0" quotePrefix="1" applyNumberFormat="1" applyFont="1" applyFill="1" applyBorder="1" applyAlignment="1">
      <alignment horizontal="center" vertical="center"/>
    </xf>
    <xf numFmtId="4" fontId="24" fillId="6" borderId="66" xfId="0" quotePrefix="1" applyNumberFormat="1" applyFont="1" applyFill="1" applyBorder="1" applyAlignment="1">
      <alignment horizontal="center" vertical="center"/>
    </xf>
    <xf numFmtId="0" fontId="24" fillId="6" borderId="64" xfId="0" quotePrefix="1" applyFont="1" applyFill="1" applyBorder="1" applyAlignment="1">
      <alignment horizontal="center" vertical="center"/>
    </xf>
    <xf numFmtId="4" fontId="30" fillId="8" borderId="67" xfId="39" applyNumberFormat="1" applyFont="1" applyFill="1" applyBorder="1">
      <alignment horizontal="center" vertical="center" wrapText="1"/>
    </xf>
    <xf numFmtId="4" fontId="30" fillId="8" borderId="67" xfId="39" quotePrefix="1" applyNumberFormat="1" applyFont="1" applyFill="1" applyBorder="1">
      <alignment horizontal="center" vertical="center" wrapText="1"/>
    </xf>
    <xf numFmtId="3" fontId="43" fillId="5" borderId="4" xfId="38" applyNumberFormat="1" applyFont="1" applyFill="1" applyBorder="1" applyAlignment="1">
      <alignment horizontal="center" vertical="center"/>
    </xf>
    <xf numFmtId="3" fontId="19" fillId="5" borderId="4" xfId="38" applyNumberFormat="1" applyFont="1" applyFill="1" applyBorder="1" applyAlignment="1">
      <alignment horizontal="center" vertical="center"/>
    </xf>
    <xf numFmtId="3" fontId="19" fillId="0" borderId="4" xfId="38" applyNumberFormat="1" applyFont="1" applyBorder="1" applyAlignment="1">
      <alignment horizontal="center" vertical="center"/>
    </xf>
    <xf numFmtId="3" fontId="43" fillId="0" borderId="4" xfId="38" applyNumberFormat="1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4" fontId="12" fillId="5" borderId="4" xfId="0" applyNumberFormat="1" applyFont="1" applyFill="1" applyBorder="1" applyAlignment="1">
      <alignment horizontal="left" vertical="center"/>
    </xf>
    <xf numFmtId="38" fontId="23" fillId="2" borderId="9" xfId="5" applyFont="1" applyFill="1" applyBorder="1" applyAlignment="1">
      <alignment horizontal="right" vertical="center"/>
    </xf>
    <xf numFmtId="167" fontId="12" fillId="0" borderId="20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12" fillId="0" borderId="21" xfId="0" applyFont="1" applyBorder="1" applyAlignment="1">
      <alignment horizontal="left" vertical="center"/>
    </xf>
    <xf numFmtId="38" fontId="23" fillId="2" borderId="36" xfId="5" applyFont="1" applyFill="1" applyBorder="1" applyAlignment="1">
      <alignment horizontal="right" vertical="center"/>
    </xf>
    <xf numFmtId="0" fontId="28" fillId="0" borderId="0" xfId="37" applyFont="1" applyAlignment="1">
      <alignment vertical="center"/>
    </xf>
    <xf numFmtId="4" fontId="12" fillId="5" borderId="3" xfId="0" applyNumberFormat="1" applyFont="1" applyFill="1" applyBorder="1" applyAlignment="1">
      <alignment horizontal="left" vertical="center"/>
    </xf>
    <xf numFmtId="4" fontId="26" fillId="0" borderId="3" xfId="0" applyNumberFormat="1" applyFont="1" applyBorder="1" applyAlignment="1">
      <alignment horizontal="center" vertical="center"/>
    </xf>
    <xf numFmtId="4" fontId="26" fillId="2" borderId="3" xfId="1" applyNumberFormat="1" applyFont="1" applyFill="1" applyBorder="1" applyAlignment="1">
      <alignment horizontal="right" vertical="center"/>
    </xf>
    <xf numFmtId="4" fontId="26" fillId="2" borderId="5" xfId="0" applyNumberFormat="1" applyFont="1" applyFill="1" applyBorder="1" applyAlignment="1">
      <alignment horizontal="right" vertical="center"/>
    </xf>
    <xf numFmtId="4" fontId="26" fillId="2" borderId="42" xfId="1" applyNumberFormat="1" applyFont="1" applyFill="1" applyBorder="1" applyAlignment="1">
      <alignment horizontal="right" vertical="center"/>
    </xf>
    <xf numFmtId="0" fontId="26" fillId="2" borderId="0" xfId="0" applyFont="1" applyFill="1" applyAlignment="1">
      <alignment vertical="center"/>
    </xf>
    <xf numFmtId="167" fontId="19" fillId="0" borderId="8" xfId="0" applyNumberFormat="1" applyFont="1" applyBorder="1" applyAlignment="1">
      <alignment horizontal="center" vertical="center"/>
    </xf>
    <xf numFmtId="0" fontId="19" fillId="0" borderId="3" xfId="0" applyFont="1" applyBorder="1" applyAlignment="1">
      <alignment horizontal="left" vertical="center"/>
    </xf>
    <xf numFmtId="38" fontId="19" fillId="0" borderId="38" xfId="0" applyNumberFormat="1" applyFont="1" applyBorder="1" applyAlignment="1">
      <alignment horizontal="center" vertical="center"/>
    </xf>
    <xf numFmtId="164" fontId="19" fillId="2" borderId="6" xfId="1" applyNumberFormat="1" applyFont="1" applyFill="1" applyBorder="1" applyAlignment="1">
      <alignment horizontal="right" vertical="center"/>
    </xf>
    <xf numFmtId="0" fontId="19" fillId="2" borderId="0" xfId="0" applyFont="1" applyFill="1" applyAlignment="1">
      <alignment vertical="center"/>
    </xf>
    <xf numFmtId="164" fontId="19" fillId="0" borderId="6" xfId="1" applyNumberFormat="1" applyFont="1" applyFill="1" applyBorder="1" applyAlignment="1">
      <alignment horizontal="right" vertical="center"/>
    </xf>
    <xf numFmtId="0" fontId="12" fillId="0" borderId="3" xfId="0" applyFont="1" applyBorder="1" applyAlignment="1">
      <alignment horizontal="left" vertical="center"/>
    </xf>
    <xf numFmtId="0" fontId="26" fillId="0" borderId="3" xfId="0" applyFont="1" applyBorder="1" applyAlignment="1">
      <alignment horizontal="center" vertical="center"/>
    </xf>
    <xf numFmtId="38" fontId="26" fillId="2" borderId="3" xfId="1" applyNumberFormat="1" applyFont="1" applyFill="1" applyBorder="1" applyAlignment="1">
      <alignment horizontal="right" vertical="center"/>
    </xf>
    <xf numFmtId="38" fontId="26" fillId="2" borderId="3" xfId="0" applyNumberFormat="1" applyFont="1" applyFill="1" applyBorder="1" applyAlignment="1">
      <alignment horizontal="right" vertical="center"/>
    </xf>
    <xf numFmtId="38" fontId="26" fillId="2" borderId="5" xfId="1" applyNumberFormat="1" applyFont="1" applyFill="1" applyBorder="1" applyAlignment="1">
      <alignment horizontal="right" vertical="center"/>
    </xf>
    <xf numFmtId="38" fontId="26" fillId="2" borderId="42" xfId="1" applyNumberFormat="1" applyFont="1" applyFill="1" applyBorder="1" applyAlignment="1">
      <alignment horizontal="right" vertical="center"/>
    </xf>
    <xf numFmtId="167" fontId="19" fillId="0" borderId="18" xfId="0" applyNumberFormat="1" applyFont="1" applyBorder="1" applyAlignment="1">
      <alignment horizontal="center" vertical="center"/>
    </xf>
    <xf numFmtId="0" fontId="17" fillId="2" borderId="32" xfId="0" applyFont="1" applyFill="1" applyBorder="1" applyAlignment="1">
      <alignment horizontal="left" vertical="center"/>
    </xf>
    <xf numFmtId="0" fontId="19" fillId="5" borderId="14" xfId="0" applyFont="1" applyFill="1" applyBorder="1" applyAlignment="1">
      <alignment horizontal="center" vertical="center"/>
    </xf>
    <xf numFmtId="0" fontId="26" fillId="2" borderId="42" xfId="0" applyFont="1" applyFill="1" applyBorder="1" applyAlignment="1">
      <alignment vertical="center"/>
    </xf>
    <xf numFmtId="0" fontId="19" fillId="0" borderId="38" xfId="0" applyFont="1" applyBorder="1" applyAlignment="1">
      <alignment horizontal="left" vertical="center"/>
    </xf>
    <xf numFmtId="0" fontId="19" fillId="5" borderId="6" xfId="0" applyFont="1" applyFill="1" applyBorder="1" applyAlignment="1">
      <alignment horizontal="center" vertical="center"/>
    </xf>
    <xf numFmtId="0" fontId="26" fillId="0" borderId="42" xfId="0" applyFont="1" applyBorder="1" applyAlignment="1">
      <alignment vertical="center"/>
    </xf>
    <xf numFmtId="167" fontId="23" fillId="0" borderId="8" xfId="0" applyNumberFormat="1" applyFont="1" applyBorder="1" applyAlignment="1">
      <alignment horizontal="center" vertical="center"/>
    </xf>
    <xf numFmtId="0" fontId="23" fillId="0" borderId="4" xfId="0" applyFont="1" applyBorder="1" applyAlignment="1">
      <alignment horizontal="left" vertical="center"/>
    </xf>
    <xf numFmtId="0" fontId="23" fillId="0" borderId="3" xfId="0" applyFont="1" applyBorder="1" applyAlignment="1">
      <alignment horizontal="left" vertical="center"/>
    </xf>
    <xf numFmtId="0" fontId="19" fillId="5" borderId="3" xfId="0" applyFont="1" applyFill="1" applyBorder="1" applyAlignment="1">
      <alignment horizontal="center" vertical="center"/>
    </xf>
    <xf numFmtId="164" fontId="19" fillId="2" borderId="11" xfId="1" applyNumberFormat="1" applyFont="1" applyFill="1" applyBorder="1" applyAlignment="1">
      <alignment horizontal="right" vertical="center"/>
    </xf>
    <xf numFmtId="0" fontId="19" fillId="0" borderId="3" xfId="14" applyFont="1" applyBorder="1" applyAlignment="1">
      <alignment horizontal="left" vertical="center"/>
    </xf>
    <xf numFmtId="0" fontId="23" fillId="0" borderId="4" xfId="14" applyFont="1" applyBorder="1" applyAlignment="1">
      <alignment horizontal="left" vertical="center"/>
    </xf>
    <xf numFmtId="0" fontId="23" fillId="0" borderId="3" xfId="14" applyFont="1" applyBorder="1" applyAlignment="1">
      <alignment horizontal="left" vertical="center"/>
    </xf>
    <xf numFmtId="0" fontId="23" fillId="0" borderId="3" xfId="38" applyFont="1" applyBorder="1" applyAlignment="1">
      <alignment horizontal="center" vertical="center"/>
    </xf>
    <xf numFmtId="38" fontId="23" fillId="2" borderId="11" xfId="1" applyNumberFormat="1" applyFont="1" applyFill="1" applyBorder="1" applyAlignment="1">
      <alignment horizontal="right" vertical="center"/>
    </xf>
    <xf numFmtId="0" fontId="23" fillId="2" borderId="0" xfId="0" applyFont="1" applyFill="1" applyAlignment="1">
      <alignment vertical="center"/>
    </xf>
    <xf numFmtId="0" fontId="19" fillId="0" borderId="8" xfId="14" applyFont="1" applyBorder="1" applyAlignment="1">
      <alignment horizontal="center" vertical="center"/>
    </xf>
    <xf numFmtId="0" fontId="19" fillId="5" borderId="0" xfId="0" applyFont="1" applyFill="1" applyAlignment="1">
      <alignment vertical="center"/>
    </xf>
    <xf numFmtId="166" fontId="23" fillId="0" borderId="8" xfId="14" applyNumberFormat="1" applyFont="1" applyBorder="1" applyAlignment="1">
      <alignment horizontal="center" vertical="center"/>
    </xf>
    <xf numFmtId="0" fontId="23" fillId="0" borderId="8" xfId="14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26" fillId="0" borderId="3" xfId="0" applyFont="1" applyBorder="1" applyAlignment="1">
      <alignment horizontal="centerContinuous" vertical="center"/>
    </xf>
    <xf numFmtId="0" fontId="19" fillId="0" borderId="4" xfId="0" applyFont="1" applyBorder="1" applyAlignment="1">
      <alignment vertical="center"/>
    </xf>
    <xf numFmtId="0" fontId="19" fillId="0" borderId="32" xfId="0" applyFont="1" applyBorder="1" applyAlignment="1">
      <alignment horizontal="left" vertical="center"/>
    </xf>
    <xf numFmtId="0" fontId="19" fillId="0" borderId="3" xfId="0" applyFont="1" applyBorder="1" applyAlignment="1">
      <alignment horizontal="left" vertical="center" wrapText="1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Continuous" vertical="center"/>
    </xf>
    <xf numFmtId="38" fontId="26" fillId="0" borderId="0" xfId="1" applyNumberFormat="1" applyFont="1" applyBorder="1" applyAlignment="1">
      <alignment horizontal="right" vertical="center"/>
    </xf>
    <xf numFmtId="38" fontId="26" fillId="0" borderId="0" xfId="0" applyNumberFormat="1" applyFont="1" applyAlignment="1">
      <alignment horizontal="right" vertical="center"/>
    </xf>
    <xf numFmtId="38" fontId="26" fillId="0" borderId="0" xfId="1" applyNumberFormat="1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38" fontId="6" fillId="0" borderId="0" xfId="1" applyNumberFormat="1" applyFont="1" applyAlignment="1">
      <alignment horizontal="right" vertical="center"/>
    </xf>
    <xf numFmtId="38" fontId="6" fillId="0" borderId="0" xfId="0" applyNumberFormat="1" applyFont="1" applyAlignment="1">
      <alignment horizontal="right" vertical="center"/>
    </xf>
    <xf numFmtId="0" fontId="51" fillId="0" borderId="0" xfId="24" applyFont="1"/>
    <xf numFmtId="0" fontId="53" fillId="0" borderId="67" xfId="24" applyFont="1" applyBorder="1" applyAlignment="1">
      <alignment horizontal="center" vertical="center"/>
    </xf>
    <xf numFmtId="0" fontId="53" fillId="0" borderId="67" xfId="24" applyFont="1" applyBorder="1" applyAlignment="1">
      <alignment horizontal="center" vertical="center" wrapText="1"/>
    </xf>
    <xf numFmtId="165" fontId="53" fillId="0" borderId="67" xfId="24" applyNumberFormat="1" applyFont="1" applyBorder="1" applyAlignment="1">
      <alignment horizontal="center" vertical="center"/>
    </xf>
    <xf numFmtId="0" fontId="51" fillId="0" borderId="0" xfId="24" applyFont="1" applyAlignment="1">
      <alignment horizontal="center" vertical="center"/>
    </xf>
    <xf numFmtId="0" fontId="52" fillId="0" borderId="67" xfId="24" applyFont="1" applyBorder="1" applyAlignment="1">
      <alignment horizontal="right" vertical="center" wrapText="1"/>
    </xf>
    <xf numFmtId="0" fontId="53" fillId="0" borderId="0" xfId="24" applyFont="1" applyAlignment="1">
      <alignment horizontal="center"/>
    </xf>
    <xf numFmtId="0" fontId="52" fillId="0" borderId="0" xfId="24" applyFont="1" applyAlignment="1">
      <alignment horizontal="right" wrapText="1"/>
    </xf>
    <xf numFmtId="0" fontId="12" fillId="9" borderId="37" xfId="39" applyFont="1" applyFill="1" applyBorder="1">
      <alignment horizontal="center" vertical="center" wrapText="1"/>
    </xf>
    <xf numFmtId="0" fontId="12" fillId="9" borderId="17" xfId="39" applyFont="1" applyFill="1" applyBorder="1">
      <alignment horizontal="center" vertical="center" wrapText="1"/>
    </xf>
    <xf numFmtId="0" fontId="51" fillId="9" borderId="0" xfId="24" applyFont="1" applyFill="1"/>
    <xf numFmtId="38" fontId="48" fillId="0" borderId="49" xfId="1" applyNumberFormat="1" applyFont="1" applyBorder="1" applyAlignment="1">
      <alignment vertical="center" wrapText="1"/>
    </xf>
    <xf numFmtId="38" fontId="48" fillId="0" borderId="50" xfId="1" applyNumberFormat="1" applyFont="1" applyBorder="1" applyAlignment="1">
      <alignment vertical="center" wrapText="1"/>
    </xf>
    <xf numFmtId="0" fontId="50" fillId="8" borderId="90" xfId="39" applyFont="1" applyFill="1" applyBorder="1" applyAlignment="1">
      <alignment vertical="center" wrapText="1"/>
    </xf>
    <xf numFmtId="0" fontId="50" fillId="8" borderId="71" xfId="39" applyFont="1" applyFill="1" applyBorder="1" applyAlignment="1">
      <alignment vertical="center" wrapText="1"/>
    </xf>
    <xf numFmtId="0" fontId="50" fillId="8" borderId="77" xfId="39" applyFont="1" applyFill="1" applyBorder="1" applyAlignment="1">
      <alignment vertical="center" wrapText="1"/>
    </xf>
    <xf numFmtId="38" fontId="19" fillId="0" borderId="4" xfId="0" applyNumberFormat="1" applyFont="1" applyBorder="1" applyAlignment="1">
      <alignment horizontal="center" vertical="center"/>
    </xf>
    <xf numFmtId="38" fontId="19" fillId="2" borderId="36" xfId="5" applyFont="1" applyFill="1" applyBorder="1" applyAlignment="1">
      <alignment horizontal="right" vertical="center"/>
    </xf>
    <xf numFmtId="38" fontId="57" fillId="0" borderId="49" xfId="1" applyNumberFormat="1" applyFont="1" applyBorder="1" applyAlignment="1">
      <alignment vertical="center" wrapText="1"/>
    </xf>
    <xf numFmtId="38" fontId="57" fillId="0" borderId="50" xfId="1" applyNumberFormat="1" applyFont="1" applyBorder="1" applyAlignment="1">
      <alignment vertical="center" wrapText="1"/>
    </xf>
    <xf numFmtId="0" fontId="14" fillId="0" borderId="54" xfId="14" applyFont="1" applyBorder="1" applyAlignment="1">
      <alignment vertical="center"/>
    </xf>
    <xf numFmtId="0" fontId="14" fillId="0" borderId="5" xfId="14" applyFont="1" applyBorder="1" applyAlignment="1">
      <alignment vertical="center"/>
    </xf>
    <xf numFmtId="38" fontId="25" fillId="2" borderId="9" xfId="5" applyFont="1" applyFill="1" applyBorder="1" applyAlignment="1">
      <alignment horizontal="right" vertical="center"/>
    </xf>
    <xf numFmtId="0" fontId="6" fillId="0" borderId="3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164" fontId="25" fillId="2" borderId="3" xfId="1" applyNumberFormat="1" applyFont="1" applyFill="1" applyBorder="1" applyAlignment="1">
      <alignment horizontal="right" vertical="center"/>
    </xf>
    <xf numFmtId="164" fontId="25" fillId="2" borderId="11" xfId="1" applyNumberFormat="1" applyFont="1" applyFill="1" applyBorder="1" applyAlignment="1">
      <alignment horizontal="right" vertical="center"/>
    </xf>
    <xf numFmtId="164" fontId="25" fillId="2" borderId="6" xfId="1" applyNumberFormat="1" applyFont="1" applyFill="1" applyBorder="1" applyAlignment="1">
      <alignment horizontal="right" vertical="center"/>
    </xf>
    <xf numFmtId="38" fontId="25" fillId="2" borderId="3" xfId="1" applyNumberFormat="1" applyFont="1" applyFill="1" applyBorder="1" applyAlignment="1">
      <alignment horizontal="right" vertical="center"/>
    </xf>
    <xf numFmtId="38" fontId="25" fillId="2" borderId="11" xfId="1" applyNumberFormat="1" applyFont="1" applyFill="1" applyBorder="1" applyAlignment="1">
      <alignment horizontal="right" vertical="center"/>
    </xf>
    <xf numFmtId="0" fontId="14" fillId="0" borderId="58" xfId="14" applyFont="1" applyBorder="1" applyAlignment="1">
      <alignment vertical="center"/>
    </xf>
    <xf numFmtId="0" fontId="14" fillId="0" borderId="15" xfId="14" applyFont="1" applyBorder="1" applyAlignment="1">
      <alignment vertical="center"/>
    </xf>
    <xf numFmtId="38" fontId="25" fillId="2" borderId="36" xfId="5" applyFont="1" applyFill="1" applyBorder="1" applyAlignment="1">
      <alignment horizontal="right" vertical="center"/>
    </xf>
    <xf numFmtId="164" fontId="19" fillId="2" borderId="25" xfId="1" applyNumberFormat="1" applyFont="1" applyFill="1" applyBorder="1" applyAlignment="1">
      <alignment horizontal="right" vertical="center"/>
    </xf>
    <xf numFmtId="0" fontId="21" fillId="0" borderId="5" xfId="14" applyFont="1" applyBorder="1" applyAlignment="1">
      <alignment vertical="center"/>
    </xf>
    <xf numFmtId="0" fontId="0" fillId="0" borderId="5" xfId="0" applyBorder="1" applyAlignment="1">
      <alignment vertical="center"/>
    </xf>
    <xf numFmtId="164" fontId="19" fillId="2" borderId="3" xfId="1" applyNumberFormat="1" applyFont="1" applyFill="1" applyBorder="1" applyAlignment="1">
      <alignment horizontal="right" vertical="center"/>
    </xf>
    <xf numFmtId="38" fontId="23" fillId="2" borderId="3" xfId="1" applyNumberFormat="1" applyFont="1" applyFill="1" applyBorder="1" applyAlignment="1">
      <alignment horizontal="right" vertical="center"/>
    </xf>
    <xf numFmtId="0" fontId="5" fillId="0" borderId="5" xfId="0" applyFont="1" applyBorder="1" applyAlignment="1">
      <alignment vertical="center"/>
    </xf>
    <xf numFmtId="0" fontId="21" fillId="0" borderId="15" xfId="14" applyFont="1" applyBorder="1" applyAlignment="1">
      <alignment vertical="center"/>
    </xf>
    <xf numFmtId="38" fontId="58" fillId="2" borderId="36" xfId="5" applyFont="1" applyFill="1" applyBorder="1" applyAlignment="1">
      <alignment horizontal="right" vertical="center"/>
    </xf>
    <xf numFmtId="0" fontId="59" fillId="0" borderId="0" xfId="0" applyFont="1" applyAlignment="1">
      <alignment vertical="center"/>
    </xf>
    <xf numFmtId="0" fontId="61" fillId="0" borderId="0" xfId="37" applyFont="1" applyAlignment="1">
      <alignment vertical="center"/>
    </xf>
    <xf numFmtId="4" fontId="12" fillId="8" borderId="67" xfId="39" applyNumberFormat="1" applyFont="1" applyFill="1" applyBorder="1">
      <alignment horizontal="center" vertical="center" wrapText="1"/>
    </xf>
    <xf numFmtId="4" fontId="12" fillId="8" borderId="121" xfId="39" quotePrefix="1" applyNumberFormat="1" applyFont="1" applyFill="1" applyBorder="1">
      <alignment horizontal="center" vertical="center" wrapText="1"/>
    </xf>
    <xf numFmtId="166" fontId="62" fillId="0" borderId="105" xfId="39" applyNumberFormat="1" applyFont="1" applyBorder="1">
      <alignment horizontal="center" vertical="center" wrapText="1"/>
    </xf>
    <xf numFmtId="0" fontId="63" fillId="0" borderId="77" xfId="16" applyNumberFormat="1" applyFont="1" applyBorder="1" applyAlignment="1">
      <alignment vertical="center"/>
    </xf>
    <xf numFmtId="0" fontId="62" fillId="0" borderId="5" xfId="16" applyNumberFormat="1" applyFont="1" applyBorder="1" applyAlignment="1">
      <alignment vertical="center"/>
    </xf>
    <xf numFmtId="0" fontId="62" fillId="0" borderId="0" xfId="16" applyNumberFormat="1" applyFont="1" applyBorder="1" applyAlignment="1">
      <alignment vertical="center"/>
    </xf>
    <xf numFmtId="0" fontId="62" fillId="0" borderId="42" xfId="16" applyNumberFormat="1" applyFont="1" applyBorder="1" applyAlignment="1">
      <alignment vertical="center"/>
    </xf>
    <xf numFmtId="0" fontId="64" fillId="0" borderId="0" xfId="37" applyFont="1" applyAlignment="1">
      <alignment vertical="center"/>
    </xf>
    <xf numFmtId="0" fontId="65" fillId="0" borderId="43" xfId="39" applyFont="1" applyBorder="1">
      <alignment horizontal="center" vertical="center" wrapText="1"/>
    </xf>
    <xf numFmtId="3" fontId="67" fillId="0" borderId="47" xfId="38" quotePrefix="1" applyNumberFormat="1" applyFont="1" applyBorder="1" applyAlignment="1">
      <alignment horizontal="center" vertical="center"/>
    </xf>
    <xf numFmtId="3" fontId="67" fillId="0" borderId="67" xfId="38" quotePrefix="1" applyNumberFormat="1" applyFont="1" applyBorder="1" applyAlignment="1">
      <alignment horizontal="center" vertical="center"/>
    </xf>
    <xf numFmtId="0" fontId="67" fillId="0" borderId="67" xfId="38" applyFont="1" applyBorder="1" applyAlignment="1">
      <alignment horizontal="center" vertical="center"/>
    </xf>
    <xf numFmtId="38" fontId="62" fillId="0" borderId="30" xfId="1" applyNumberFormat="1" applyFont="1" applyBorder="1" applyAlignment="1">
      <alignment vertical="center" wrapText="1"/>
    </xf>
    <xf numFmtId="38" fontId="62" fillId="0" borderId="50" xfId="1" applyNumberFormat="1" applyFont="1" applyBorder="1" applyAlignment="1">
      <alignment vertical="center" wrapText="1"/>
    </xf>
    <xf numFmtId="38" fontId="62" fillId="0" borderId="49" xfId="1" applyNumberFormat="1" applyFont="1" applyBorder="1" applyAlignment="1">
      <alignment vertical="center" wrapText="1"/>
    </xf>
    <xf numFmtId="4" fontId="64" fillId="0" borderId="48" xfId="39" quotePrefix="1" applyNumberFormat="1" applyFont="1" applyBorder="1">
      <alignment horizontal="center" vertical="center" wrapText="1"/>
    </xf>
    <xf numFmtId="3" fontId="65" fillId="0" borderId="38" xfId="38" applyNumberFormat="1" applyFont="1" applyBorder="1" applyAlignment="1">
      <alignment horizontal="center" vertical="center"/>
    </xf>
    <xf numFmtId="3" fontId="65" fillId="0" borderId="21" xfId="38" applyNumberFormat="1" applyFont="1" applyBorder="1" applyAlignment="1">
      <alignment horizontal="center" vertical="center"/>
    </xf>
    <xf numFmtId="0" fontId="67" fillId="0" borderId="22" xfId="38" applyFont="1" applyBorder="1" applyAlignment="1">
      <alignment horizontal="center" vertical="center"/>
    </xf>
    <xf numFmtId="0" fontId="67" fillId="0" borderId="51" xfId="12" applyFont="1" applyBorder="1" applyAlignment="1">
      <alignment horizontal="left" vertical="center"/>
    </xf>
    <xf numFmtId="0" fontId="67" fillId="0" borderId="32" xfId="12" applyFont="1" applyBorder="1" applyAlignment="1">
      <alignment horizontal="left" vertical="center"/>
    </xf>
    <xf numFmtId="0" fontId="67" fillId="0" borderId="52" xfId="12" applyFont="1" applyBorder="1" applyAlignment="1">
      <alignment horizontal="left" vertical="center"/>
    </xf>
    <xf numFmtId="3" fontId="65" fillId="0" borderId="3" xfId="38" applyNumberFormat="1" applyFont="1" applyBorder="1" applyAlignment="1">
      <alignment horizontal="center" vertical="center"/>
    </xf>
    <xf numFmtId="0" fontId="67" fillId="0" borderId="11" xfId="38" applyFont="1" applyBorder="1" applyAlignment="1">
      <alignment horizontal="center" vertical="center"/>
    </xf>
    <xf numFmtId="3" fontId="65" fillId="0" borderId="6" xfId="1" applyNumberFormat="1" applyFont="1" applyFill="1" applyBorder="1" applyAlignment="1">
      <alignment horizontal="right" vertical="center"/>
    </xf>
    <xf numFmtId="0" fontId="67" fillId="0" borderId="0" xfId="0" applyFont="1" applyAlignment="1">
      <alignment vertical="center"/>
    </xf>
    <xf numFmtId="38" fontId="68" fillId="0" borderId="3" xfId="2" applyFont="1" applyFill="1" applyBorder="1" applyAlignment="1">
      <alignment vertical="center"/>
    </xf>
    <xf numFmtId="38" fontId="68" fillId="0" borderId="54" xfId="2" applyFont="1" applyFill="1" applyBorder="1" applyAlignment="1">
      <alignment vertical="center"/>
    </xf>
    <xf numFmtId="38" fontId="68" fillId="0" borderId="55" xfId="2" applyFont="1" applyFill="1" applyBorder="1" applyAlignment="1">
      <alignment vertical="center"/>
    </xf>
    <xf numFmtId="38" fontId="68" fillId="0" borderId="9" xfId="2" applyFont="1" applyFill="1" applyBorder="1" applyAlignment="1">
      <alignment vertical="center"/>
    </xf>
    <xf numFmtId="167" fontId="67" fillId="0" borderId="13" xfId="16" quotePrefix="1" applyNumberFormat="1" applyFont="1" applyBorder="1" applyAlignment="1">
      <alignment horizontal="center" vertical="center"/>
    </xf>
    <xf numFmtId="167" fontId="66" fillId="5" borderId="21" xfId="16" applyFont="1" applyFill="1" applyBorder="1" applyAlignment="1">
      <alignment horizontal="left" vertical="center"/>
    </xf>
    <xf numFmtId="0" fontId="65" fillId="0" borderId="5" xfId="0" applyFont="1" applyBorder="1" applyAlignment="1">
      <alignment horizontal="left" vertical="center"/>
    </xf>
    <xf numFmtId="0" fontId="65" fillId="0" borderId="5" xfId="0" applyFont="1" applyBorder="1" applyAlignment="1">
      <alignment horizontal="center" vertical="center"/>
    </xf>
    <xf numFmtId="0" fontId="65" fillId="0" borderId="5" xfId="0" applyFont="1" applyBorder="1" applyAlignment="1">
      <alignment vertical="center"/>
    </xf>
    <xf numFmtId="3" fontId="67" fillId="5" borderId="3" xfId="38" quotePrefix="1" applyNumberFormat="1" applyFont="1" applyFill="1" applyBorder="1" applyAlignment="1">
      <alignment horizontal="right" vertical="center"/>
    </xf>
    <xf numFmtId="3" fontId="67" fillId="2" borderId="3" xfId="1" applyNumberFormat="1" applyFont="1" applyFill="1" applyBorder="1" applyAlignment="1">
      <alignment horizontal="right" vertical="center"/>
    </xf>
    <xf numFmtId="0" fontId="66" fillId="2" borderId="5" xfId="0" applyFont="1" applyFill="1" applyBorder="1" applyAlignment="1">
      <alignment horizontal="right" vertical="center"/>
    </xf>
    <xf numFmtId="0" fontId="66" fillId="2" borderId="42" xfId="0" applyFont="1" applyFill="1" applyBorder="1" applyAlignment="1">
      <alignment horizontal="right" vertical="center"/>
    </xf>
    <xf numFmtId="0" fontId="65" fillId="0" borderId="0" xfId="0" applyFont="1" applyAlignment="1">
      <alignment vertical="center"/>
    </xf>
    <xf numFmtId="167" fontId="67" fillId="0" borderId="7" xfId="21" applyFont="1" applyBorder="1" applyAlignment="1">
      <alignment horizontal="center" vertical="center"/>
    </xf>
    <xf numFmtId="3" fontId="62" fillId="5" borderId="38" xfId="38" applyNumberFormat="1" applyFont="1" applyFill="1" applyBorder="1" applyAlignment="1">
      <alignment horizontal="center" vertical="center"/>
    </xf>
    <xf numFmtId="3" fontId="62" fillId="5" borderId="4" xfId="38" applyNumberFormat="1" applyFont="1" applyFill="1" applyBorder="1" applyAlignment="1">
      <alignment horizontal="center" vertical="center"/>
    </xf>
    <xf numFmtId="0" fontId="67" fillId="0" borderId="6" xfId="38" applyFont="1" applyBorder="1" applyAlignment="1">
      <alignment horizontal="center" vertical="center"/>
    </xf>
    <xf numFmtId="38" fontId="65" fillId="0" borderId="6" xfId="1" applyNumberFormat="1" applyFont="1" applyFill="1" applyBorder="1" applyAlignment="1">
      <alignment horizontal="right" vertical="center"/>
    </xf>
    <xf numFmtId="0" fontId="67" fillId="3" borderId="0" xfId="0" applyFont="1" applyFill="1" applyAlignment="1">
      <alignment vertical="center"/>
    </xf>
    <xf numFmtId="0" fontId="65" fillId="2" borderId="4" xfId="12" applyFont="1" applyFill="1" applyBorder="1" applyAlignment="1">
      <alignment horizontal="left" vertical="center"/>
    </xf>
    <xf numFmtId="0" fontId="65" fillId="5" borderId="3" xfId="12" applyFont="1" applyFill="1" applyBorder="1" applyAlignment="1">
      <alignment horizontal="left" vertical="center"/>
    </xf>
    <xf numFmtId="166" fontId="67" fillId="2" borderId="13" xfId="16" quotePrefix="1" applyNumberFormat="1" applyFont="1" applyFill="1" applyBorder="1" applyAlignment="1">
      <alignment horizontal="center" vertical="center"/>
    </xf>
    <xf numFmtId="167" fontId="66" fillId="0" borderId="4" xfId="16" quotePrefix="1" applyNumberFormat="1" applyFont="1" applyBorder="1" applyAlignment="1">
      <alignment horizontal="left" vertical="center"/>
    </xf>
    <xf numFmtId="0" fontId="67" fillId="0" borderId="3" xfId="0" applyFont="1" applyBorder="1" applyAlignment="1">
      <alignment horizontal="left" vertical="center"/>
    </xf>
    <xf numFmtId="0" fontId="67" fillId="0" borderId="3" xfId="12" applyFont="1" applyBorder="1" applyAlignment="1">
      <alignment horizontal="left" vertical="center"/>
    </xf>
    <xf numFmtId="0" fontId="67" fillId="0" borderId="3" xfId="38" applyFont="1" applyBorder="1" applyAlignment="1">
      <alignment horizontal="center" vertical="center"/>
    </xf>
    <xf numFmtId="0" fontId="67" fillId="0" borderId="3" xfId="38" applyFont="1" applyBorder="1" applyAlignment="1">
      <alignment horizontal="right" vertical="center"/>
    </xf>
    <xf numFmtId="0" fontId="67" fillId="0" borderId="11" xfId="38" applyFont="1" applyBorder="1" applyAlignment="1">
      <alignment horizontal="right" vertical="center"/>
    </xf>
    <xf numFmtId="3" fontId="62" fillId="0" borderId="38" xfId="38" applyNumberFormat="1" applyFont="1" applyBorder="1" applyAlignment="1">
      <alignment horizontal="center" vertical="center"/>
    </xf>
    <xf numFmtId="3" fontId="62" fillId="0" borderId="4" xfId="38" applyNumberFormat="1" applyFont="1" applyBorder="1" applyAlignment="1">
      <alignment horizontal="center" vertical="center"/>
    </xf>
    <xf numFmtId="3" fontId="65" fillId="0" borderId="4" xfId="38" applyNumberFormat="1" applyFont="1" applyBorder="1" applyAlignment="1">
      <alignment horizontal="center" vertical="center"/>
    </xf>
    <xf numFmtId="38" fontId="65" fillId="0" borderId="11" xfId="1" applyNumberFormat="1" applyFont="1" applyFill="1" applyBorder="1" applyAlignment="1">
      <alignment horizontal="right" vertical="center"/>
    </xf>
    <xf numFmtId="167" fontId="68" fillId="0" borderId="8" xfId="21" applyFont="1" applyBorder="1" applyAlignment="1">
      <alignment horizontal="center" vertical="center"/>
    </xf>
    <xf numFmtId="0" fontId="68" fillId="5" borderId="4" xfId="12" applyFont="1" applyFill="1" applyBorder="1" applyAlignment="1">
      <alignment vertical="center"/>
    </xf>
    <xf numFmtId="0" fontId="67" fillId="5" borderId="3" xfId="12" applyFont="1" applyFill="1" applyBorder="1" applyAlignment="1">
      <alignment vertical="center"/>
    </xf>
    <xf numFmtId="38" fontId="65" fillId="0" borderId="3" xfId="1" applyNumberFormat="1" applyFont="1" applyFill="1" applyBorder="1" applyAlignment="1">
      <alignment horizontal="right" vertical="center"/>
    </xf>
    <xf numFmtId="0" fontId="65" fillId="0" borderId="3" xfId="38" applyFont="1" applyBorder="1" applyAlignment="1">
      <alignment horizontal="right" vertical="center"/>
    </xf>
    <xf numFmtId="167" fontId="67" fillId="0" borderId="8" xfId="21" applyFont="1" applyBorder="1" applyAlignment="1">
      <alignment horizontal="center" vertical="center"/>
    </xf>
    <xf numFmtId="0" fontId="67" fillId="2" borderId="4" xfId="12" applyFont="1" applyFill="1" applyBorder="1" applyAlignment="1">
      <alignment horizontal="left" vertical="center"/>
    </xf>
    <xf numFmtId="0" fontId="67" fillId="2" borderId="3" xfId="12" applyFont="1" applyFill="1" applyBorder="1" applyAlignment="1">
      <alignment horizontal="left" vertical="center"/>
    </xf>
    <xf numFmtId="0" fontId="65" fillId="0" borderId="6" xfId="38" applyFont="1" applyBorder="1" applyAlignment="1">
      <alignment horizontal="center" vertical="center"/>
    </xf>
    <xf numFmtId="3" fontId="67" fillId="0" borderId="6" xfId="38" quotePrefix="1" applyNumberFormat="1" applyFont="1" applyBorder="1" applyAlignment="1">
      <alignment horizontal="right" vertical="center"/>
    </xf>
    <xf numFmtId="3" fontId="65" fillId="0" borderId="8" xfId="1" applyNumberFormat="1" applyFont="1" applyFill="1" applyBorder="1" applyAlignment="1">
      <alignment horizontal="right" vertical="center"/>
    </xf>
    <xf numFmtId="0" fontId="67" fillId="2" borderId="3" xfId="12" applyFont="1" applyFill="1" applyBorder="1" applyAlignment="1">
      <alignment horizontal="right" vertical="center"/>
    </xf>
    <xf numFmtId="3" fontId="65" fillId="5" borderId="38" xfId="38" applyNumberFormat="1" applyFont="1" applyFill="1" applyBorder="1" applyAlignment="1">
      <alignment horizontal="center" vertical="center"/>
    </xf>
    <xf numFmtId="3" fontId="65" fillId="5" borderId="4" xfId="38" applyNumberFormat="1" applyFont="1" applyFill="1" applyBorder="1" applyAlignment="1">
      <alignment horizontal="center" vertical="center"/>
    </xf>
    <xf numFmtId="167" fontId="68" fillId="5" borderId="8" xfId="21" applyFont="1" applyFill="1" applyBorder="1" applyAlignment="1">
      <alignment horizontal="center" vertical="center"/>
    </xf>
    <xf numFmtId="0" fontId="67" fillId="0" borderId="4" xfId="12" applyFont="1" applyBorder="1" applyAlignment="1">
      <alignment horizontal="left" vertical="center"/>
    </xf>
    <xf numFmtId="0" fontId="67" fillId="5" borderId="4" xfId="12" applyFont="1" applyFill="1" applyBorder="1" applyAlignment="1">
      <alignment horizontal="left" vertical="center"/>
    </xf>
    <xf numFmtId="0" fontId="67" fillId="5" borderId="3" xfId="12" applyFont="1" applyFill="1" applyBorder="1" applyAlignment="1">
      <alignment horizontal="left" vertical="center"/>
    </xf>
    <xf numFmtId="0" fontId="66" fillId="0" borderId="4" xfId="12" applyFont="1" applyBorder="1" applyAlignment="1">
      <alignment vertical="center"/>
    </xf>
    <xf numFmtId="0" fontId="67" fillId="0" borderId="3" xfId="12" applyFont="1" applyBorder="1" applyAlignment="1">
      <alignment vertical="center"/>
    </xf>
    <xf numFmtId="3" fontId="67" fillId="0" borderId="3" xfId="38" quotePrefix="1" applyNumberFormat="1" applyFont="1" applyBorder="1" applyAlignment="1">
      <alignment horizontal="right" vertical="center"/>
    </xf>
    <xf numFmtId="3" fontId="67" fillId="0" borderId="3" xfId="1" applyNumberFormat="1" applyFont="1" applyFill="1" applyBorder="1" applyAlignment="1">
      <alignment horizontal="right" vertical="center"/>
    </xf>
    <xf numFmtId="0" fontId="65" fillId="0" borderId="4" xfId="12" applyFont="1" applyBorder="1" applyAlignment="1">
      <alignment horizontal="left" vertical="center"/>
    </xf>
    <xf numFmtId="0" fontId="62" fillId="0" borderId="4" xfId="12" applyFont="1" applyBorder="1" applyAlignment="1">
      <alignment horizontal="left" vertical="center"/>
    </xf>
    <xf numFmtId="0" fontId="62" fillId="0" borderId="3" xfId="12" applyFont="1" applyBorder="1" applyAlignment="1">
      <alignment horizontal="left" vertical="center"/>
    </xf>
    <xf numFmtId="167" fontId="67" fillId="5" borderId="8" xfId="21" applyFont="1" applyFill="1" applyBorder="1" applyAlignment="1">
      <alignment horizontal="center" vertical="center"/>
    </xf>
    <xf numFmtId="0" fontId="65" fillId="5" borderId="4" xfId="12" applyFont="1" applyFill="1" applyBorder="1" applyAlignment="1">
      <alignment horizontal="left" vertical="center"/>
    </xf>
    <xf numFmtId="0" fontId="67" fillId="5" borderId="3" xfId="12" applyFont="1" applyFill="1" applyBorder="1" applyAlignment="1">
      <alignment horizontal="right" vertical="center"/>
    </xf>
    <xf numFmtId="40" fontId="67" fillId="5" borderId="8" xfId="21" applyNumberFormat="1" applyFont="1" applyFill="1" applyBorder="1" applyAlignment="1">
      <alignment horizontal="center" vertical="center"/>
    </xf>
    <xf numFmtId="38" fontId="65" fillId="0" borderId="14" xfId="1" applyNumberFormat="1" applyFont="1" applyFill="1" applyBorder="1" applyAlignment="1">
      <alignment horizontal="right" vertical="center"/>
    </xf>
    <xf numFmtId="0" fontId="67" fillId="0" borderId="4" xfId="38" applyFont="1" applyBorder="1" applyAlignment="1">
      <alignment horizontal="center" vertical="center"/>
    </xf>
    <xf numFmtId="38" fontId="68" fillId="0" borderId="48" xfId="2" applyFont="1" applyFill="1" applyBorder="1" applyAlignment="1">
      <alignment vertical="center"/>
    </xf>
    <xf numFmtId="0" fontId="65" fillId="0" borderId="4" xfId="16" applyNumberFormat="1" applyFont="1" applyBorder="1" applyAlignment="1">
      <alignment horizontal="left" vertical="center"/>
    </xf>
    <xf numFmtId="0" fontId="67" fillId="5" borderId="3" xfId="12" applyFont="1" applyFill="1" applyBorder="1" applyAlignment="1">
      <alignment horizontal="left" vertical="center" wrapText="1"/>
    </xf>
    <xf numFmtId="0" fontId="67" fillId="0" borderId="3" xfId="0" applyFont="1" applyBorder="1" applyAlignment="1">
      <alignment vertical="center"/>
    </xf>
    <xf numFmtId="38" fontId="67" fillId="0" borderId="3" xfId="1" applyNumberFormat="1" applyFont="1" applyFill="1" applyBorder="1" applyAlignment="1">
      <alignment horizontal="right" vertical="center"/>
    </xf>
    <xf numFmtId="38" fontId="67" fillId="0" borderId="11" xfId="1" applyNumberFormat="1" applyFont="1" applyFill="1" applyBorder="1" applyAlignment="1">
      <alignment horizontal="right" vertical="center"/>
    </xf>
    <xf numFmtId="0" fontId="68" fillId="0" borderId="4" xfId="12" applyFont="1" applyBorder="1" applyAlignment="1">
      <alignment horizontal="left" vertical="center"/>
    </xf>
    <xf numFmtId="0" fontId="67" fillId="0" borderId="3" xfId="12" applyFont="1" applyBorder="1" applyAlignment="1">
      <alignment horizontal="right" vertical="center"/>
    </xf>
    <xf numFmtId="3" fontId="67" fillId="0" borderId="3" xfId="38" applyNumberFormat="1" applyFont="1" applyBorder="1" applyAlignment="1">
      <alignment horizontal="center" vertical="center"/>
    </xf>
    <xf numFmtId="0" fontId="67" fillId="0" borderId="0" xfId="16" applyNumberFormat="1" applyFont="1" applyAlignment="1">
      <alignment vertical="center"/>
    </xf>
    <xf numFmtId="0" fontId="67" fillId="5" borderId="4" xfId="12" applyFont="1" applyFill="1" applyBorder="1" applyAlignment="1">
      <alignment vertical="center"/>
    </xf>
    <xf numFmtId="3" fontId="67" fillId="0" borderId="6" xfId="38" applyNumberFormat="1" applyFont="1" applyBorder="1" applyAlignment="1">
      <alignment horizontal="center" vertical="center"/>
    </xf>
    <xf numFmtId="3" fontId="65" fillId="0" borderId="6" xfId="1" applyNumberFormat="1" applyFont="1" applyFill="1" applyBorder="1" applyAlignment="1">
      <alignment vertical="center"/>
    </xf>
    <xf numFmtId="167" fontId="67" fillId="0" borderId="7" xfId="16" quotePrefix="1" applyNumberFormat="1" applyFont="1" applyBorder="1" applyAlignment="1">
      <alignment horizontal="center" vertical="center"/>
    </xf>
    <xf numFmtId="0" fontId="67" fillId="0" borderId="5" xfId="16" applyNumberFormat="1" applyFont="1" applyBorder="1" applyAlignment="1">
      <alignment horizontal="left" vertical="center"/>
    </xf>
    <xf numFmtId="0" fontId="67" fillId="0" borderId="5" xfId="16" applyNumberFormat="1" applyFont="1" applyBorder="1" applyAlignment="1">
      <alignment vertical="center"/>
    </xf>
    <xf numFmtId="38" fontId="67" fillId="0" borderId="5" xfId="1" applyNumberFormat="1" applyFont="1" applyFill="1" applyBorder="1" applyAlignment="1">
      <alignment horizontal="right" vertical="center"/>
    </xf>
    <xf numFmtId="38" fontId="67" fillId="0" borderId="10" xfId="1" applyNumberFormat="1" applyFont="1" applyFill="1" applyBorder="1" applyAlignment="1">
      <alignment horizontal="right" vertical="center"/>
    </xf>
    <xf numFmtId="0" fontId="63" fillId="0" borderId="4" xfId="12" applyFont="1" applyBorder="1" applyAlignment="1">
      <alignment horizontal="left" vertical="center"/>
    </xf>
    <xf numFmtId="0" fontId="66" fillId="0" borderId="4" xfId="12" applyFont="1" applyBorder="1" applyAlignment="1">
      <alignment horizontal="left" vertical="center"/>
    </xf>
    <xf numFmtId="3" fontId="67" fillId="0" borderId="11" xfId="38" applyNumberFormat="1" applyFont="1" applyBorder="1" applyAlignment="1">
      <alignment horizontal="center" vertical="center"/>
    </xf>
    <xf numFmtId="0" fontId="65" fillId="0" borderId="3" xfId="38" applyFont="1" applyBorder="1" applyAlignment="1">
      <alignment horizontal="center" vertical="center"/>
    </xf>
    <xf numFmtId="0" fontId="65" fillId="2" borderId="4" xfId="16" applyNumberFormat="1" applyFont="1" applyFill="1" applyBorder="1" applyAlignment="1">
      <alignment horizontal="left" vertical="center"/>
    </xf>
    <xf numFmtId="0" fontId="67" fillId="2" borderId="3" xfId="16" applyNumberFormat="1" applyFont="1" applyFill="1" applyBorder="1" applyAlignment="1">
      <alignment horizontal="left" vertical="center"/>
    </xf>
    <xf numFmtId="0" fontId="67" fillId="2" borderId="5" xfId="38" applyFont="1" applyFill="1" applyBorder="1" applyAlignment="1">
      <alignment horizontal="center" vertical="center"/>
    </xf>
    <xf numFmtId="0" fontId="67" fillId="2" borderId="5" xfId="38" applyFont="1" applyFill="1" applyBorder="1" applyAlignment="1">
      <alignment horizontal="right" vertical="center"/>
    </xf>
    <xf numFmtId="0" fontId="67" fillId="2" borderId="11" xfId="38" applyFont="1" applyFill="1" applyBorder="1" applyAlignment="1">
      <alignment horizontal="right" vertical="center"/>
    </xf>
    <xf numFmtId="0" fontId="65" fillId="4" borderId="38" xfId="12" applyFont="1" applyFill="1" applyBorder="1" applyAlignment="1">
      <alignment vertical="center"/>
    </xf>
    <xf numFmtId="0" fontId="65" fillId="4" borderId="3" xfId="12" applyFont="1" applyFill="1" applyBorder="1" applyAlignment="1">
      <alignment vertical="center"/>
    </xf>
    <xf numFmtId="4" fontId="65" fillId="0" borderId="38" xfId="38" applyNumberFormat="1" applyFont="1" applyBorder="1" applyAlignment="1">
      <alignment horizontal="center" vertical="center"/>
    </xf>
    <xf numFmtId="4" fontId="65" fillId="0" borderId="4" xfId="38" applyNumberFormat="1" applyFont="1" applyBorder="1" applyAlignment="1">
      <alignment horizontal="center" vertical="center"/>
    </xf>
    <xf numFmtId="167" fontId="66" fillId="0" borderId="8" xfId="21" applyFont="1" applyBorder="1" applyAlignment="1">
      <alignment horizontal="center" vertical="center"/>
    </xf>
    <xf numFmtId="3" fontId="67" fillId="0" borderId="3" xfId="38" quotePrefix="1" applyNumberFormat="1" applyFont="1" applyBorder="1" applyAlignment="1">
      <alignment horizontal="center" vertical="center"/>
    </xf>
    <xf numFmtId="3" fontId="65" fillId="0" borderId="3" xfId="2" applyNumberFormat="1" applyFont="1" applyFill="1" applyBorder="1" applyAlignment="1">
      <alignment horizontal="right" vertical="center"/>
    </xf>
    <xf numFmtId="0" fontId="65" fillId="0" borderId="3" xfId="0" applyFont="1" applyBorder="1" applyAlignment="1">
      <alignment vertical="center"/>
    </xf>
    <xf numFmtId="0" fontId="65" fillId="0" borderId="11" xfId="0" applyFont="1" applyBorder="1" applyAlignment="1">
      <alignment vertical="center"/>
    </xf>
    <xf numFmtId="0" fontId="68" fillId="0" borderId="4" xfId="16" applyNumberFormat="1" applyFont="1" applyBorder="1" applyAlignment="1">
      <alignment horizontal="left" vertical="center"/>
    </xf>
    <xf numFmtId="0" fontId="67" fillId="2" borderId="5" xfId="16" applyNumberFormat="1" applyFont="1" applyFill="1" applyBorder="1" applyAlignment="1">
      <alignment horizontal="left" vertical="center"/>
    </xf>
    <xf numFmtId="0" fontId="67" fillId="0" borderId="5" xfId="38" applyFont="1" applyBorder="1" applyAlignment="1">
      <alignment horizontal="center" vertical="center"/>
    </xf>
    <xf numFmtId="0" fontId="67" fillId="0" borderId="5" xfId="38" applyFont="1" applyBorder="1" applyAlignment="1">
      <alignment horizontal="right" vertical="center"/>
    </xf>
    <xf numFmtId="0" fontId="65" fillId="0" borderId="3" xfId="12" applyFont="1" applyBorder="1" applyAlignment="1">
      <alignment horizontal="left" vertical="center"/>
    </xf>
    <xf numFmtId="0" fontId="65" fillId="0" borderId="3" xfId="12" applyFont="1" applyBorder="1" applyAlignment="1">
      <alignment horizontal="right" vertical="center"/>
    </xf>
    <xf numFmtId="0" fontId="65" fillId="2" borderId="3" xfId="12" applyFont="1" applyFill="1" applyBorder="1" applyAlignment="1">
      <alignment horizontal="right" vertical="center"/>
    </xf>
    <xf numFmtId="40" fontId="67" fillId="0" borderId="7" xfId="21" applyNumberFormat="1" applyFont="1" applyBorder="1" applyAlignment="1">
      <alignment horizontal="center" vertical="center"/>
    </xf>
    <xf numFmtId="0" fontId="66" fillId="0" borderId="4" xfId="16" applyNumberFormat="1" applyFont="1" applyBorder="1" applyAlignment="1">
      <alignment horizontal="left" vertical="center"/>
    </xf>
    <xf numFmtId="0" fontId="67" fillId="0" borderId="3" xfId="16" applyNumberFormat="1" applyFont="1" applyBorder="1" applyAlignment="1">
      <alignment horizontal="left" vertical="center"/>
    </xf>
    <xf numFmtId="167" fontId="65" fillId="0" borderId="8" xfId="21" applyFont="1" applyBorder="1" applyAlignment="1">
      <alignment horizontal="center" vertical="center"/>
    </xf>
    <xf numFmtId="0" fontId="69" fillId="0" borderId="3" xfId="12" applyFont="1" applyBorder="1" applyAlignment="1">
      <alignment horizontal="left" vertical="center"/>
    </xf>
    <xf numFmtId="38" fontId="67" fillId="0" borderId="3" xfId="2" applyFont="1" applyFill="1" applyBorder="1" applyAlignment="1">
      <alignment horizontal="right" vertical="center"/>
    </xf>
    <xf numFmtId="3" fontId="65" fillId="0" borderId="6" xfId="38" applyNumberFormat="1" applyFont="1" applyBorder="1" applyAlignment="1">
      <alignment horizontal="center" vertical="center"/>
    </xf>
    <xf numFmtId="0" fontId="66" fillId="0" borderId="21" xfId="16" applyNumberFormat="1" applyFont="1" applyBorder="1" applyAlignment="1">
      <alignment horizontal="left" vertical="center"/>
    </xf>
    <xf numFmtId="0" fontId="67" fillId="0" borderId="5" xfId="12" applyFont="1" applyBorder="1" applyAlignment="1">
      <alignment horizontal="left" vertical="center"/>
    </xf>
    <xf numFmtId="167" fontId="67" fillId="5" borderId="7" xfId="16" quotePrefix="1" applyNumberFormat="1" applyFont="1" applyFill="1" applyBorder="1" applyAlignment="1">
      <alignment horizontal="center" vertical="center"/>
    </xf>
    <xf numFmtId="167" fontId="66" fillId="5" borderId="4" xfId="16" applyNumberFormat="1" applyFont="1" applyFill="1" applyBorder="1" applyAlignment="1">
      <alignment horizontal="left" vertical="center"/>
    </xf>
    <xf numFmtId="167" fontId="67" fillId="5" borderId="3" xfId="16" quotePrefix="1" applyNumberFormat="1" applyFont="1" applyFill="1" applyBorder="1" applyAlignment="1">
      <alignment horizontal="left" vertical="center"/>
    </xf>
    <xf numFmtId="0" fontId="67" fillId="5" borderId="3" xfId="38" applyFont="1" applyFill="1" applyBorder="1" applyAlignment="1">
      <alignment horizontal="center" vertical="center"/>
    </xf>
    <xf numFmtId="0" fontId="67" fillId="5" borderId="5" xfId="38" applyFont="1" applyFill="1" applyBorder="1" applyAlignment="1">
      <alignment horizontal="right" vertical="center"/>
    </xf>
    <xf numFmtId="3" fontId="67" fillId="5" borderId="3" xfId="1" applyNumberFormat="1" applyFont="1" applyFill="1" applyBorder="1" applyAlignment="1">
      <alignment horizontal="right" vertical="center"/>
    </xf>
    <xf numFmtId="0" fontId="67" fillId="5" borderId="3" xfId="38" applyFont="1" applyFill="1" applyBorder="1" applyAlignment="1">
      <alignment horizontal="right" vertical="center"/>
    </xf>
    <xf numFmtId="38" fontId="67" fillId="5" borderId="3" xfId="2" applyFont="1" applyFill="1" applyBorder="1" applyAlignment="1">
      <alignment horizontal="right" vertical="center"/>
    </xf>
    <xf numFmtId="0" fontId="67" fillId="5" borderId="42" xfId="0" applyFont="1" applyFill="1" applyBorder="1" applyAlignment="1">
      <alignment vertical="center"/>
    </xf>
    <xf numFmtId="0" fontId="67" fillId="6" borderId="0" xfId="0" applyFont="1" applyFill="1" applyAlignment="1">
      <alignment vertical="center"/>
    </xf>
    <xf numFmtId="167" fontId="67" fillId="5" borderId="7" xfId="21" applyFont="1" applyFill="1" applyBorder="1" applyAlignment="1">
      <alignment horizontal="center" vertical="center"/>
    </xf>
    <xf numFmtId="0" fontId="65" fillId="0" borderId="47" xfId="14" applyFont="1" applyBorder="1" applyAlignment="1">
      <alignment vertical="center"/>
    </xf>
    <xf numFmtId="0" fontId="67" fillId="5" borderId="25" xfId="12" applyFont="1" applyFill="1" applyBorder="1" applyAlignment="1">
      <alignment vertical="center"/>
    </xf>
    <xf numFmtId="1" fontId="65" fillId="5" borderId="38" xfId="38" quotePrefix="1" applyNumberFormat="1" applyFont="1" applyFill="1" applyBorder="1" applyAlignment="1">
      <alignment horizontal="center" vertical="center"/>
    </xf>
    <xf numFmtId="0" fontId="65" fillId="5" borderId="6" xfId="38" applyFont="1" applyFill="1" applyBorder="1" applyAlignment="1">
      <alignment horizontal="center" vertical="center"/>
    </xf>
    <xf numFmtId="3" fontId="65" fillId="5" borderId="8" xfId="1" applyNumberFormat="1" applyFont="1" applyFill="1" applyBorder="1" applyAlignment="1">
      <alignment horizontal="right" vertical="center"/>
    </xf>
    <xf numFmtId="164" fontId="67" fillId="0" borderId="38" xfId="38" quotePrefix="1" applyNumberFormat="1" applyFont="1" applyBorder="1" applyAlignment="1">
      <alignment horizontal="right" vertical="center"/>
    </xf>
    <xf numFmtId="166" fontId="65" fillId="0" borderId="97" xfId="35" applyNumberFormat="1" applyFont="1" applyBorder="1" applyAlignment="1">
      <alignment horizontal="center" vertical="center" wrapText="1"/>
    </xf>
    <xf numFmtId="0" fontId="65" fillId="0" borderId="98" xfId="35" quotePrefix="1" applyFont="1" applyBorder="1" applyAlignment="1">
      <alignment vertical="center"/>
    </xf>
    <xf numFmtId="0" fontId="65" fillId="0" borderId="99" xfId="0" applyFont="1" applyBorder="1" applyAlignment="1">
      <alignment vertical="center"/>
    </xf>
    <xf numFmtId="0" fontId="65" fillId="0" borderId="99" xfId="0" applyFont="1" applyBorder="1" applyAlignment="1">
      <alignment horizontal="center" vertical="center"/>
    </xf>
    <xf numFmtId="0" fontId="65" fillId="0" borderId="99" xfId="0" applyFont="1" applyBorder="1" applyAlignment="1">
      <alignment horizontal="right" vertical="center"/>
    </xf>
    <xf numFmtId="3" fontId="65" fillId="0" borderId="99" xfId="0" applyNumberFormat="1" applyFont="1" applyBorder="1" applyAlignment="1">
      <alignment horizontal="right" vertical="center"/>
    </xf>
    <xf numFmtId="0" fontId="66" fillId="0" borderId="5" xfId="65" applyFont="1" applyBorder="1" applyAlignment="1">
      <alignment vertical="center"/>
    </xf>
    <xf numFmtId="0" fontId="66" fillId="0" borderId="42" xfId="65" applyFont="1" applyBorder="1" applyAlignment="1">
      <alignment vertical="center"/>
    </xf>
    <xf numFmtId="0" fontId="66" fillId="0" borderId="0" xfId="65" applyFont="1" applyAlignment="1">
      <alignment vertical="center"/>
    </xf>
    <xf numFmtId="167" fontId="66" fillId="0" borderId="7" xfId="16" applyFont="1" applyBorder="1" applyAlignment="1">
      <alignment horizontal="center" vertical="center"/>
    </xf>
    <xf numFmtId="167" fontId="66" fillId="0" borderId="4" xfId="16" applyFont="1" applyBorder="1" applyAlignment="1">
      <alignment horizontal="left" vertical="center"/>
    </xf>
    <xf numFmtId="0" fontId="65" fillId="0" borderId="3" xfId="0" applyFont="1" applyBorder="1" applyAlignment="1">
      <alignment horizontal="left" vertical="center"/>
    </xf>
    <xf numFmtId="3" fontId="67" fillId="2" borderId="3" xfId="38" applyNumberFormat="1" applyFont="1" applyFill="1" applyBorder="1" applyAlignment="1">
      <alignment horizontal="right" vertical="center"/>
    </xf>
    <xf numFmtId="166" fontId="66" fillId="0" borderId="100" xfId="18" applyFont="1" applyBorder="1" applyAlignment="1">
      <alignment horizontal="center" vertical="center"/>
    </xf>
    <xf numFmtId="0" fontId="66" fillId="0" borderId="101" xfId="13" applyFont="1" applyBorder="1" applyAlignment="1">
      <alignment vertical="center"/>
    </xf>
    <xf numFmtId="0" fontId="66" fillId="0" borderId="3" xfId="13" applyFont="1" applyBorder="1" applyAlignment="1">
      <alignment vertical="center"/>
    </xf>
    <xf numFmtId="0" fontId="66" fillId="0" borderId="11" xfId="13" applyFont="1" applyBorder="1" applyAlignment="1">
      <alignment vertical="center"/>
    </xf>
    <xf numFmtId="164" fontId="67" fillId="5" borderId="38" xfId="38" quotePrefix="1" applyNumberFormat="1" applyFont="1" applyFill="1" applyBorder="1" applyAlignment="1">
      <alignment horizontal="right" vertical="center"/>
    </xf>
    <xf numFmtId="164" fontId="67" fillId="5" borderId="6" xfId="38" quotePrefix="1" applyNumberFormat="1" applyFont="1" applyFill="1" applyBorder="1" applyAlignment="1">
      <alignment horizontal="right" vertical="center"/>
    </xf>
    <xf numFmtId="167" fontId="68" fillId="0" borderId="7" xfId="21" applyFont="1" applyBorder="1" applyAlignment="1">
      <alignment horizontal="center" vertical="center"/>
    </xf>
    <xf numFmtId="0" fontId="66" fillId="0" borderId="101" xfId="13" applyFont="1" applyBorder="1" applyAlignment="1">
      <alignment horizontal="left" vertical="center"/>
    </xf>
    <xf numFmtId="0" fontId="66" fillId="0" borderId="3" xfId="13" applyFont="1" applyBorder="1" applyAlignment="1">
      <alignment horizontal="left" vertical="center"/>
    </xf>
    <xf numFmtId="0" fontId="65" fillId="0" borderId="3" xfId="0" applyFont="1" applyBorder="1" applyAlignment="1">
      <alignment horizontal="center" vertical="center"/>
    </xf>
    <xf numFmtId="3" fontId="65" fillId="0" borderId="3" xfId="0" applyNumberFormat="1" applyFont="1" applyBorder="1" applyAlignment="1">
      <alignment horizontal="right" vertical="center"/>
    </xf>
    <xf numFmtId="3" fontId="65" fillId="0" borderId="3" xfId="11" applyNumberFormat="1" applyFont="1" applyFill="1" applyBorder="1" applyAlignment="1">
      <alignment horizontal="right" vertical="center"/>
    </xf>
    <xf numFmtId="3" fontId="65" fillId="0" borderId="11" xfId="0" applyNumberFormat="1" applyFont="1" applyBorder="1" applyAlignment="1">
      <alignment horizontal="right" vertical="center"/>
    </xf>
    <xf numFmtId="166" fontId="66" fillId="0" borderId="43" xfId="39" applyNumberFormat="1" applyFont="1" applyBorder="1">
      <alignment horizontal="center" vertical="center" wrapText="1"/>
    </xf>
    <xf numFmtId="38" fontId="68" fillId="0" borderId="31" xfId="2" applyFont="1" applyFill="1" applyBorder="1" applyAlignment="1">
      <alignment vertical="center"/>
    </xf>
    <xf numFmtId="38" fontId="68" fillId="0" borderId="45" xfId="2" applyFont="1" applyFill="1" applyBorder="1" applyAlignment="1">
      <alignment vertical="center"/>
    </xf>
    <xf numFmtId="38" fontId="68" fillId="0" borderId="46" xfId="2" applyFont="1" applyFill="1" applyBorder="1" applyAlignment="1">
      <alignment vertical="center"/>
    </xf>
    <xf numFmtId="38" fontId="68" fillId="0" borderId="11" xfId="2" applyFont="1" applyFill="1" applyBorder="1" applyAlignment="1">
      <alignment vertical="center"/>
    </xf>
    <xf numFmtId="167" fontId="65" fillId="0" borderId="39" xfId="16" applyFont="1" applyBorder="1" applyAlignment="1">
      <alignment horizontal="center" vertical="center"/>
    </xf>
    <xf numFmtId="167" fontId="66" fillId="0" borderId="40" xfId="16" applyFont="1" applyBorder="1" applyAlignment="1">
      <alignment horizontal="left" vertical="center"/>
    </xf>
    <xf numFmtId="0" fontId="66" fillId="0" borderId="41" xfId="0" applyFont="1" applyBorder="1" applyAlignment="1">
      <alignment horizontal="left" vertical="center"/>
    </xf>
    <xf numFmtId="38" fontId="65" fillId="0" borderId="5" xfId="1" applyNumberFormat="1" applyFont="1" applyFill="1" applyBorder="1" applyAlignment="1">
      <alignment horizontal="right" vertical="center"/>
    </xf>
    <xf numFmtId="38" fontId="65" fillId="0" borderId="42" xfId="1" applyNumberFormat="1" applyFont="1" applyFill="1" applyBorder="1" applyAlignment="1">
      <alignment horizontal="right" vertical="center"/>
    </xf>
    <xf numFmtId="167" fontId="66" fillId="0" borderId="43" xfId="16" applyFont="1" applyBorder="1" applyAlignment="1">
      <alignment horizontal="center" vertical="center"/>
    </xf>
    <xf numFmtId="167" fontId="66" fillId="0" borderId="31" xfId="16" applyFont="1" applyBorder="1" applyAlignment="1">
      <alignment horizontal="left" vertical="center"/>
    </xf>
    <xf numFmtId="0" fontId="65" fillId="0" borderId="4" xfId="12" applyFont="1" applyBorder="1" applyAlignment="1">
      <alignment vertical="center"/>
    </xf>
    <xf numFmtId="0" fontId="65" fillId="0" borderId="25" xfId="0" applyFont="1" applyBorder="1" applyAlignment="1">
      <alignment vertical="center"/>
    </xf>
    <xf numFmtId="0" fontId="65" fillId="0" borderId="3" xfId="12" applyFont="1" applyBorder="1" applyAlignment="1">
      <alignment vertical="center"/>
    </xf>
    <xf numFmtId="0" fontId="65" fillId="0" borderId="25" xfId="12" applyFont="1" applyBorder="1" applyAlignment="1">
      <alignment vertical="center"/>
    </xf>
    <xf numFmtId="0" fontId="62" fillId="0" borderId="4" xfId="12" applyFont="1" applyBorder="1" applyAlignment="1">
      <alignment vertical="center"/>
    </xf>
    <xf numFmtId="0" fontId="65" fillId="0" borderId="86" xfId="12" applyFont="1" applyBorder="1" applyAlignment="1">
      <alignment horizontal="left" vertical="center"/>
    </xf>
    <xf numFmtId="0" fontId="65" fillId="2" borderId="3" xfId="12" applyFont="1" applyFill="1" applyBorder="1" applyAlignment="1">
      <alignment vertical="center"/>
    </xf>
    <xf numFmtId="38" fontId="68" fillId="0" borderId="57" xfId="2" applyFont="1" applyFill="1" applyBorder="1" applyAlignment="1">
      <alignment vertical="center"/>
    </xf>
    <xf numFmtId="38" fontId="68" fillId="0" borderId="58" xfId="2" applyFont="1" applyFill="1" applyBorder="1" applyAlignment="1">
      <alignment vertical="center"/>
    </xf>
    <xf numFmtId="38" fontId="68" fillId="0" borderId="59" xfId="2" applyFont="1" applyFill="1" applyBorder="1" applyAlignment="1">
      <alignment vertical="center"/>
    </xf>
    <xf numFmtId="38" fontId="68" fillId="0" borderId="36" xfId="2" applyFont="1" applyFill="1" applyBorder="1" applyAlignment="1">
      <alignment vertical="center"/>
    </xf>
    <xf numFmtId="0" fontId="72" fillId="0" borderId="67" xfId="24" applyFont="1" applyBorder="1" applyAlignment="1">
      <alignment horizontal="right" vertical="center" wrapText="1"/>
    </xf>
    <xf numFmtId="0" fontId="73" fillId="0" borderId="67" xfId="24" applyFont="1" applyBorder="1" applyAlignment="1">
      <alignment horizontal="right" vertical="center" wrapText="1"/>
    </xf>
    <xf numFmtId="38" fontId="71" fillId="0" borderId="67" xfId="1" applyNumberFormat="1" applyFont="1" applyBorder="1" applyAlignment="1">
      <alignment horizontal="right" vertical="center"/>
    </xf>
    <xf numFmtId="165" fontId="71" fillId="0" borderId="67" xfId="6" applyNumberFormat="1" applyFont="1" applyBorder="1" applyAlignment="1">
      <alignment horizontal="center" vertical="center"/>
    </xf>
    <xf numFmtId="165" fontId="71" fillId="0" borderId="67" xfId="24" applyNumberFormat="1" applyFont="1" applyBorder="1" applyAlignment="1">
      <alignment horizontal="center" vertical="center"/>
    </xf>
    <xf numFmtId="38" fontId="54" fillId="0" borderId="67" xfId="1" applyNumberFormat="1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62" fillId="0" borderId="42" xfId="16" applyNumberFormat="1" applyFont="1" applyBorder="1" applyAlignment="1">
      <alignment horizontal="center" vertical="center"/>
    </xf>
    <xf numFmtId="4" fontId="64" fillId="0" borderId="48" xfId="39" quotePrefix="1" applyNumberFormat="1" applyFont="1" applyBorder="1" applyAlignment="1">
      <alignment horizontal="center" vertical="center" wrapText="1"/>
    </xf>
    <xf numFmtId="3" fontId="65" fillId="0" borderId="6" xfId="1" applyNumberFormat="1" applyFont="1" applyFill="1" applyBorder="1" applyAlignment="1">
      <alignment horizontal="center" vertical="center"/>
    </xf>
    <xf numFmtId="38" fontId="68" fillId="0" borderId="9" xfId="2" applyFont="1" applyFill="1" applyBorder="1" applyAlignment="1">
      <alignment horizontal="center" vertical="center"/>
    </xf>
    <xf numFmtId="0" fontId="66" fillId="2" borderId="42" xfId="0" applyFont="1" applyFill="1" applyBorder="1" applyAlignment="1">
      <alignment horizontal="center" vertical="center"/>
    </xf>
    <xf numFmtId="38" fontId="65" fillId="0" borderId="6" xfId="1" applyNumberFormat="1" applyFont="1" applyFill="1" applyBorder="1" applyAlignment="1">
      <alignment horizontal="center" vertical="center"/>
    </xf>
    <xf numFmtId="38" fontId="65" fillId="0" borderId="11" xfId="1" applyNumberFormat="1" applyFont="1" applyFill="1" applyBorder="1" applyAlignment="1">
      <alignment horizontal="center" vertical="center"/>
    </xf>
    <xf numFmtId="38" fontId="65" fillId="0" borderId="14" xfId="1" applyNumberFormat="1" applyFont="1" applyFill="1" applyBorder="1" applyAlignment="1">
      <alignment horizontal="center" vertical="center"/>
    </xf>
    <xf numFmtId="38" fontId="68" fillId="0" borderId="48" xfId="2" applyFont="1" applyFill="1" applyBorder="1" applyAlignment="1">
      <alignment horizontal="center" vertical="center"/>
    </xf>
    <xf numFmtId="38" fontId="67" fillId="0" borderId="11" xfId="1" applyNumberFormat="1" applyFont="1" applyFill="1" applyBorder="1" applyAlignment="1">
      <alignment horizontal="center" vertical="center"/>
    </xf>
    <xf numFmtId="38" fontId="67" fillId="0" borderId="10" xfId="1" applyNumberFormat="1" applyFont="1" applyFill="1" applyBorder="1" applyAlignment="1">
      <alignment horizontal="center" vertical="center"/>
    </xf>
    <xf numFmtId="0" fontId="67" fillId="2" borderId="11" xfId="38" applyFont="1" applyFill="1" applyBorder="1" applyAlignment="1">
      <alignment horizontal="center" vertical="center"/>
    </xf>
    <xf numFmtId="0" fontId="65" fillId="0" borderId="11" xfId="0" applyFont="1" applyBorder="1" applyAlignment="1">
      <alignment horizontal="center" vertical="center"/>
    </xf>
    <xf numFmtId="0" fontId="67" fillId="5" borderId="42" xfId="0" applyFont="1" applyFill="1" applyBorder="1" applyAlignment="1">
      <alignment horizontal="center" vertical="center"/>
    </xf>
    <xf numFmtId="0" fontId="66" fillId="0" borderId="42" xfId="65" applyFont="1" applyBorder="1" applyAlignment="1">
      <alignment horizontal="center" vertical="center"/>
    </xf>
    <xf numFmtId="0" fontId="66" fillId="0" borderId="11" xfId="13" applyFont="1" applyBorder="1" applyAlignment="1">
      <alignment horizontal="center" vertical="center"/>
    </xf>
    <xf numFmtId="3" fontId="65" fillId="0" borderId="11" xfId="0" applyNumberFormat="1" applyFont="1" applyBorder="1" applyAlignment="1">
      <alignment horizontal="center" vertical="center"/>
    </xf>
    <xf numFmtId="38" fontId="68" fillId="0" borderId="11" xfId="2" applyFont="1" applyFill="1" applyBorder="1" applyAlignment="1">
      <alignment horizontal="center" vertical="center"/>
    </xf>
    <xf numFmtId="38" fontId="65" fillId="0" borderId="42" xfId="1" applyNumberFormat="1" applyFont="1" applyFill="1" applyBorder="1" applyAlignment="1">
      <alignment horizontal="center" vertical="center"/>
    </xf>
    <xf numFmtId="38" fontId="65" fillId="0" borderId="0" xfId="1" applyNumberFormat="1" applyFont="1" applyFill="1" applyBorder="1" applyAlignment="1">
      <alignment horizontal="center" vertical="center"/>
    </xf>
    <xf numFmtId="0" fontId="67" fillId="0" borderId="0" xfId="0" applyFont="1" applyAlignment="1">
      <alignment horizontal="center" vertical="center"/>
    </xf>
    <xf numFmtId="38" fontId="68" fillId="0" borderId="36" xfId="2" applyFont="1" applyFill="1" applyBorder="1" applyAlignment="1">
      <alignment horizontal="center" vertical="center"/>
    </xf>
    <xf numFmtId="4" fontId="64" fillId="0" borderId="42" xfId="39" quotePrefix="1" applyNumberFormat="1" applyFont="1" applyBorder="1" applyAlignment="1">
      <alignment vertical="center" wrapText="1"/>
    </xf>
    <xf numFmtId="4" fontId="64" fillId="0" borderId="124" xfId="39" quotePrefix="1" applyNumberFormat="1" applyFont="1" applyBorder="1" applyAlignment="1">
      <alignment horizontal="center" vertical="center" wrapText="1"/>
    </xf>
    <xf numFmtId="4" fontId="64" fillId="0" borderId="127" xfId="39" quotePrefix="1" applyNumberFormat="1" applyFont="1" applyBorder="1" applyAlignment="1">
      <alignment vertical="center" wrapText="1"/>
    </xf>
    <xf numFmtId="4" fontId="64" fillId="0" borderId="125" xfId="39" quotePrefix="1" applyNumberFormat="1" applyFont="1" applyBorder="1" applyAlignment="1">
      <alignment vertical="center" wrapText="1"/>
    </xf>
    <xf numFmtId="4" fontId="64" fillId="0" borderId="53" xfId="39" quotePrefix="1" applyNumberFormat="1" applyFont="1" applyBorder="1" applyAlignment="1">
      <alignment horizontal="center" vertical="center" wrapText="1"/>
    </xf>
    <xf numFmtId="4" fontId="64" fillId="0" borderId="128" xfId="39" quotePrefix="1" applyNumberFormat="1" applyFont="1" applyBorder="1" applyAlignment="1">
      <alignment vertical="center" wrapText="1"/>
    </xf>
    <xf numFmtId="3" fontId="65" fillId="0" borderId="6" xfId="1" applyNumberFormat="1" applyFont="1" applyFill="1" applyBorder="1" applyAlignment="1">
      <alignment horizontal="center" vertical="center" wrapText="1"/>
    </xf>
    <xf numFmtId="3" fontId="65" fillId="0" borderId="6" xfId="1" quotePrefix="1" applyNumberFormat="1" applyFont="1" applyFill="1" applyBorder="1" applyAlignment="1">
      <alignment horizontal="center" vertical="center" wrapText="1"/>
    </xf>
    <xf numFmtId="3" fontId="65" fillId="0" borderId="42" xfId="1" applyNumberFormat="1" applyFont="1" applyFill="1" applyBorder="1" applyAlignment="1">
      <alignment vertical="center" wrapText="1"/>
    </xf>
    <xf numFmtId="3" fontId="65" fillId="0" borderId="125" xfId="1" applyNumberFormat="1" applyFont="1" applyFill="1" applyBorder="1" applyAlignment="1">
      <alignment vertical="center" wrapText="1"/>
    </xf>
    <xf numFmtId="38" fontId="48" fillId="0" borderId="132" xfId="1" applyNumberFormat="1" applyFont="1" applyBorder="1" applyAlignment="1">
      <alignment vertical="center" wrapText="1"/>
    </xf>
    <xf numFmtId="3" fontId="19" fillId="0" borderId="4" xfId="1" applyNumberFormat="1" applyFont="1" applyFill="1" applyBorder="1" applyAlignment="1">
      <alignment horizontal="right" vertical="center"/>
    </xf>
    <xf numFmtId="3" fontId="19" fillId="0" borderId="11" xfId="1" applyNumberFormat="1" applyFont="1" applyFill="1" applyBorder="1" applyAlignment="1">
      <alignment horizontal="right" vertical="center"/>
    </xf>
    <xf numFmtId="38" fontId="65" fillId="0" borderId="126" xfId="1" applyNumberFormat="1" applyFont="1" applyFill="1" applyBorder="1" applyAlignment="1">
      <alignment horizontal="center" vertical="center"/>
    </xf>
    <xf numFmtId="38" fontId="57" fillId="0" borderId="49" xfId="1" applyNumberFormat="1" applyFont="1" applyBorder="1" applyAlignment="1">
      <alignment horizontal="center" vertical="center" wrapText="1"/>
    </xf>
    <xf numFmtId="4" fontId="26" fillId="2" borderId="56" xfId="1" applyNumberFormat="1" applyFont="1" applyFill="1" applyBorder="1" applyAlignment="1">
      <alignment horizontal="right" vertical="center"/>
    </xf>
    <xf numFmtId="38" fontId="23" fillId="2" borderId="133" xfId="5" applyFont="1" applyFill="1" applyBorder="1" applyAlignment="1">
      <alignment horizontal="right" vertical="center"/>
    </xf>
    <xf numFmtId="164" fontId="19" fillId="2" borderId="67" xfId="1" applyNumberFormat="1" applyFont="1" applyFill="1" applyBorder="1" applyAlignment="1">
      <alignment horizontal="right" vertical="center"/>
    </xf>
    <xf numFmtId="164" fontId="19" fillId="0" borderId="67" xfId="1" applyNumberFormat="1" applyFont="1" applyFill="1" applyBorder="1" applyAlignment="1">
      <alignment horizontal="right" vertical="center"/>
    </xf>
    <xf numFmtId="38" fontId="57" fillId="0" borderId="49" xfId="1" quotePrefix="1" applyNumberFormat="1" applyFont="1" applyBorder="1" applyAlignment="1">
      <alignment horizontal="center" vertical="center" wrapText="1"/>
    </xf>
    <xf numFmtId="164" fontId="25" fillId="2" borderId="4" xfId="1" applyNumberFormat="1" applyFont="1" applyFill="1" applyBorder="1" applyAlignment="1">
      <alignment horizontal="right" vertical="center"/>
    </xf>
    <xf numFmtId="38" fontId="57" fillId="0" borderId="132" xfId="1" applyNumberFormat="1" applyFont="1" applyBorder="1" applyAlignment="1">
      <alignment vertical="center" wrapText="1"/>
    </xf>
    <xf numFmtId="164" fontId="19" fillId="2" borderId="126" xfId="1" applyNumberFormat="1" applyFont="1" applyFill="1" applyBorder="1" applyAlignment="1">
      <alignment horizontal="right" vertical="center"/>
    </xf>
    <xf numFmtId="4" fontId="64" fillId="0" borderId="126" xfId="39" quotePrefix="1" applyNumberFormat="1" applyFont="1" applyBorder="1" applyAlignment="1">
      <alignment horizontal="center" vertical="center" wrapText="1"/>
    </xf>
    <xf numFmtId="4" fontId="64" fillId="0" borderId="67" xfId="39" quotePrefix="1" applyNumberFormat="1" applyFont="1" applyBorder="1" applyAlignment="1">
      <alignment horizontal="center" vertical="center" wrapText="1"/>
    </xf>
    <xf numFmtId="38" fontId="67" fillId="0" borderId="126" xfId="1" applyNumberFormat="1" applyFont="1" applyFill="1" applyBorder="1" applyAlignment="1">
      <alignment horizontal="center" vertical="center"/>
    </xf>
    <xf numFmtId="3" fontId="65" fillId="0" borderId="4" xfId="1" applyNumberFormat="1" applyFont="1" applyFill="1" applyBorder="1" applyAlignment="1">
      <alignment horizontal="right" vertical="center"/>
    </xf>
    <xf numFmtId="38" fontId="62" fillId="0" borderId="132" xfId="1" applyNumberFormat="1" applyFont="1" applyBorder="1" applyAlignment="1">
      <alignment vertical="center" wrapText="1"/>
    </xf>
    <xf numFmtId="3" fontId="19" fillId="0" borderId="22" xfId="1" applyNumberFormat="1" applyFont="1" applyFill="1" applyBorder="1" applyAlignment="1">
      <alignment horizontal="right" vertical="center"/>
    </xf>
    <xf numFmtId="3" fontId="65" fillId="0" borderId="67" xfId="1" applyNumberFormat="1" applyFont="1" applyFill="1" applyBorder="1" applyAlignment="1">
      <alignment vertical="center"/>
    </xf>
    <xf numFmtId="3" fontId="65" fillId="0" borderId="67" xfId="1" applyNumberFormat="1" applyFont="1" applyFill="1" applyBorder="1" applyAlignment="1">
      <alignment vertical="center" wrapText="1"/>
    </xf>
    <xf numFmtId="0" fontId="17" fillId="0" borderId="67" xfId="0" applyFont="1" applyBorder="1" applyAlignment="1">
      <alignment vertical="center"/>
    </xf>
    <xf numFmtId="3" fontId="62" fillId="10" borderId="38" xfId="38" applyNumberFormat="1" applyFont="1" applyFill="1" applyBorder="1" applyAlignment="1">
      <alignment horizontal="center" vertical="center"/>
    </xf>
    <xf numFmtId="3" fontId="65" fillId="10" borderId="38" xfId="38" applyNumberFormat="1" applyFont="1" applyFill="1" applyBorder="1" applyAlignment="1">
      <alignment horizontal="center" vertical="center"/>
    </xf>
    <xf numFmtId="3" fontId="43" fillId="10" borderId="38" xfId="38" applyNumberFormat="1" applyFont="1" applyFill="1" applyBorder="1" applyAlignment="1">
      <alignment horizontal="center" vertical="center"/>
    </xf>
    <xf numFmtId="3" fontId="19" fillId="10" borderId="38" xfId="38" applyNumberFormat="1" applyFont="1" applyFill="1" applyBorder="1" applyAlignment="1">
      <alignment horizontal="center" vertical="center"/>
    </xf>
    <xf numFmtId="38" fontId="19" fillId="10" borderId="38" xfId="0" applyNumberFormat="1" applyFont="1" applyFill="1" applyBorder="1" applyAlignment="1">
      <alignment horizontal="center" vertical="center"/>
    </xf>
    <xf numFmtId="3" fontId="19" fillId="0" borderId="38" xfId="38" applyNumberFormat="1" applyFont="1" applyFill="1" applyBorder="1" applyAlignment="1">
      <alignment horizontal="center" vertical="center"/>
    </xf>
    <xf numFmtId="38" fontId="51" fillId="0" borderId="0" xfId="24" applyNumberFormat="1" applyFont="1"/>
    <xf numFmtId="38" fontId="64" fillId="0" borderId="0" xfId="37" applyNumberFormat="1" applyFont="1" applyAlignment="1">
      <alignment vertical="center"/>
    </xf>
    <xf numFmtId="38" fontId="28" fillId="0" borderId="0" xfId="36" applyNumberFormat="1" applyFont="1" applyAlignment="1">
      <alignment vertical="center"/>
    </xf>
    <xf numFmtId="38" fontId="19" fillId="2" borderId="0" xfId="0" applyNumberFormat="1" applyFont="1" applyFill="1" applyAlignment="1">
      <alignment vertical="center"/>
    </xf>
    <xf numFmtId="0" fontId="54" fillId="0" borderId="68" xfId="24" applyFont="1" applyBorder="1" applyAlignment="1">
      <alignment horizontal="center" vertical="center"/>
    </xf>
    <xf numFmtId="0" fontId="54" fillId="0" borderId="69" xfId="24" applyFont="1" applyBorder="1" applyAlignment="1">
      <alignment horizontal="center" vertical="center"/>
    </xf>
    <xf numFmtId="0" fontId="54" fillId="0" borderId="70" xfId="24" applyFont="1" applyBorder="1" applyAlignment="1">
      <alignment horizontal="center" vertical="center"/>
    </xf>
    <xf numFmtId="0" fontId="54" fillId="0" borderId="71" xfId="24" applyFont="1" applyBorder="1" applyAlignment="1">
      <alignment horizontal="center" vertical="center"/>
    </xf>
    <xf numFmtId="0" fontId="54" fillId="0" borderId="0" xfId="24" applyFont="1" applyAlignment="1">
      <alignment horizontal="center" vertical="center"/>
    </xf>
    <xf numFmtId="0" fontId="54" fillId="0" borderId="72" xfId="24" applyFont="1" applyBorder="1" applyAlignment="1">
      <alignment horizontal="center" vertical="center"/>
    </xf>
    <xf numFmtId="3" fontId="65" fillId="5" borderId="124" xfId="1" quotePrefix="1" applyNumberFormat="1" applyFont="1" applyFill="1" applyBorder="1" applyAlignment="1">
      <alignment horizontal="center" vertical="center" wrapText="1"/>
    </xf>
    <xf numFmtId="3" fontId="65" fillId="5" borderId="127" xfId="1" applyNumberFormat="1" applyFont="1" applyFill="1" applyBorder="1" applyAlignment="1">
      <alignment horizontal="center" vertical="center" wrapText="1"/>
    </xf>
    <xf numFmtId="3" fontId="65" fillId="5" borderId="130" xfId="1" applyNumberFormat="1" applyFont="1" applyFill="1" applyBorder="1" applyAlignment="1">
      <alignment horizontal="center" vertical="center" wrapText="1"/>
    </xf>
    <xf numFmtId="3" fontId="65" fillId="0" borderId="53" xfId="1" applyNumberFormat="1" applyFont="1" applyFill="1" applyBorder="1" applyAlignment="1">
      <alignment horizontal="center" vertical="center" wrapText="1"/>
    </xf>
    <xf numFmtId="3" fontId="65" fillId="0" borderId="128" xfId="1" applyNumberFormat="1" applyFont="1" applyFill="1" applyBorder="1" applyAlignment="1">
      <alignment horizontal="center" vertical="center"/>
    </xf>
    <xf numFmtId="3" fontId="65" fillId="0" borderId="123" xfId="1" applyNumberFormat="1" applyFont="1" applyFill="1" applyBorder="1" applyAlignment="1">
      <alignment horizontal="center" vertical="center"/>
    </xf>
    <xf numFmtId="3" fontId="65" fillId="0" borderId="124" xfId="1" applyNumberFormat="1" applyFont="1" applyFill="1" applyBorder="1" applyAlignment="1">
      <alignment horizontal="center" vertical="center" wrapText="1"/>
    </xf>
    <xf numFmtId="3" fontId="65" fillId="0" borderId="127" xfId="1" applyNumberFormat="1" applyFont="1" applyFill="1" applyBorder="1" applyAlignment="1">
      <alignment horizontal="center" vertical="center" wrapText="1"/>
    </xf>
    <xf numFmtId="3" fontId="65" fillId="0" borderId="130" xfId="1" applyNumberFormat="1" applyFont="1" applyFill="1" applyBorder="1" applyAlignment="1">
      <alignment horizontal="center" vertical="center" wrapText="1"/>
    </xf>
    <xf numFmtId="3" fontId="65" fillId="0" borderId="128" xfId="1" applyNumberFormat="1" applyFont="1" applyFill="1" applyBorder="1" applyAlignment="1">
      <alignment horizontal="center" vertical="center" wrapText="1"/>
    </xf>
    <xf numFmtId="3" fontId="65" fillId="0" borderId="123" xfId="1" applyNumberFormat="1" applyFont="1" applyFill="1" applyBorder="1" applyAlignment="1">
      <alignment horizontal="center" vertical="center" wrapText="1"/>
    </xf>
    <xf numFmtId="3" fontId="65" fillId="0" borderId="126" xfId="1" applyNumberFormat="1" applyFont="1" applyFill="1" applyBorder="1" applyAlignment="1">
      <alignment horizontal="center" vertical="center" wrapText="1"/>
    </xf>
    <xf numFmtId="3" fontId="65" fillId="0" borderId="42" xfId="1" applyNumberFormat="1" applyFont="1" applyFill="1" applyBorder="1" applyAlignment="1">
      <alignment horizontal="center" vertical="center" wrapText="1"/>
    </xf>
    <xf numFmtId="3" fontId="65" fillId="0" borderId="125" xfId="1" applyNumberFormat="1" applyFont="1" applyFill="1" applyBorder="1" applyAlignment="1">
      <alignment horizontal="center" vertical="center" wrapText="1"/>
    </xf>
    <xf numFmtId="3" fontId="65" fillId="0" borderId="126" xfId="1" applyNumberFormat="1" applyFont="1" applyFill="1" applyBorder="1" applyAlignment="1">
      <alignment horizontal="center" vertical="center"/>
    </xf>
    <xf numFmtId="3" fontId="65" fillId="0" borderId="56" xfId="1" applyNumberFormat="1" applyFont="1" applyFill="1" applyBorder="1" applyAlignment="1">
      <alignment horizontal="center" vertical="center"/>
    </xf>
    <xf numFmtId="3" fontId="65" fillId="0" borderId="42" xfId="1" applyNumberFormat="1" applyFont="1" applyFill="1" applyBorder="1" applyAlignment="1">
      <alignment horizontal="center" vertical="center"/>
    </xf>
    <xf numFmtId="3" fontId="65" fillId="0" borderId="124" xfId="1" quotePrefix="1" applyNumberFormat="1" applyFont="1" applyFill="1" applyBorder="1" applyAlignment="1">
      <alignment horizontal="center" vertical="center" wrapText="1"/>
    </xf>
    <xf numFmtId="4" fontId="64" fillId="0" borderId="126" xfId="39" quotePrefix="1" applyNumberFormat="1" applyFont="1" applyBorder="1" applyAlignment="1">
      <alignment horizontal="center" vertical="center" wrapText="1"/>
    </xf>
    <xf numFmtId="4" fontId="64" fillId="0" borderId="56" xfId="39" quotePrefix="1" applyNumberFormat="1" applyFont="1" applyBorder="1" applyAlignment="1">
      <alignment horizontal="center" vertical="center" wrapText="1"/>
    </xf>
    <xf numFmtId="4" fontId="64" fillId="0" borderId="42" xfId="39" quotePrefix="1" applyNumberFormat="1" applyFont="1" applyBorder="1" applyAlignment="1">
      <alignment horizontal="center" vertical="center" wrapText="1"/>
    </xf>
    <xf numFmtId="4" fontId="64" fillId="0" borderId="124" xfId="39" quotePrefix="1" applyNumberFormat="1" applyFont="1" applyBorder="1" applyAlignment="1">
      <alignment horizontal="center" vertical="center" wrapText="1"/>
    </xf>
    <xf numFmtId="4" fontId="64" fillId="0" borderId="127" xfId="39" quotePrefix="1" applyNumberFormat="1" applyFont="1" applyBorder="1" applyAlignment="1">
      <alignment horizontal="center" vertical="center" wrapText="1"/>
    </xf>
    <xf numFmtId="4" fontId="64" fillId="0" borderId="125" xfId="39" quotePrefix="1" applyNumberFormat="1" applyFont="1" applyBorder="1" applyAlignment="1">
      <alignment horizontal="center" vertical="center" wrapText="1"/>
    </xf>
    <xf numFmtId="3" fontId="65" fillId="0" borderId="53" xfId="1" applyNumberFormat="1" applyFont="1" applyFill="1" applyBorder="1" applyAlignment="1">
      <alignment horizontal="center" vertical="center"/>
    </xf>
    <xf numFmtId="3" fontId="65" fillId="0" borderId="131" xfId="1" applyNumberFormat="1" applyFont="1" applyFill="1" applyBorder="1" applyAlignment="1">
      <alignment horizontal="center" vertical="center"/>
    </xf>
    <xf numFmtId="4" fontId="64" fillId="0" borderId="130" xfId="39" quotePrefix="1" applyNumberFormat="1" applyFont="1" applyBorder="1" applyAlignment="1">
      <alignment horizontal="center" vertical="center" wrapText="1"/>
    </xf>
    <xf numFmtId="4" fontId="64" fillId="0" borderId="129" xfId="39" quotePrefix="1" applyNumberFormat="1" applyFont="1" applyBorder="1" applyAlignment="1">
      <alignment horizontal="center" vertical="center" wrapText="1"/>
    </xf>
    <xf numFmtId="4" fontId="64" fillId="0" borderId="53" xfId="39" quotePrefix="1" applyNumberFormat="1" applyFont="1" applyBorder="1" applyAlignment="1">
      <alignment horizontal="center" vertical="center" wrapText="1"/>
    </xf>
    <xf numFmtId="4" fontId="64" fillId="0" borderId="128" xfId="39" quotePrefix="1" applyNumberFormat="1" applyFont="1" applyBorder="1" applyAlignment="1">
      <alignment horizontal="center" vertical="center" wrapText="1"/>
    </xf>
    <xf numFmtId="4" fontId="64" fillId="0" borderId="67" xfId="39" quotePrefix="1" applyNumberFormat="1" applyFont="1" applyBorder="1" applyAlignment="1">
      <alignment horizontal="center" vertical="center" wrapText="1"/>
    </xf>
    <xf numFmtId="4" fontId="64" fillId="0" borderId="123" xfId="39" quotePrefix="1" applyNumberFormat="1" applyFont="1" applyBorder="1" applyAlignment="1">
      <alignment horizontal="center" vertical="center" wrapText="1"/>
    </xf>
    <xf numFmtId="0" fontId="65" fillId="0" borderId="4" xfId="12" applyFont="1" applyBorder="1" applyAlignment="1">
      <alignment horizontal="left" vertical="center" wrapText="1"/>
    </xf>
    <xf numFmtId="0" fontId="65" fillId="0" borderId="3" xfId="12" applyFont="1" applyBorder="1" applyAlignment="1">
      <alignment horizontal="left" vertical="center" wrapText="1"/>
    </xf>
    <xf numFmtId="0" fontId="65" fillId="0" borderId="25" xfId="12" applyFont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60" fillId="8" borderId="106" xfId="39" applyFont="1" applyFill="1" applyBorder="1">
      <alignment horizontal="center" vertical="center" wrapText="1"/>
    </xf>
    <xf numFmtId="0" fontId="60" fillId="8" borderId="114" xfId="39" applyFont="1" applyFill="1" applyBorder="1">
      <alignment horizontal="center" vertical="center" wrapText="1"/>
    </xf>
    <xf numFmtId="0" fontId="60" fillId="8" borderId="116" xfId="39" applyFont="1" applyFill="1" applyBorder="1">
      <alignment horizontal="center" vertical="center" wrapText="1"/>
    </xf>
    <xf numFmtId="0" fontId="60" fillId="8" borderId="107" xfId="39" applyFont="1" applyFill="1" applyBorder="1">
      <alignment horizontal="center" vertical="center" wrapText="1"/>
    </xf>
    <xf numFmtId="0" fontId="60" fillId="8" borderId="108" xfId="39" applyFont="1" applyFill="1" applyBorder="1">
      <alignment horizontal="center" vertical="center" wrapText="1"/>
    </xf>
    <xf numFmtId="0" fontId="60" fillId="8" borderId="109" xfId="39" applyFont="1" applyFill="1" applyBorder="1">
      <alignment horizontal="center" vertical="center" wrapText="1"/>
    </xf>
    <xf numFmtId="0" fontId="60" fillId="8" borderId="71" xfId="39" applyFont="1" applyFill="1" applyBorder="1">
      <alignment horizontal="center" vertical="center" wrapText="1"/>
    </xf>
    <xf numFmtId="0" fontId="60" fillId="8" borderId="0" xfId="39" applyFont="1" applyFill="1" applyBorder="1">
      <alignment horizontal="center" vertical="center" wrapText="1"/>
    </xf>
    <xf numFmtId="0" fontId="60" fillId="8" borderId="93" xfId="39" applyFont="1" applyFill="1" applyBorder="1">
      <alignment horizontal="center" vertical="center" wrapText="1"/>
    </xf>
    <xf numFmtId="0" fontId="60" fillId="8" borderId="117" xfId="39" applyFont="1" applyFill="1" applyBorder="1">
      <alignment horizontal="center" vertical="center" wrapText="1"/>
    </xf>
    <xf numFmtId="0" fontId="60" fillId="8" borderId="118" xfId="39" applyFont="1" applyFill="1" applyBorder="1">
      <alignment horizontal="center" vertical="center" wrapText="1"/>
    </xf>
    <xf numFmtId="0" fontId="60" fillId="8" borderId="119" xfId="39" applyFont="1" applyFill="1" applyBorder="1">
      <alignment horizontal="center" vertical="center" wrapText="1"/>
    </xf>
    <xf numFmtId="0" fontId="60" fillId="6" borderId="138" xfId="39" applyFont="1" applyFill="1" applyBorder="1">
      <alignment horizontal="center" vertical="center" wrapText="1"/>
    </xf>
    <xf numFmtId="0" fontId="60" fillId="6" borderId="139" xfId="39" applyFont="1" applyFill="1" applyBorder="1">
      <alignment horizontal="center" vertical="center" wrapText="1"/>
    </xf>
    <xf numFmtId="0" fontId="60" fillId="6" borderId="140" xfId="39" applyFont="1" applyFill="1" applyBorder="1">
      <alignment horizontal="center" vertical="center" wrapText="1"/>
    </xf>
    <xf numFmtId="0" fontId="60" fillId="6" borderId="110" xfId="39" applyFont="1" applyFill="1" applyBorder="1">
      <alignment horizontal="center" vertical="center" wrapText="1"/>
    </xf>
    <xf numFmtId="0" fontId="60" fillId="6" borderId="95" xfId="39" applyFont="1" applyFill="1" applyBorder="1">
      <alignment horizontal="center" vertical="center" wrapText="1"/>
    </xf>
    <xf numFmtId="0" fontId="60" fillId="6" borderId="120" xfId="39" applyFont="1" applyFill="1" applyBorder="1">
      <alignment horizontal="center" vertical="center" wrapText="1"/>
    </xf>
    <xf numFmtId="0" fontId="60" fillId="8" borderId="110" xfId="39" applyFont="1" applyFill="1" applyBorder="1">
      <alignment horizontal="center" vertical="center" wrapText="1"/>
    </xf>
    <xf numFmtId="0" fontId="60" fillId="8" borderId="95" xfId="39" applyFont="1" applyFill="1" applyBorder="1">
      <alignment horizontal="center" vertical="center" wrapText="1"/>
    </xf>
    <xf numFmtId="0" fontId="60" fillId="8" borderId="120" xfId="39" applyFont="1" applyFill="1" applyBorder="1">
      <alignment horizontal="center" vertical="center" wrapText="1"/>
    </xf>
    <xf numFmtId="0" fontId="60" fillId="8" borderId="111" xfId="39" applyFont="1" applyFill="1" applyBorder="1">
      <alignment horizontal="center" vertical="center" wrapText="1"/>
    </xf>
    <xf numFmtId="0" fontId="60" fillId="8" borderId="112" xfId="39" applyFont="1" applyFill="1" applyBorder="1">
      <alignment horizontal="center" vertical="center" wrapText="1"/>
    </xf>
    <xf numFmtId="0" fontId="60" fillId="8" borderId="110" xfId="39" applyFont="1" applyFill="1" applyBorder="1" applyAlignment="1">
      <alignment horizontal="center" vertical="center" wrapText="1"/>
    </xf>
    <xf numFmtId="0" fontId="60" fillId="8" borderId="95" xfId="39" applyFont="1" applyFill="1" applyBorder="1" applyAlignment="1">
      <alignment horizontal="center" vertical="center" wrapText="1"/>
    </xf>
    <xf numFmtId="0" fontId="60" fillId="8" borderId="120" xfId="39" applyFont="1" applyFill="1" applyBorder="1" applyAlignment="1">
      <alignment horizontal="center" vertical="center" wrapText="1"/>
    </xf>
    <xf numFmtId="0" fontId="60" fillId="8" borderId="113" xfId="39" applyFont="1" applyFill="1" applyBorder="1">
      <alignment horizontal="center" vertical="center" wrapText="1"/>
    </xf>
    <xf numFmtId="0" fontId="60" fillId="8" borderId="115" xfId="39" applyFont="1" applyFill="1" applyBorder="1">
      <alignment horizontal="center" vertical="center" wrapText="1"/>
    </xf>
    <xf numFmtId="0" fontId="60" fillId="8" borderId="122" xfId="39" applyFont="1" applyFill="1" applyBorder="1">
      <alignment horizontal="center" vertical="center" wrapText="1"/>
    </xf>
    <xf numFmtId="0" fontId="65" fillId="0" borderId="31" xfId="12" applyFont="1" applyBorder="1" applyAlignment="1">
      <alignment horizontal="left" vertical="center" wrapText="1"/>
    </xf>
    <xf numFmtId="0" fontId="65" fillId="0" borderId="30" xfId="12" applyFont="1" applyBorder="1" applyAlignment="1">
      <alignment horizontal="left" vertical="center" wrapText="1"/>
    </xf>
    <xf numFmtId="38" fontId="68" fillId="0" borderId="43" xfId="2" applyFont="1" applyFill="1" applyBorder="1" applyAlignment="1">
      <alignment horizontal="right" vertical="center"/>
    </xf>
    <xf numFmtId="38" fontId="68" fillId="0" borderId="47" xfId="2" applyFont="1" applyFill="1" applyBorder="1" applyAlignment="1">
      <alignment horizontal="right" vertical="center"/>
    </xf>
    <xf numFmtId="38" fontId="68" fillId="0" borderId="31" xfId="2" applyFont="1" applyFill="1" applyBorder="1" applyAlignment="1">
      <alignment horizontal="right" vertical="center"/>
    </xf>
    <xf numFmtId="38" fontId="68" fillId="0" borderId="50" xfId="2" applyFont="1" applyFill="1" applyBorder="1" applyAlignment="1">
      <alignment horizontal="right" vertical="center"/>
    </xf>
    <xf numFmtId="0" fontId="67" fillId="5" borderId="4" xfId="12" applyFont="1" applyFill="1" applyBorder="1" applyAlignment="1">
      <alignment horizontal="left" vertical="center" wrapText="1"/>
    </xf>
    <xf numFmtId="0" fontId="67" fillId="5" borderId="3" xfId="12" applyFont="1" applyFill="1" applyBorder="1" applyAlignment="1">
      <alignment horizontal="left" vertical="center" wrapText="1"/>
    </xf>
    <xf numFmtId="0" fontId="67" fillId="5" borderId="25" xfId="12" applyFont="1" applyFill="1" applyBorder="1" applyAlignment="1">
      <alignment horizontal="left" vertical="center" wrapText="1"/>
    </xf>
    <xf numFmtId="3" fontId="67" fillId="5" borderId="7" xfId="38" quotePrefix="1" applyNumberFormat="1" applyFont="1" applyFill="1" applyBorder="1" applyAlignment="1">
      <alignment horizontal="center" vertical="center"/>
    </xf>
    <xf numFmtId="3" fontId="67" fillId="5" borderId="11" xfId="38" quotePrefix="1" applyNumberFormat="1" applyFont="1" applyFill="1" applyBorder="1" applyAlignment="1">
      <alignment horizontal="center" vertical="center"/>
    </xf>
    <xf numFmtId="0" fontId="65" fillId="5" borderId="4" xfId="12" applyFont="1" applyFill="1" applyBorder="1" applyAlignment="1">
      <alignment horizontal="left" vertical="center" wrapText="1"/>
    </xf>
    <xf numFmtId="0" fontId="65" fillId="5" borderId="3" xfId="12" applyFont="1" applyFill="1" applyBorder="1" applyAlignment="1">
      <alignment horizontal="left" vertical="center" wrapText="1"/>
    </xf>
    <xf numFmtId="0" fontId="65" fillId="5" borderId="25" xfId="12" applyFont="1" applyFill="1" applyBorder="1" applyAlignment="1">
      <alignment horizontal="left" vertical="center" wrapText="1"/>
    </xf>
    <xf numFmtId="0" fontId="65" fillId="0" borderId="3" xfId="0" applyFont="1" applyBorder="1" applyAlignment="1">
      <alignment horizontal="left" vertical="center" wrapText="1"/>
    </xf>
    <xf numFmtId="0" fontId="65" fillId="0" borderId="25" xfId="0" applyFont="1" applyBorder="1" applyAlignment="1">
      <alignment horizontal="left" vertical="center" wrapText="1"/>
    </xf>
    <xf numFmtId="38" fontId="68" fillId="0" borderId="73" xfId="2" applyFont="1" applyFill="1" applyBorder="1" applyAlignment="1">
      <alignment horizontal="right" vertical="center"/>
    </xf>
    <xf numFmtId="38" fontId="68" fillId="0" borderId="74" xfId="2" applyFont="1" applyFill="1" applyBorder="1" applyAlignment="1">
      <alignment horizontal="right" vertical="center"/>
    </xf>
    <xf numFmtId="38" fontId="68" fillId="0" borderId="75" xfId="2" applyFont="1" applyFill="1" applyBorder="1" applyAlignment="1">
      <alignment horizontal="right" vertical="center"/>
    </xf>
    <xf numFmtId="38" fontId="68" fillId="0" borderId="76" xfId="2" applyFont="1" applyFill="1" applyBorder="1" applyAlignment="1">
      <alignment horizontal="right" vertical="center"/>
    </xf>
    <xf numFmtId="167" fontId="66" fillId="0" borderId="31" xfId="16" applyFont="1" applyBorder="1" applyAlignment="1">
      <alignment horizontal="left" vertical="center" wrapText="1"/>
    </xf>
    <xf numFmtId="167" fontId="66" fillId="0" borderId="3" xfId="16" applyFont="1" applyBorder="1" applyAlignment="1">
      <alignment horizontal="left" vertical="center" wrapText="1"/>
    </xf>
    <xf numFmtId="167" fontId="66" fillId="0" borderId="11" xfId="16" applyFont="1" applyBorder="1" applyAlignment="1">
      <alignment horizontal="left" vertical="center" wrapText="1"/>
    </xf>
    <xf numFmtId="3" fontId="65" fillId="0" borderId="67" xfId="1" applyNumberFormat="1" applyFont="1" applyFill="1" applyBorder="1" applyAlignment="1">
      <alignment horizontal="center" vertical="center" wrapText="1"/>
    </xf>
    <xf numFmtId="38" fontId="21" fillId="0" borderId="73" xfId="2" applyFont="1" applyFill="1" applyBorder="1" applyAlignment="1">
      <alignment horizontal="right" vertical="center"/>
    </xf>
    <xf numFmtId="38" fontId="21" fillId="0" borderId="74" xfId="2" applyFont="1" applyFill="1" applyBorder="1" applyAlignment="1">
      <alignment horizontal="right" vertical="center"/>
    </xf>
    <xf numFmtId="38" fontId="21" fillId="0" borderId="75" xfId="2" applyFont="1" applyFill="1" applyBorder="1" applyAlignment="1">
      <alignment horizontal="right" vertical="center"/>
    </xf>
    <xf numFmtId="38" fontId="21" fillId="0" borderId="76" xfId="2" applyFont="1" applyFill="1" applyBorder="1" applyAlignment="1">
      <alignment horizontal="right" vertical="center"/>
    </xf>
    <xf numFmtId="38" fontId="21" fillId="0" borderId="43" xfId="2" applyFont="1" applyFill="1" applyBorder="1" applyAlignment="1">
      <alignment horizontal="right" vertical="center"/>
    </xf>
    <xf numFmtId="38" fontId="21" fillId="0" borderId="47" xfId="2" applyFont="1" applyFill="1" applyBorder="1" applyAlignment="1">
      <alignment horizontal="right" vertical="center"/>
    </xf>
    <xf numFmtId="38" fontId="21" fillId="0" borderId="31" xfId="2" applyFont="1" applyFill="1" applyBorder="1" applyAlignment="1">
      <alignment horizontal="right" vertical="center"/>
    </xf>
    <xf numFmtId="38" fontId="21" fillId="0" borderId="50" xfId="2" applyFont="1" applyFill="1" applyBorder="1" applyAlignment="1">
      <alignment horizontal="right" vertical="center"/>
    </xf>
    <xf numFmtId="0" fontId="19" fillId="0" borderId="4" xfId="12" applyFont="1" applyBorder="1" applyAlignment="1">
      <alignment horizontal="left" vertical="center" wrapText="1"/>
    </xf>
    <xf numFmtId="0" fontId="19" fillId="0" borderId="3" xfId="12" applyFont="1" applyBorder="1" applyAlignment="1">
      <alignment horizontal="left" vertical="center" wrapText="1"/>
    </xf>
    <xf numFmtId="0" fontId="19" fillId="0" borderId="25" xfId="12" applyFont="1" applyBorder="1" applyAlignment="1">
      <alignment horizontal="left" vertical="center" wrapText="1"/>
    </xf>
    <xf numFmtId="0" fontId="17" fillId="0" borderId="4" xfId="12" applyFont="1" applyBorder="1" applyAlignment="1">
      <alignment horizontal="left" vertical="center" wrapText="1"/>
    </xf>
    <xf numFmtId="0" fontId="17" fillId="0" borderId="3" xfId="12" applyFont="1" applyBorder="1" applyAlignment="1">
      <alignment horizontal="left" vertical="center" wrapText="1"/>
    </xf>
    <xf numFmtId="0" fontId="17" fillId="0" borderId="25" xfId="12" applyFont="1" applyBorder="1" applyAlignment="1">
      <alignment horizontal="left" vertical="center" wrapText="1"/>
    </xf>
    <xf numFmtId="0" fontId="43" fillId="0" borderId="4" xfId="12" applyFont="1" applyBorder="1" applyAlignment="1">
      <alignment horizontal="left" vertical="center" wrapText="1"/>
    </xf>
    <xf numFmtId="0" fontId="43" fillId="0" borderId="3" xfId="12" applyFont="1" applyBorder="1" applyAlignment="1">
      <alignment horizontal="left" vertical="center" wrapText="1"/>
    </xf>
    <xf numFmtId="0" fontId="43" fillId="0" borderId="25" xfId="12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24" fillId="6" borderId="64" xfId="0" quotePrefix="1" applyFont="1" applyFill="1" applyBorder="1" applyAlignment="1">
      <alignment horizontal="center" vertical="center"/>
    </xf>
    <xf numFmtId="0" fontId="24" fillId="6" borderId="66" xfId="0" quotePrefix="1" applyFont="1" applyFill="1" applyBorder="1" applyAlignment="1">
      <alignment horizontal="center" vertical="center"/>
    </xf>
    <xf numFmtId="0" fontId="50" fillId="8" borderId="87" xfId="39" applyFont="1" applyFill="1" applyBorder="1">
      <alignment horizontal="center" vertical="center" wrapText="1"/>
    </xf>
    <xf numFmtId="0" fontId="50" fillId="8" borderId="95" xfId="39" applyFont="1" applyFill="1" applyBorder="1">
      <alignment horizontal="center" vertical="center" wrapText="1"/>
    </xf>
    <xf numFmtId="0" fontId="50" fillId="8" borderId="96" xfId="39" applyFont="1" applyFill="1" applyBorder="1">
      <alignment horizontal="center" vertical="center" wrapText="1"/>
    </xf>
    <xf numFmtId="0" fontId="19" fillId="0" borderId="31" xfId="12" applyFont="1" applyBorder="1" applyAlignment="1">
      <alignment horizontal="left" vertical="center" wrapText="1"/>
    </xf>
    <xf numFmtId="0" fontId="19" fillId="0" borderId="30" xfId="12" applyFont="1" applyBorder="1" applyAlignment="1">
      <alignment horizontal="left" vertical="center" wrapText="1"/>
    </xf>
    <xf numFmtId="0" fontId="50" fillId="8" borderId="88" xfId="39" applyFont="1" applyFill="1" applyBorder="1">
      <alignment horizontal="center" vertical="center" wrapText="1"/>
    </xf>
    <xf numFmtId="0" fontId="50" fillId="8" borderId="89" xfId="39" applyFont="1" applyFill="1" applyBorder="1">
      <alignment horizontal="center" vertical="center" wrapText="1"/>
    </xf>
    <xf numFmtId="167" fontId="23" fillId="0" borderId="31" xfId="16" applyFont="1" applyBorder="1" applyAlignment="1">
      <alignment horizontal="left" vertical="center" wrapText="1"/>
    </xf>
    <xf numFmtId="167" fontId="23" fillId="0" borderId="3" xfId="16" applyFont="1" applyBorder="1" applyAlignment="1">
      <alignment horizontal="left" vertical="center" wrapText="1"/>
    </xf>
    <xf numFmtId="0" fontId="50" fillId="8" borderId="90" xfId="39" applyFont="1" applyFill="1" applyBorder="1">
      <alignment horizontal="center" vertical="center" wrapText="1"/>
    </xf>
    <xf numFmtId="0" fontId="50" fillId="8" borderId="91" xfId="39" applyFont="1" applyFill="1" applyBorder="1">
      <alignment horizontal="center" vertical="center" wrapText="1"/>
    </xf>
    <xf numFmtId="0" fontId="50" fillId="8" borderId="92" xfId="39" applyFont="1" applyFill="1" applyBorder="1">
      <alignment horizontal="center" vertical="center" wrapText="1"/>
    </xf>
    <xf numFmtId="0" fontId="50" fillId="8" borderId="71" xfId="39" applyFont="1" applyFill="1" applyBorder="1">
      <alignment horizontal="center" vertical="center" wrapText="1"/>
    </xf>
    <xf numFmtId="0" fontId="50" fillId="8" borderId="0" xfId="39" applyFont="1" applyFill="1">
      <alignment horizontal="center" vertical="center" wrapText="1"/>
    </xf>
    <xf numFmtId="0" fontId="50" fillId="8" borderId="93" xfId="39" applyFont="1" applyFill="1" applyBorder="1">
      <alignment horizontal="center" vertical="center" wrapText="1"/>
    </xf>
    <xf numFmtId="0" fontId="50" fillId="8" borderId="77" xfId="39" applyFont="1" applyFill="1" applyBorder="1">
      <alignment horizontal="center" vertical="center" wrapText="1"/>
    </xf>
    <xf numFmtId="0" fontId="50" fillId="8" borderId="5" xfId="39" applyFont="1" applyFill="1" applyBorder="1">
      <alignment horizontal="center" vertical="center" wrapText="1"/>
    </xf>
    <xf numFmtId="0" fontId="50" fillId="8" borderId="94" xfId="39" applyFont="1" applyFill="1" applyBorder="1">
      <alignment horizontal="center" vertical="center" wrapText="1"/>
    </xf>
    <xf numFmtId="3" fontId="17" fillId="0" borderId="7" xfId="38" quotePrefix="1" applyNumberFormat="1" applyFont="1" applyBorder="1" applyAlignment="1">
      <alignment horizontal="center" vertical="center"/>
    </xf>
    <xf numFmtId="3" fontId="17" fillId="0" borderId="11" xfId="38" quotePrefix="1" applyNumberFormat="1" applyFont="1" applyBorder="1" applyAlignment="1">
      <alignment horizontal="center" vertical="center"/>
    </xf>
    <xf numFmtId="0" fontId="17" fillId="5" borderId="4" xfId="12" applyFont="1" applyFill="1" applyBorder="1" applyAlignment="1">
      <alignment horizontal="left" vertical="center" wrapText="1"/>
    </xf>
    <xf numFmtId="0" fontId="17" fillId="5" borderId="3" xfId="12" applyFont="1" applyFill="1" applyBorder="1" applyAlignment="1">
      <alignment horizontal="left" vertical="center" wrapText="1"/>
    </xf>
    <xf numFmtId="0" fontId="17" fillId="5" borderId="25" xfId="12" applyFont="1" applyFill="1" applyBorder="1" applyAlignment="1">
      <alignment horizontal="left" vertical="center" wrapText="1"/>
    </xf>
    <xf numFmtId="164" fontId="19" fillId="2" borderId="126" xfId="1" applyNumberFormat="1" applyFont="1" applyFill="1" applyBorder="1" applyAlignment="1">
      <alignment horizontal="center" vertical="center"/>
    </xf>
    <xf numFmtId="164" fontId="19" fillId="2" borderId="56" xfId="1" applyNumberFormat="1" applyFont="1" applyFill="1" applyBorder="1" applyAlignment="1">
      <alignment horizontal="center" vertical="center"/>
    </xf>
    <xf numFmtId="164" fontId="19" fillId="2" borderId="129" xfId="1" applyNumberFormat="1" applyFont="1" applyFill="1" applyBorder="1" applyAlignment="1">
      <alignment horizontal="center" vertical="center"/>
    </xf>
    <xf numFmtId="164" fontId="19" fillId="2" borderId="124" xfId="1" quotePrefix="1" applyNumberFormat="1" applyFont="1" applyFill="1" applyBorder="1" applyAlignment="1">
      <alignment horizontal="center" vertical="center" wrapText="1"/>
    </xf>
    <xf numFmtId="164" fontId="19" fillId="2" borderId="127" xfId="1" applyNumberFormat="1" applyFont="1" applyFill="1" applyBorder="1" applyAlignment="1">
      <alignment horizontal="center" vertical="center" wrapText="1"/>
    </xf>
    <xf numFmtId="164" fontId="19" fillId="2" borderId="130" xfId="1" applyNumberFormat="1" applyFont="1" applyFill="1" applyBorder="1" applyAlignment="1">
      <alignment horizontal="center" vertical="center" wrapText="1"/>
    </xf>
    <xf numFmtId="38" fontId="57" fillId="0" borderId="134" xfId="1" applyNumberFormat="1" applyFont="1" applyBorder="1" applyAlignment="1">
      <alignment horizontal="center" vertical="center" wrapText="1"/>
    </xf>
    <xf numFmtId="38" fontId="57" fillId="0" borderId="135" xfId="1" applyNumberFormat="1" applyFont="1" applyBorder="1" applyAlignment="1">
      <alignment horizontal="center" vertical="center" wrapText="1"/>
    </xf>
    <xf numFmtId="38" fontId="57" fillId="0" borderId="136" xfId="1" quotePrefix="1" applyNumberFormat="1" applyFont="1" applyBorder="1" applyAlignment="1">
      <alignment horizontal="center" vertical="center" wrapText="1"/>
    </xf>
    <xf numFmtId="38" fontId="57" fillId="0" borderId="137" xfId="1" quotePrefix="1" applyNumberFormat="1" applyFont="1" applyBorder="1" applyAlignment="1">
      <alignment horizontal="center" vertical="center" wrapText="1"/>
    </xf>
    <xf numFmtId="0" fontId="21" fillId="0" borderId="78" xfId="14" applyFont="1" applyBorder="1" applyAlignment="1">
      <alignment horizontal="right" vertical="center"/>
    </xf>
    <xf numFmtId="0" fontId="21" fillId="0" borderId="57" xfId="14" applyFont="1" applyBorder="1" applyAlignment="1">
      <alignment horizontal="right" vertical="center"/>
    </xf>
    <xf numFmtId="0" fontId="21" fillId="0" borderId="7" xfId="14" applyFont="1" applyBorder="1" applyAlignment="1">
      <alignment horizontal="right" vertical="center"/>
    </xf>
    <xf numFmtId="0" fontId="21" fillId="0" borderId="3" xfId="14" applyFont="1" applyBorder="1" applyAlignment="1">
      <alignment horizontal="right" vertical="center"/>
    </xf>
    <xf numFmtId="0" fontId="50" fillId="8" borderId="34" xfId="39" applyFont="1" applyFill="1" applyBorder="1">
      <alignment horizontal="center" vertical="center" wrapText="1"/>
    </xf>
    <xf numFmtId="0" fontId="50" fillId="8" borderId="102" xfId="39" applyFont="1" applyFill="1" applyBorder="1" applyAlignment="1">
      <alignment horizontal="center" vertical="center" wrapText="1"/>
    </xf>
    <xf numFmtId="0" fontId="50" fillId="8" borderId="103" xfId="39" applyFont="1" applyFill="1" applyBorder="1" applyAlignment="1">
      <alignment horizontal="center" vertical="center" wrapText="1"/>
    </xf>
    <xf numFmtId="0" fontId="50" fillId="8" borderId="104" xfId="39" applyFont="1" applyFill="1" applyBorder="1" applyAlignment="1">
      <alignment horizontal="center" vertical="center" wrapText="1"/>
    </xf>
    <xf numFmtId="38" fontId="21" fillId="2" borderId="7" xfId="2" applyFont="1" applyFill="1" applyBorder="1" applyAlignment="1">
      <alignment horizontal="right" vertical="center"/>
    </xf>
    <xf numFmtId="38" fontId="21" fillId="5" borderId="3" xfId="2" applyFont="1" applyFill="1" applyBorder="1" applyAlignment="1">
      <alignment horizontal="right" vertical="center"/>
    </xf>
    <xf numFmtId="38" fontId="21" fillId="2" borderId="55" xfId="2" applyFont="1" applyFill="1" applyBorder="1" applyAlignment="1">
      <alignment horizontal="right" vertical="center"/>
    </xf>
    <xf numFmtId="0" fontId="19" fillId="5" borderId="4" xfId="12" applyFont="1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38" fontId="21" fillId="2" borderId="78" xfId="2" applyFont="1" applyFill="1" applyBorder="1" applyAlignment="1">
      <alignment horizontal="right" vertical="center"/>
    </xf>
    <xf numFmtId="38" fontId="21" fillId="2" borderId="57" xfId="2" applyFont="1" applyFill="1" applyBorder="1" applyAlignment="1">
      <alignment horizontal="right" vertical="center"/>
    </xf>
    <xf numFmtId="38" fontId="21" fillId="2" borderId="59" xfId="2" applyFont="1" applyFill="1" applyBorder="1" applyAlignment="1">
      <alignment horizontal="right" vertical="center"/>
    </xf>
    <xf numFmtId="0" fontId="17" fillId="5" borderId="4" xfId="12" applyFont="1" applyFill="1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17" fillId="0" borderId="4" xfId="12" applyFont="1" applyBorder="1" applyAlignment="1">
      <alignment vertical="center" wrapText="1"/>
    </xf>
    <xf numFmtId="0" fontId="17" fillId="0" borderId="3" xfId="12" applyFont="1" applyBorder="1" applyAlignment="1">
      <alignment vertical="center" wrapText="1"/>
    </xf>
    <xf numFmtId="0" fontId="23" fillId="0" borderId="4" xfId="12" applyFont="1" applyBorder="1" applyAlignment="1">
      <alignment horizontal="left" vertical="center" wrapText="1"/>
    </xf>
    <xf numFmtId="0" fontId="0" fillId="0" borderId="11" xfId="0" applyBorder="1" applyAlignment="1">
      <alignment vertical="center" wrapText="1"/>
    </xf>
    <xf numFmtId="0" fontId="17" fillId="5" borderId="4" xfId="12" applyFont="1" applyFill="1" applyBorder="1" applyAlignment="1">
      <alignment horizontal="left" vertical="top" wrapText="1"/>
    </xf>
    <xf numFmtId="0" fontId="17" fillId="5" borderId="3" xfId="12" applyFont="1" applyFill="1" applyBorder="1" applyAlignment="1">
      <alignment horizontal="left" vertical="top" wrapText="1"/>
    </xf>
    <xf numFmtId="0" fontId="17" fillId="5" borderId="25" xfId="12" applyFont="1" applyFill="1" applyBorder="1" applyAlignment="1">
      <alignment horizontal="left" vertical="top" wrapText="1"/>
    </xf>
    <xf numFmtId="0" fontId="24" fillId="6" borderId="27" xfId="0" quotePrefix="1" applyFont="1" applyFill="1" applyBorder="1" applyAlignment="1">
      <alignment horizontal="center" vertical="center"/>
    </xf>
    <xf numFmtId="0" fontId="24" fillId="6" borderId="29" xfId="0" quotePrefix="1" applyFont="1" applyFill="1" applyBorder="1" applyAlignment="1">
      <alignment horizontal="center" vertical="center"/>
    </xf>
    <xf numFmtId="0" fontId="24" fillId="6" borderId="79" xfId="39" applyFont="1" applyFill="1" applyBorder="1">
      <alignment horizontal="center" vertical="center" wrapText="1"/>
    </xf>
    <xf numFmtId="0" fontId="24" fillId="6" borderId="20" xfId="39" applyFont="1" applyFill="1" applyBorder="1">
      <alignment horizontal="center" vertical="center" wrapText="1"/>
    </xf>
    <xf numFmtId="0" fontId="24" fillId="6" borderId="80" xfId="39" applyFont="1" applyFill="1" applyBorder="1" applyAlignment="1">
      <alignment horizontal="center" vertical="center"/>
    </xf>
    <xf numFmtId="0" fontId="24" fillId="6" borderId="0" xfId="39" applyFont="1" applyFill="1" applyAlignment="1">
      <alignment horizontal="center" vertical="center"/>
    </xf>
    <xf numFmtId="0" fontId="24" fillId="6" borderId="21" xfId="39" applyFont="1" applyFill="1" applyBorder="1" applyAlignment="1">
      <alignment horizontal="center" vertical="center"/>
    </xf>
    <xf numFmtId="0" fontId="24" fillId="6" borderId="5" xfId="39" applyFont="1" applyFill="1" applyBorder="1" applyAlignment="1">
      <alignment horizontal="center" vertical="center"/>
    </xf>
    <xf numFmtId="0" fontId="24" fillId="6" borderId="38" xfId="39" applyFont="1" applyFill="1" applyBorder="1">
      <alignment horizontal="center" vertical="center" wrapText="1"/>
    </xf>
    <xf numFmtId="0" fontId="24" fillId="6" borderId="6" xfId="39" applyFont="1" applyFill="1" applyBorder="1">
      <alignment horizontal="center" vertical="center" wrapText="1"/>
    </xf>
    <xf numFmtId="4" fontId="24" fillId="6" borderId="5" xfId="39" applyNumberFormat="1" applyFont="1" applyFill="1" applyBorder="1">
      <alignment horizontal="center" vertical="center" wrapText="1"/>
    </xf>
    <xf numFmtId="4" fontId="24" fillId="6" borderId="13" xfId="39" applyNumberFormat="1" applyFont="1" applyFill="1" applyBorder="1">
      <alignment horizontal="center" vertical="center" wrapText="1"/>
    </xf>
    <xf numFmtId="4" fontId="24" fillId="6" borderId="42" xfId="39" applyNumberFormat="1" applyFont="1" applyFill="1" applyBorder="1">
      <alignment horizontal="center" vertical="center" wrapText="1"/>
    </xf>
    <xf numFmtId="0" fontId="24" fillId="6" borderId="21" xfId="0" applyFont="1" applyFill="1" applyBorder="1" applyAlignment="1">
      <alignment horizontal="center" vertical="center"/>
    </xf>
    <xf numFmtId="0" fontId="24" fillId="6" borderId="5" xfId="0" applyFont="1" applyFill="1" applyBorder="1" applyAlignment="1">
      <alignment horizontal="center" vertical="center"/>
    </xf>
    <xf numFmtId="38" fontId="64" fillId="6" borderId="0" xfId="37" applyNumberFormat="1" applyFont="1" applyFill="1" applyAlignment="1">
      <alignment vertical="center"/>
    </xf>
  </cellXfs>
  <cellStyles count="66">
    <cellStyle name="Comma" xfId="1" builtinId="3"/>
    <cellStyle name="Comma [0]" xfId="2" builtinId="6"/>
    <cellStyle name="Comma [0] 2" xfId="3" xr:uid="{00000000-0005-0000-0000-000002000000}"/>
    <cellStyle name="Comma [0] 2 2" xfId="4" xr:uid="{00000000-0005-0000-0000-000003000000}"/>
    <cellStyle name="Comma [0] 3" xfId="5" xr:uid="{00000000-0005-0000-0000-000004000000}"/>
    <cellStyle name="Comma 13 4" xfId="6" xr:uid="{00000000-0005-0000-0000-000005000000}"/>
    <cellStyle name="Comma 2" xfId="7" xr:uid="{00000000-0005-0000-0000-000006000000}"/>
    <cellStyle name="Comma 2 3" xfId="51" xr:uid="{00000000-0005-0000-0000-000007000000}"/>
    <cellStyle name="Comma 3" xfId="8" xr:uid="{00000000-0005-0000-0000-000008000000}"/>
    <cellStyle name="Comma 38 2 3" xfId="50" xr:uid="{00000000-0005-0000-0000-000009000000}"/>
    <cellStyle name="Comma 38 2 3 2" xfId="57" xr:uid="{00000000-0005-0000-0000-00000A000000}"/>
    <cellStyle name="Comma 38 2 3 3" xfId="62" xr:uid="{00000000-0005-0000-0000-00000B000000}"/>
    <cellStyle name="Comma 38 2 5" xfId="41" xr:uid="{00000000-0005-0000-0000-00000C000000}"/>
    <cellStyle name="Comma 38 7" xfId="53" xr:uid="{00000000-0005-0000-0000-00000D000000}"/>
    <cellStyle name="Comma 38 7 2" xfId="59" xr:uid="{00000000-0005-0000-0000-00000E000000}"/>
    <cellStyle name="Comma 38 7 3" xfId="64" xr:uid="{00000000-0005-0000-0000-00000F000000}"/>
    <cellStyle name="Comma 4" xfId="9" xr:uid="{00000000-0005-0000-0000-000010000000}"/>
    <cellStyle name="Comma 46" xfId="47" xr:uid="{00000000-0005-0000-0000-000011000000}"/>
    <cellStyle name="Comma 46 2" xfId="55" xr:uid="{00000000-0005-0000-0000-000012000000}"/>
    <cellStyle name="Comma 5" xfId="10" xr:uid="{00000000-0005-0000-0000-000013000000}"/>
    <cellStyle name="Comma 6" xfId="11" xr:uid="{00000000-0005-0000-0000-000014000000}"/>
    <cellStyle name="Comma 7" xfId="43" xr:uid="{00000000-0005-0000-0000-000015000000}"/>
    <cellStyle name="Description" xfId="12" xr:uid="{00000000-0005-0000-0000-000016000000}"/>
    <cellStyle name="Description 2" xfId="13" xr:uid="{00000000-0005-0000-0000-000017000000}"/>
    <cellStyle name="Description 2 2" xfId="14" xr:uid="{00000000-0005-0000-0000-000018000000}"/>
    <cellStyle name="Description 3" xfId="15" xr:uid="{00000000-0005-0000-0000-000019000000}"/>
    <cellStyle name="Heading1" xfId="16" xr:uid="{00000000-0005-0000-0000-00001A000000}"/>
    <cellStyle name="Heading1 1" xfId="17" xr:uid="{00000000-0005-0000-0000-00001B000000}"/>
    <cellStyle name="Heading1 2" xfId="18" xr:uid="{00000000-0005-0000-0000-00001C000000}"/>
    <cellStyle name="Heading1 3" xfId="19" xr:uid="{00000000-0005-0000-0000-00001D000000}"/>
    <cellStyle name="Heading1 4" xfId="20" xr:uid="{00000000-0005-0000-0000-00001E000000}"/>
    <cellStyle name="List Number 1" xfId="21" xr:uid="{00000000-0005-0000-0000-00001F000000}"/>
    <cellStyle name="Normal" xfId="0" builtinId="0"/>
    <cellStyle name="Normal 10 2" xfId="22" xr:uid="{00000000-0005-0000-0000-000021000000}"/>
    <cellStyle name="Normal 11 3" xfId="23" xr:uid="{00000000-0005-0000-0000-000022000000}"/>
    <cellStyle name="Normal 19 4" xfId="24" xr:uid="{00000000-0005-0000-0000-000023000000}"/>
    <cellStyle name="Normal 2" xfId="25" xr:uid="{00000000-0005-0000-0000-000024000000}"/>
    <cellStyle name="Normal 2 2" xfId="26" xr:uid="{00000000-0005-0000-0000-000025000000}"/>
    <cellStyle name="Normal 2 3" xfId="48" xr:uid="{00000000-0005-0000-0000-000026000000}"/>
    <cellStyle name="Normal 2 3 2" xfId="27" xr:uid="{00000000-0005-0000-0000-000027000000}"/>
    <cellStyle name="Normal 2 4" xfId="28" xr:uid="{00000000-0005-0000-0000-000028000000}"/>
    <cellStyle name="Normal 2 6" xfId="40" xr:uid="{00000000-0005-0000-0000-000029000000}"/>
    <cellStyle name="Normal 3" xfId="29" xr:uid="{00000000-0005-0000-0000-00002A000000}"/>
    <cellStyle name="Normal 3 2" xfId="30" xr:uid="{00000000-0005-0000-0000-00002B000000}"/>
    <cellStyle name="Normal 3 3" xfId="31" xr:uid="{00000000-0005-0000-0000-00002C000000}"/>
    <cellStyle name="Normal 3 3 2" xfId="65" xr:uid="{D390CF05-4FCF-4A70-9673-6F09E78763CB}"/>
    <cellStyle name="Normal 39 2" xfId="45" xr:uid="{00000000-0005-0000-0000-00002D000000}"/>
    <cellStyle name="Normal 39 3" xfId="52" xr:uid="{00000000-0005-0000-0000-00002E000000}"/>
    <cellStyle name="Normal 39 3 2" xfId="58" xr:uid="{00000000-0005-0000-0000-00002F000000}"/>
    <cellStyle name="Normal 39 3 3" xfId="63" xr:uid="{00000000-0005-0000-0000-000030000000}"/>
    <cellStyle name="Normal 4" xfId="32" xr:uid="{00000000-0005-0000-0000-000031000000}"/>
    <cellStyle name="Normal 41" xfId="49" xr:uid="{00000000-0005-0000-0000-000032000000}"/>
    <cellStyle name="Normal 41 2" xfId="56" xr:uid="{00000000-0005-0000-0000-000033000000}"/>
    <cellStyle name="Normal 41 3" xfId="61" xr:uid="{00000000-0005-0000-0000-000034000000}"/>
    <cellStyle name="Normal 46" xfId="42" xr:uid="{00000000-0005-0000-0000-000035000000}"/>
    <cellStyle name="Normal 49" xfId="46" xr:uid="{00000000-0005-0000-0000-000036000000}"/>
    <cellStyle name="Normal 49 2" xfId="54" xr:uid="{00000000-0005-0000-0000-000037000000}"/>
    <cellStyle name="Normal 49 3" xfId="60" xr:uid="{00000000-0005-0000-0000-000038000000}"/>
    <cellStyle name="Normal 5" xfId="33" xr:uid="{00000000-0005-0000-0000-000039000000}"/>
    <cellStyle name="Normal 6" xfId="34" xr:uid="{00000000-0005-0000-0000-00003A000000}"/>
    <cellStyle name="Normal 7" xfId="44" xr:uid="{00000000-0005-0000-0000-00003B000000}"/>
    <cellStyle name="Normal_1055-E-BOQ (Price)_1 2" xfId="35" xr:uid="{00000000-0005-0000-0000-00003C000000}"/>
    <cellStyle name="Normal_Sheet1" xfId="36" xr:uid="{00000000-0005-0000-0000-00003E000000}"/>
    <cellStyle name="Normal_Sheet1 2" xfId="37" xr:uid="{00000000-0005-0000-0000-00003F000000}"/>
    <cellStyle name="Qty Unit" xfId="38" xr:uid="{00000000-0005-0000-0000-000040000000}"/>
    <cellStyle name="Section1" xfId="39" xr:uid="{00000000-0005-0000-0000-00004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zoomScaleNormal="100" zoomScaleSheetLayoutView="100" workbookViewId="0">
      <selection activeCell="J14" sqref="J14"/>
    </sheetView>
  </sheetViews>
  <sheetFormatPr defaultColWidth="9.28515625" defaultRowHeight="17.25" x14ac:dyDescent="0.3"/>
  <cols>
    <col min="1" max="1" width="11.5703125" style="397" customWidth="1"/>
    <col min="2" max="2" width="48.5703125" style="397" customWidth="1"/>
    <col min="3" max="3" width="18.85546875" style="397" customWidth="1"/>
    <col min="4" max="4" width="18.28515625" style="397" customWidth="1"/>
    <col min="5" max="5" width="21.7109375" style="397" customWidth="1"/>
    <col min="6" max="16384" width="9.28515625" style="397"/>
  </cols>
  <sheetData>
    <row r="1" spans="1:5" x14ac:dyDescent="0.3">
      <c r="A1" s="719" t="s">
        <v>809</v>
      </c>
      <c r="B1" s="720"/>
      <c r="C1" s="720"/>
      <c r="D1" s="720"/>
      <c r="E1" s="721"/>
    </row>
    <row r="2" spans="1:5" x14ac:dyDescent="0.3">
      <c r="A2" s="722"/>
      <c r="B2" s="723"/>
      <c r="C2" s="723"/>
      <c r="D2" s="723"/>
      <c r="E2" s="724"/>
    </row>
    <row r="3" spans="1:5" ht="18" thickBot="1" x14ac:dyDescent="0.35">
      <c r="A3" s="722"/>
      <c r="B3" s="723"/>
      <c r="C3" s="723"/>
      <c r="D3" s="723"/>
      <c r="E3" s="724"/>
    </row>
    <row r="4" spans="1:5" s="407" customFormat="1" ht="28.5" x14ac:dyDescent="0.3">
      <c r="A4" s="405" t="s">
        <v>740</v>
      </c>
      <c r="B4" s="405" t="s">
        <v>743</v>
      </c>
      <c r="C4" s="405" t="s">
        <v>510</v>
      </c>
      <c r="D4" s="405" t="s">
        <v>498</v>
      </c>
      <c r="E4" s="406" t="s">
        <v>499</v>
      </c>
    </row>
    <row r="5" spans="1:5" s="401" customFormat="1" x14ac:dyDescent="0.2">
      <c r="A5" s="398"/>
      <c r="B5" s="399"/>
      <c r="C5" s="400"/>
      <c r="D5" s="400"/>
      <c r="E5" s="400"/>
    </row>
    <row r="6" spans="1:5" s="401" customFormat="1" ht="23.25" x14ac:dyDescent="0.2">
      <c r="A6" s="398" t="s">
        <v>741</v>
      </c>
      <c r="B6" s="648" t="s">
        <v>771</v>
      </c>
      <c r="C6" s="400"/>
      <c r="D6" s="400"/>
      <c r="E6" s="400"/>
    </row>
    <row r="7" spans="1:5" s="401" customFormat="1" ht="23.25" x14ac:dyDescent="0.2">
      <c r="A7" s="398" t="s">
        <v>768</v>
      </c>
      <c r="B7" s="649" t="s">
        <v>766</v>
      </c>
      <c r="C7" s="650">
        <f>'M&amp;P BOQ 17'!I201</f>
        <v>24893699.32</v>
      </c>
      <c r="D7" s="650">
        <f>'M&amp;P BOQ 17'!K201</f>
        <v>3808621.8000000003</v>
      </c>
      <c r="E7" s="650">
        <f>D7+C7</f>
        <v>28702321.120000001</v>
      </c>
    </row>
    <row r="8" spans="1:5" s="401" customFormat="1" ht="23.25" x14ac:dyDescent="0.2">
      <c r="A8" s="398" t="s">
        <v>769</v>
      </c>
      <c r="B8" s="649" t="s">
        <v>767</v>
      </c>
      <c r="C8" s="650">
        <f>'M&amp;P BOQ 18'!I201</f>
        <v>26014167.52</v>
      </c>
      <c r="D8" s="650">
        <f>'M&amp;P BOQ 18'!K201</f>
        <v>3431812.8</v>
      </c>
      <c r="E8" s="650">
        <f>D8+C8</f>
        <v>29445980.32</v>
      </c>
    </row>
    <row r="9" spans="1:5" s="401" customFormat="1" ht="23.25" x14ac:dyDescent="0.2">
      <c r="A9" s="398"/>
      <c r="B9" s="649"/>
      <c r="C9" s="650"/>
      <c r="D9" s="650"/>
      <c r="E9" s="650"/>
    </row>
    <row r="10" spans="1:5" s="401" customFormat="1" ht="23.25" x14ac:dyDescent="0.2">
      <c r="A10" s="398" t="s">
        <v>742</v>
      </c>
      <c r="B10" s="648" t="s">
        <v>770</v>
      </c>
      <c r="C10" s="650"/>
      <c r="D10" s="650"/>
      <c r="E10" s="650"/>
    </row>
    <row r="11" spans="1:5" s="401" customFormat="1" ht="23.25" x14ac:dyDescent="0.2">
      <c r="A11" s="398" t="s">
        <v>768</v>
      </c>
      <c r="B11" s="649" t="s">
        <v>766</v>
      </c>
      <c r="C11" s="650">
        <f>'FF BOQ 17'!G65</f>
        <v>6343532</v>
      </c>
      <c r="D11" s="650">
        <f>'FF BOQ 17'!I65</f>
        <v>1366574.4</v>
      </c>
      <c r="E11" s="650">
        <f t="shared" ref="E11:E12" si="0">D11+C11</f>
        <v>7710106.4000000004</v>
      </c>
    </row>
    <row r="12" spans="1:5" s="401" customFormat="1" ht="23.25" x14ac:dyDescent="0.2">
      <c r="A12" s="398" t="s">
        <v>769</v>
      </c>
      <c r="B12" s="649" t="s">
        <v>767</v>
      </c>
      <c r="C12" s="650">
        <f>'FF BOQ 18'!G65</f>
        <v>6469436</v>
      </c>
      <c r="D12" s="650">
        <f>'FF BOQ 18'!I65</f>
        <v>1390413.6</v>
      </c>
      <c r="E12" s="650">
        <f t="shared" si="0"/>
        <v>7859849.5999999996</v>
      </c>
    </row>
    <row r="13" spans="1:5" s="401" customFormat="1" ht="21" x14ac:dyDescent="0.2">
      <c r="A13" s="398"/>
      <c r="B13" s="399"/>
      <c r="C13" s="651"/>
      <c r="D13" s="652"/>
      <c r="E13" s="652"/>
    </row>
    <row r="14" spans="1:5" ht="30.75" customHeight="1" x14ac:dyDescent="0.3">
      <c r="A14" s="398"/>
      <c r="B14" s="402" t="s">
        <v>744</v>
      </c>
      <c r="C14" s="653">
        <f>SUM(C5:C12)</f>
        <v>63720834.840000004</v>
      </c>
      <c r="D14" s="653">
        <f>SUM(D5:D12)</f>
        <v>9997422.5999999996</v>
      </c>
      <c r="E14" s="653">
        <f>SUM(E5:E12)</f>
        <v>73718257.439999998</v>
      </c>
    </row>
    <row r="15" spans="1:5" x14ac:dyDescent="0.3">
      <c r="A15" s="403"/>
      <c r="B15" s="404"/>
    </row>
    <row r="17" spans="5:5" x14ac:dyDescent="0.3">
      <c r="E17" s="715"/>
    </row>
  </sheetData>
  <mergeCells count="1">
    <mergeCell ref="A1:E3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AD7FB-3EFE-4209-9E6D-6493F69151F9}">
  <sheetPr>
    <pageSetUpPr fitToPage="1"/>
  </sheetPr>
  <dimension ref="A1:R201"/>
  <sheetViews>
    <sheetView showGridLines="0" tabSelected="1" topLeftCell="B40" zoomScaleNormal="100" zoomScaleSheetLayoutView="100" workbookViewId="0">
      <selection activeCell="Q63" sqref="Q63"/>
    </sheetView>
  </sheetViews>
  <sheetFormatPr defaultColWidth="9.140625" defaultRowHeight="12.75" x14ac:dyDescent="0.2"/>
  <cols>
    <col min="1" max="1" width="8.7109375" style="66" customWidth="1"/>
    <col min="2" max="2" width="20.7109375" style="7" customWidth="1"/>
    <col min="3" max="3" width="25.7109375" style="7" customWidth="1"/>
    <col min="4" max="4" width="45.85546875" style="7" customWidth="1"/>
    <col min="5" max="5" width="11.42578125" style="66" customWidth="1"/>
    <col min="6" max="6" width="10.85546875" style="66" customWidth="1"/>
    <col min="7" max="7" width="8" style="66" customWidth="1"/>
    <col min="8" max="8" width="15.5703125" style="66" customWidth="1"/>
    <col min="9" max="9" width="14.7109375" style="66" customWidth="1"/>
    <col min="10" max="10" width="11.28515625" style="20" customWidth="1"/>
    <col min="11" max="11" width="12.85546875" style="20" customWidth="1"/>
    <col min="12" max="12" width="11.28515625" style="20" customWidth="1"/>
    <col min="13" max="13" width="15.140625" style="20" customWidth="1"/>
    <col min="14" max="14" width="16.42578125" style="66" customWidth="1"/>
    <col min="15" max="15" width="11.42578125" style="66" customWidth="1"/>
    <col min="16" max="16" width="14.85546875" style="20" customWidth="1"/>
    <col min="17" max="17" width="14.5703125" style="7" customWidth="1"/>
    <col min="18" max="18" width="10.5703125" style="7" bestFit="1" customWidth="1"/>
    <col min="19" max="16384" width="9.140625" style="7"/>
  </cols>
  <sheetData>
    <row r="1" spans="1:18" s="1" customFormat="1" ht="15" x14ac:dyDescent="0.2">
      <c r="A1" s="760" t="s">
        <v>494</v>
      </c>
      <c r="B1" s="760"/>
      <c r="C1" s="760"/>
      <c r="D1" s="760"/>
      <c r="E1" s="760"/>
      <c r="F1" s="760"/>
      <c r="G1" s="760"/>
      <c r="H1" s="760"/>
      <c r="I1" s="760"/>
      <c r="J1" s="760"/>
      <c r="K1" s="760"/>
      <c r="L1" s="760"/>
      <c r="M1" s="760"/>
      <c r="N1" s="760"/>
      <c r="O1" s="760"/>
      <c r="P1" s="760"/>
    </row>
    <row r="2" spans="1:18" s="1" customFormat="1" ht="6.95" customHeight="1" thickBot="1" x14ac:dyDescent="0.25">
      <c r="E2" s="6"/>
      <c r="F2" s="6"/>
      <c r="G2" s="6"/>
      <c r="H2" s="6"/>
      <c r="I2" s="6"/>
      <c r="J2" s="6"/>
      <c r="N2" s="654"/>
      <c r="O2" s="654"/>
    </row>
    <row r="3" spans="1:18" s="439" customFormat="1" ht="13.7" customHeight="1" x14ac:dyDescent="0.2">
      <c r="A3" s="761" t="s">
        <v>27</v>
      </c>
      <c r="B3" s="764" t="s">
        <v>28</v>
      </c>
      <c r="C3" s="765"/>
      <c r="D3" s="766"/>
      <c r="E3" s="773" t="s">
        <v>695</v>
      </c>
      <c r="F3" s="776" t="s">
        <v>808</v>
      </c>
      <c r="G3" s="779" t="s">
        <v>26</v>
      </c>
      <c r="H3" s="782" t="s">
        <v>139</v>
      </c>
      <c r="I3" s="783"/>
      <c r="J3" s="782" t="s">
        <v>512</v>
      </c>
      <c r="K3" s="783"/>
      <c r="L3" s="782" t="s">
        <v>141</v>
      </c>
      <c r="M3" s="783"/>
      <c r="N3" s="784" t="s">
        <v>651</v>
      </c>
      <c r="O3" s="784" t="s">
        <v>652</v>
      </c>
      <c r="P3" s="787" t="s">
        <v>653</v>
      </c>
    </row>
    <row r="4" spans="1:18" s="439" customFormat="1" ht="13.7" customHeight="1" x14ac:dyDescent="0.2">
      <c r="A4" s="762"/>
      <c r="B4" s="767"/>
      <c r="C4" s="768"/>
      <c r="D4" s="769"/>
      <c r="E4" s="774"/>
      <c r="F4" s="777"/>
      <c r="G4" s="780"/>
      <c r="H4" s="440" t="s">
        <v>24</v>
      </c>
      <c r="I4" s="440" t="s">
        <v>25</v>
      </c>
      <c r="J4" s="440" t="s">
        <v>24</v>
      </c>
      <c r="K4" s="440" t="s">
        <v>25</v>
      </c>
      <c r="L4" s="440" t="s">
        <v>24</v>
      </c>
      <c r="M4" s="440" t="s">
        <v>25</v>
      </c>
      <c r="N4" s="785"/>
      <c r="O4" s="785"/>
      <c r="P4" s="788"/>
    </row>
    <row r="5" spans="1:18" s="439" customFormat="1" ht="13.7" customHeight="1" thickBot="1" x14ac:dyDescent="0.25">
      <c r="A5" s="763"/>
      <c r="B5" s="770"/>
      <c r="C5" s="771"/>
      <c r="D5" s="772"/>
      <c r="E5" s="775"/>
      <c r="F5" s="778"/>
      <c r="G5" s="781"/>
      <c r="H5" s="441" t="s">
        <v>23</v>
      </c>
      <c r="I5" s="441" t="s">
        <v>23</v>
      </c>
      <c r="J5" s="441" t="s">
        <v>23</v>
      </c>
      <c r="K5" s="441" t="s">
        <v>23</v>
      </c>
      <c r="L5" s="441" t="s">
        <v>23</v>
      </c>
      <c r="M5" s="441" t="s">
        <v>23</v>
      </c>
      <c r="N5" s="786"/>
      <c r="O5" s="786"/>
      <c r="P5" s="789"/>
    </row>
    <row r="6" spans="1:18" s="447" customFormat="1" ht="27" customHeight="1" x14ac:dyDescent="0.2">
      <c r="A6" s="442">
        <v>1</v>
      </c>
      <c r="B6" s="443" t="s">
        <v>746</v>
      </c>
      <c r="C6" s="444"/>
      <c r="D6" s="444"/>
      <c r="E6" s="444"/>
      <c r="F6" s="445"/>
      <c r="G6" s="445"/>
      <c r="H6" s="444"/>
      <c r="I6" s="444"/>
      <c r="J6" s="444"/>
      <c r="K6" s="444"/>
      <c r="L6" s="444"/>
      <c r="M6" s="446"/>
      <c r="N6" s="655"/>
      <c r="O6" s="655"/>
      <c r="P6" s="446"/>
    </row>
    <row r="7" spans="1:18" s="447" customFormat="1" ht="63" customHeight="1" x14ac:dyDescent="0.2">
      <c r="A7" s="448">
        <v>1.1000000000000001</v>
      </c>
      <c r="B7" s="790" t="s">
        <v>762</v>
      </c>
      <c r="C7" s="758"/>
      <c r="D7" s="791"/>
      <c r="E7" s="449">
        <v>1</v>
      </c>
      <c r="F7" s="450">
        <v>1</v>
      </c>
      <c r="G7" s="451" t="s">
        <v>83</v>
      </c>
      <c r="H7" s="452">
        <v>817000</v>
      </c>
      <c r="I7" s="453">
        <f>H7*E7</f>
        <v>817000</v>
      </c>
      <c r="J7" s="454">
        <v>10320</v>
      </c>
      <c r="K7" s="454">
        <f>J7*E7</f>
        <v>10320</v>
      </c>
      <c r="L7" s="454">
        <f t="shared" ref="L7:M7" si="0">J7+H7</f>
        <v>827320</v>
      </c>
      <c r="M7" s="454">
        <f t="shared" si="0"/>
        <v>827320</v>
      </c>
      <c r="N7" s="656" t="s">
        <v>793</v>
      </c>
      <c r="O7" s="656" t="s">
        <v>772</v>
      </c>
      <c r="P7" s="455" t="s">
        <v>795</v>
      </c>
      <c r="R7" s="716"/>
    </row>
    <row r="8" spans="1:18" s="447" customFormat="1" ht="49.5" customHeight="1" x14ac:dyDescent="0.2">
      <c r="A8" s="448">
        <v>1.2</v>
      </c>
      <c r="B8" s="757" t="s">
        <v>654</v>
      </c>
      <c r="C8" s="758"/>
      <c r="D8" s="759"/>
      <c r="E8" s="456">
        <v>1</v>
      </c>
      <c r="F8" s="457">
        <v>1</v>
      </c>
      <c r="G8" s="458" t="s">
        <v>30</v>
      </c>
      <c r="H8" s="454">
        <v>8600</v>
      </c>
      <c r="I8" s="453">
        <f>H8*E8</f>
        <v>8600</v>
      </c>
      <c r="J8" s="454">
        <v>1720</v>
      </c>
      <c r="K8" s="454">
        <f>J8*E8</f>
        <v>1720</v>
      </c>
      <c r="L8" s="454">
        <f t="shared" ref="L8:L9" si="1">J8+H8</f>
        <v>10320</v>
      </c>
      <c r="M8" s="454">
        <f t="shared" ref="M8:M9" si="2">K8+I8</f>
        <v>10320</v>
      </c>
      <c r="N8" s="656" t="s">
        <v>792</v>
      </c>
      <c r="O8" s="656" t="s">
        <v>788</v>
      </c>
      <c r="P8" s="455"/>
      <c r="R8" s="716"/>
    </row>
    <row r="9" spans="1:18" s="465" customFormat="1" ht="29.25" customHeight="1" thickBot="1" x14ac:dyDescent="0.25">
      <c r="A9" s="448">
        <v>1.3</v>
      </c>
      <c r="B9" s="459" t="s">
        <v>4</v>
      </c>
      <c r="C9" s="460"/>
      <c r="D9" s="461"/>
      <c r="E9" s="456">
        <v>1</v>
      </c>
      <c r="F9" s="462">
        <v>1</v>
      </c>
      <c r="G9" s="463" t="s">
        <v>83</v>
      </c>
      <c r="H9" s="454"/>
      <c r="I9" s="453">
        <f>H9*E9</f>
        <v>0</v>
      </c>
      <c r="J9" s="454">
        <v>8600</v>
      </c>
      <c r="K9" s="454">
        <f>J9*E9</f>
        <v>8600</v>
      </c>
      <c r="L9" s="454">
        <f t="shared" si="1"/>
        <v>8600</v>
      </c>
      <c r="M9" s="454">
        <f t="shared" si="2"/>
        <v>8600</v>
      </c>
      <c r="N9" s="657"/>
      <c r="O9" s="657"/>
      <c r="P9" s="464"/>
      <c r="Q9" s="447"/>
      <c r="R9" s="716"/>
    </row>
    <row r="10" spans="1:18" s="447" customFormat="1" ht="15" customHeight="1" thickBot="1" x14ac:dyDescent="0.25">
      <c r="A10" s="792" t="s">
        <v>147</v>
      </c>
      <c r="B10" s="793"/>
      <c r="C10" s="793"/>
      <c r="D10" s="793"/>
      <c r="E10" s="793"/>
      <c r="F10" s="794"/>
      <c r="G10" s="795"/>
      <c r="H10" s="466"/>
      <c r="I10" s="467"/>
      <c r="J10" s="468">
        <v>0</v>
      </c>
      <c r="K10" s="467"/>
      <c r="L10" s="468"/>
      <c r="M10" s="469"/>
      <c r="N10" s="658"/>
      <c r="O10" s="658"/>
      <c r="P10" s="469"/>
      <c r="R10" s="716"/>
    </row>
    <row r="11" spans="1:18" s="479" customFormat="1" ht="15" customHeight="1" x14ac:dyDescent="0.2">
      <c r="A11" s="470">
        <v>2</v>
      </c>
      <c r="B11" s="471" t="s">
        <v>635</v>
      </c>
      <c r="C11" s="472"/>
      <c r="D11" s="473"/>
      <c r="E11" s="474"/>
      <c r="F11" s="474"/>
      <c r="G11" s="474"/>
      <c r="H11" s="475"/>
      <c r="I11" s="474"/>
      <c r="J11" s="476">
        <v>0</v>
      </c>
      <c r="K11" s="477"/>
      <c r="L11" s="477"/>
      <c r="M11" s="478"/>
      <c r="N11" s="659"/>
      <c r="O11" s="659"/>
      <c r="P11" s="478"/>
      <c r="Q11" s="447"/>
      <c r="R11" s="716"/>
    </row>
    <row r="12" spans="1:18" s="485" customFormat="1" ht="55.5" customHeight="1" x14ac:dyDescent="0.2">
      <c r="A12" s="480">
        <v>2.1</v>
      </c>
      <c r="B12" s="757" t="s">
        <v>747</v>
      </c>
      <c r="C12" s="758"/>
      <c r="D12" s="759"/>
      <c r="E12" s="481">
        <v>21</v>
      </c>
      <c r="F12" s="482">
        <v>21</v>
      </c>
      <c r="G12" s="483" t="s">
        <v>29</v>
      </c>
      <c r="H12" s="454">
        <v>141900</v>
      </c>
      <c r="I12" s="453">
        <f>H12*E12</f>
        <v>2979900</v>
      </c>
      <c r="J12" s="454">
        <v>8600</v>
      </c>
      <c r="K12" s="454">
        <f>J12*E12</f>
        <v>180600</v>
      </c>
      <c r="L12" s="454">
        <f t="shared" ref="L12:L14" si="3">J12+H12</f>
        <v>150500</v>
      </c>
      <c r="M12" s="454">
        <f t="shared" ref="M12:M14" si="4">K12+I12</f>
        <v>3160500</v>
      </c>
      <c r="N12" s="656" t="s">
        <v>794</v>
      </c>
      <c r="O12" s="656" t="s">
        <v>773</v>
      </c>
      <c r="P12" s="455" t="s">
        <v>795</v>
      </c>
      <c r="Q12" s="447"/>
      <c r="R12" s="716"/>
    </row>
    <row r="13" spans="1:18" s="485" customFormat="1" ht="30" customHeight="1" x14ac:dyDescent="0.2">
      <c r="A13" s="480">
        <v>2.2000000000000002</v>
      </c>
      <c r="B13" s="486" t="s">
        <v>644</v>
      </c>
      <c r="C13" s="487"/>
      <c r="D13" s="487"/>
      <c r="E13" s="481">
        <v>1</v>
      </c>
      <c r="F13" s="482">
        <v>1</v>
      </c>
      <c r="G13" s="483" t="s">
        <v>30</v>
      </c>
      <c r="H13" s="454">
        <v>25800</v>
      </c>
      <c r="I13" s="453">
        <f>H13*E13</f>
        <v>25800</v>
      </c>
      <c r="J13" s="454">
        <v>8600</v>
      </c>
      <c r="K13" s="454">
        <f>J13*E13</f>
        <v>8600</v>
      </c>
      <c r="L13" s="454">
        <f t="shared" si="3"/>
        <v>34400</v>
      </c>
      <c r="M13" s="454">
        <f t="shared" si="4"/>
        <v>34400</v>
      </c>
      <c r="N13" s="660"/>
      <c r="O13" s="660"/>
      <c r="P13" s="484"/>
      <c r="Q13" s="447"/>
      <c r="R13" s="716"/>
    </row>
    <row r="14" spans="1:18" s="485" customFormat="1" ht="17.25" customHeight="1" thickBot="1" x14ac:dyDescent="0.25">
      <c r="A14" s="480">
        <v>2.2999999999999998</v>
      </c>
      <c r="B14" s="486" t="s">
        <v>573</v>
      </c>
      <c r="C14" s="487"/>
      <c r="D14" s="487"/>
      <c r="E14" s="481">
        <v>1</v>
      </c>
      <c r="F14" s="482">
        <v>1</v>
      </c>
      <c r="G14" s="483" t="s">
        <v>30</v>
      </c>
      <c r="H14" s="454">
        <v>0</v>
      </c>
      <c r="I14" s="453">
        <f>H14*E14</f>
        <v>0</v>
      </c>
      <c r="J14" s="454">
        <v>86000</v>
      </c>
      <c r="K14" s="454">
        <f>J14*E14</f>
        <v>86000</v>
      </c>
      <c r="L14" s="454">
        <f t="shared" si="3"/>
        <v>86000</v>
      </c>
      <c r="M14" s="454">
        <f t="shared" si="4"/>
        <v>86000</v>
      </c>
      <c r="N14" s="660"/>
      <c r="O14" s="660"/>
      <c r="P14" s="484"/>
      <c r="Q14" s="447"/>
      <c r="R14" s="716"/>
    </row>
    <row r="15" spans="1:18" s="447" customFormat="1" ht="15" customHeight="1" thickBot="1" x14ac:dyDescent="0.25">
      <c r="A15" s="792" t="s">
        <v>147</v>
      </c>
      <c r="B15" s="793"/>
      <c r="C15" s="793"/>
      <c r="D15" s="793"/>
      <c r="E15" s="793"/>
      <c r="F15" s="794"/>
      <c r="G15" s="795"/>
      <c r="H15" s="466"/>
      <c r="I15" s="467"/>
      <c r="J15" s="468">
        <v>0</v>
      </c>
      <c r="K15" s="467"/>
      <c r="L15" s="468"/>
      <c r="M15" s="469"/>
      <c r="N15" s="658"/>
      <c r="O15" s="658"/>
      <c r="P15" s="469"/>
      <c r="R15" s="716"/>
    </row>
    <row r="16" spans="1:18" s="465" customFormat="1" ht="18.75" x14ac:dyDescent="0.2">
      <c r="A16" s="488">
        <v>3</v>
      </c>
      <c r="B16" s="489" t="s">
        <v>50</v>
      </c>
      <c r="C16" s="490"/>
      <c r="D16" s="491"/>
      <c r="E16" s="492"/>
      <c r="F16" s="492"/>
      <c r="G16" s="492"/>
      <c r="H16" s="475"/>
      <c r="I16" s="493"/>
      <c r="J16" s="476">
        <v>0</v>
      </c>
      <c r="K16" s="493"/>
      <c r="L16" s="493"/>
      <c r="M16" s="494"/>
      <c r="N16" s="463"/>
      <c r="O16" s="463"/>
      <c r="P16" s="494"/>
      <c r="Q16" s="447"/>
      <c r="R16" s="716"/>
    </row>
    <row r="17" spans="1:18" s="485" customFormat="1" ht="27.75" customHeight="1" x14ac:dyDescent="0.2">
      <c r="A17" s="480">
        <v>3.1</v>
      </c>
      <c r="B17" s="486" t="s">
        <v>514</v>
      </c>
      <c r="C17" s="487"/>
      <c r="D17" s="487"/>
      <c r="E17" s="709">
        <v>13610</v>
      </c>
      <c r="F17" s="482">
        <v>13220</v>
      </c>
      <c r="G17" s="483" t="s">
        <v>606</v>
      </c>
      <c r="H17" s="454">
        <v>425.7</v>
      </c>
      <c r="I17" s="453">
        <f>H17*E17</f>
        <v>5793777</v>
      </c>
      <c r="J17" s="454">
        <v>86</v>
      </c>
      <c r="K17" s="454">
        <f>J17*E17</f>
        <v>1170460</v>
      </c>
      <c r="L17" s="454">
        <f t="shared" ref="L17:M20" si="5">J17+H17</f>
        <v>511.7</v>
      </c>
      <c r="M17" s="454">
        <f t="shared" si="5"/>
        <v>6964237</v>
      </c>
      <c r="N17" s="753" t="s">
        <v>775</v>
      </c>
      <c r="O17" s="746" t="s">
        <v>774</v>
      </c>
      <c r="P17" s="484"/>
      <c r="Q17" s="447"/>
      <c r="R17" s="716"/>
    </row>
    <row r="18" spans="1:18" s="485" customFormat="1" ht="27.75" customHeight="1" x14ac:dyDescent="0.2">
      <c r="A18" s="480">
        <v>3.2</v>
      </c>
      <c r="B18" s="486" t="s">
        <v>515</v>
      </c>
      <c r="C18" s="487"/>
      <c r="D18" s="487"/>
      <c r="E18" s="709">
        <v>180</v>
      </c>
      <c r="F18" s="482">
        <v>100</v>
      </c>
      <c r="G18" s="483" t="s">
        <v>606</v>
      </c>
      <c r="H18" s="454">
        <v>425.7</v>
      </c>
      <c r="I18" s="453">
        <f>H18*E18</f>
        <v>76626</v>
      </c>
      <c r="J18" s="454">
        <v>86</v>
      </c>
      <c r="K18" s="454">
        <f>J18*E18</f>
        <v>15480</v>
      </c>
      <c r="L18" s="454">
        <f t="shared" si="5"/>
        <v>511.7</v>
      </c>
      <c r="M18" s="454">
        <f t="shared" si="5"/>
        <v>92106</v>
      </c>
      <c r="N18" s="756"/>
      <c r="O18" s="748"/>
      <c r="P18" s="484"/>
      <c r="Q18" s="447"/>
      <c r="R18" s="716"/>
    </row>
    <row r="19" spans="1:18" s="485" customFormat="1" ht="27.75" customHeight="1" x14ac:dyDescent="0.2">
      <c r="A19" s="480">
        <v>3.3</v>
      </c>
      <c r="B19" s="486" t="s">
        <v>516</v>
      </c>
      <c r="C19" s="487"/>
      <c r="D19" s="487"/>
      <c r="E19" s="709">
        <v>660</v>
      </c>
      <c r="F19" s="482">
        <v>600</v>
      </c>
      <c r="G19" s="483" t="s">
        <v>606</v>
      </c>
      <c r="H19" s="454">
        <v>425.7</v>
      </c>
      <c r="I19" s="453">
        <f>H19*E19</f>
        <v>280962</v>
      </c>
      <c r="J19" s="454">
        <v>86</v>
      </c>
      <c r="K19" s="454">
        <f>J19*E19</f>
        <v>56760</v>
      </c>
      <c r="L19" s="454">
        <f t="shared" si="5"/>
        <v>511.7</v>
      </c>
      <c r="M19" s="454">
        <f t="shared" si="5"/>
        <v>337722</v>
      </c>
      <c r="N19" s="660"/>
      <c r="O19" s="660"/>
      <c r="P19" s="484"/>
      <c r="Q19" s="447"/>
      <c r="R19" s="716"/>
    </row>
    <row r="20" spans="1:18" s="485" customFormat="1" ht="27.75" customHeight="1" x14ac:dyDescent="0.2">
      <c r="A20" s="480">
        <v>3.4</v>
      </c>
      <c r="B20" s="486" t="s">
        <v>521</v>
      </c>
      <c r="C20" s="487"/>
      <c r="D20" s="487"/>
      <c r="E20" s="456">
        <v>260</v>
      </c>
      <c r="F20" s="482">
        <v>260</v>
      </c>
      <c r="G20" s="483" t="s">
        <v>606</v>
      </c>
      <c r="H20" s="454">
        <v>387</v>
      </c>
      <c r="I20" s="453">
        <f>H20*E20</f>
        <v>100620</v>
      </c>
      <c r="J20" s="454">
        <v>172</v>
      </c>
      <c r="K20" s="454">
        <f>J20*E20</f>
        <v>44720</v>
      </c>
      <c r="L20" s="454">
        <f t="shared" si="5"/>
        <v>559</v>
      </c>
      <c r="M20" s="454">
        <f t="shared" si="5"/>
        <v>145340</v>
      </c>
      <c r="N20" s="661"/>
      <c r="O20" s="661"/>
      <c r="P20" s="498"/>
      <c r="Q20" s="447"/>
      <c r="R20" s="716"/>
    </row>
    <row r="21" spans="1:18" s="465" customFormat="1" ht="20.25" customHeight="1" x14ac:dyDescent="0.2">
      <c r="A21" s="499">
        <v>3.5</v>
      </c>
      <c r="B21" s="500" t="s">
        <v>748</v>
      </c>
      <c r="C21" s="501"/>
      <c r="D21" s="501"/>
      <c r="E21" s="492"/>
      <c r="F21" s="492"/>
      <c r="G21" s="492"/>
      <c r="H21" s="475"/>
      <c r="I21" s="493"/>
      <c r="J21" s="476">
        <v>0</v>
      </c>
      <c r="K21" s="502"/>
      <c r="L21" s="503"/>
      <c r="M21" s="498"/>
      <c r="N21" s="661"/>
      <c r="O21" s="661"/>
      <c r="P21" s="498"/>
      <c r="Q21" s="447"/>
      <c r="R21" s="716"/>
    </row>
    <row r="22" spans="1:18" s="465" customFormat="1" ht="20.25" customHeight="1" x14ac:dyDescent="0.2">
      <c r="A22" s="504" t="s">
        <v>529</v>
      </c>
      <c r="B22" s="505" t="s">
        <v>504</v>
      </c>
      <c r="C22" s="506"/>
      <c r="D22" s="506"/>
      <c r="E22" s="456" t="s">
        <v>198</v>
      </c>
      <c r="F22" s="497"/>
      <c r="G22" s="507" t="s">
        <v>22</v>
      </c>
      <c r="H22" s="475"/>
      <c r="I22" s="508" t="s">
        <v>228</v>
      </c>
      <c r="J22" s="476">
        <v>0</v>
      </c>
      <c r="K22" s="464" t="s">
        <v>228</v>
      </c>
      <c r="L22" s="509"/>
      <c r="M22" s="464" t="s">
        <v>228</v>
      </c>
      <c r="N22" s="743" t="s">
        <v>801</v>
      </c>
      <c r="O22" s="746" t="s">
        <v>776</v>
      </c>
      <c r="P22" s="464"/>
      <c r="Q22" s="447"/>
      <c r="R22" s="716"/>
    </row>
    <row r="23" spans="1:18" s="465" customFormat="1" ht="20.25" customHeight="1" x14ac:dyDescent="0.2">
      <c r="A23" s="504" t="s">
        <v>530</v>
      </c>
      <c r="B23" s="505" t="s">
        <v>12</v>
      </c>
      <c r="C23" s="506"/>
      <c r="D23" s="510"/>
      <c r="E23" s="456">
        <v>60</v>
      </c>
      <c r="F23" s="497">
        <v>60</v>
      </c>
      <c r="G23" s="507" t="s">
        <v>22</v>
      </c>
      <c r="H23" s="454">
        <v>602</v>
      </c>
      <c r="I23" s="453">
        <f>H23*E23</f>
        <v>36120</v>
      </c>
      <c r="J23" s="454">
        <v>258</v>
      </c>
      <c r="K23" s="454">
        <f>J23*E23</f>
        <v>15480</v>
      </c>
      <c r="L23" s="454">
        <f t="shared" ref="L23" si="6">J23+H23</f>
        <v>860</v>
      </c>
      <c r="M23" s="454">
        <f t="shared" ref="M23" si="7">K23+I23</f>
        <v>51600</v>
      </c>
      <c r="N23" s="744"/>
      <c r="O23" s="747"/>
      <c r="P23" s="464"/>
      <c r="Q23" s="447"/>
      <c r="R23" s="716"/>
    </row>
    <row r="24" spans="1:18" s="465" customFormat="1" ht="20.25" customHeight="1" x14ac:dyDescent="0.2">
      <c r="A24" s="504" t="s">
        <v>531</v>
      </c>
      <c r="B24" s="505" t="s">
        <v>13</v>
      </c>
      <c r="C24" s="506"/>
      <c r="D24" s="510"/>
      <c r="E24" s="511">
        <v>70</v>
      </c>
      <c r="F24" s="512">
        <v>70</v>
      </c>
      <c r="G24" s="507" t="s">
        <v>22</v>
      </c>
      <c r="H24" s="454">
        <v>421.4</v>
      </c>
      <c r="I24" s="453">
        <f>H24*E24</f>
        <v>29498</v>
      </c>
      <c r="J24" s="454">
        <v>86</v>
      </c>
      <c r="K24" s="454">
        <f>J24*E24</f>
        <v>6020</v>
      </c>
      <c r="L24" s="454">
        <f>J24+H24</f>
        <v>507.4</v>
      </c>
      <c r="M24" s="454">
        <f>K24+I24</f>
        <v>35518</v>
      </c>
      <c r="N24" s="745"/>
      <c r="O24" s="748"/>
      <c r="P24" s="464"/>
      <c r="Q24" s="447"/>
      <c r="R24" s="716"/>
    </row>
    <row r="25" spans="1:18" s="465" customFormat="1" ht="20.25" customHeight="1" x14ac:dyDescent="0.2">
      <c r="A25" s="513">
        <v>3.6</v>
      </c>
      <c r="B25" s="500" t="s">
        <v>42</v>
      </c>
      <c r="C25" s="501"/>
      <c r="D25" s="501"/>
      <c r="E25" s="492"/>
      <c r="F25" s="492"/>
      <c r="G25" s="492"/>
      <c r="H25" s="475"/>
      <c r="I25" s="493"/>
      <c r="J25" s="476">
        <v>0</v>
      </c>
      <c r="K25" s="502"/>
      <c r="L25" s="503"/>
      <c r="M25" s="498"/>
      <c r="N25" s="661"/>
      <c r="O25" s="661"/>
      <c r="P25" s="498"/>
      <c r="Q25" s="447"/>
      <c r="R25" s="716"/>
    </row>
    <row r="26" spans="1:18" s="465" customFormat="1" ht="20.25" customHeight="1" x14ac:dyDescent="0.2">
      <c r="A26" s="504" t="s">
        <v>532</v>
      </c>
      <c r="B26" s="514" t="s">
        <v>39</v>
      </c>
      <c r="C26" s="491"/>
      <c r="D26" s="506"/>
      <c r="E26" s="456" t="s">
        <v>198</v>
      </c>
      <c r="F26" s="497" t="s">
        <v>198</v>
      </c>
      <c r="G26" s="507" t="s">
        <v>83</v>
      </c>
      <c r="H26" s="475">
        <v>5590</v>
      </c>
      <c r="I26" s="508" t="s">
        <v>228</v>
      </c>
      <c r="J26" s="476">
        <v>860</v>
      </c>
      <c r="K26" s="464" t="s">
        <v>228</v>
      </c>
      <c r="L26" s="509"/>
      <c r="M26" s="464" t="s">
        <v>228</v>
      </c>
      <c r="N26" s="743" t="s">
        <v>805</v>
      </c>
      <c r="O26" s="746" t="s">
        <v>776</v>
      </c>
      <c r="P26" s="464"/>
      <c r="Q26" s="447"/>
      <c r="R26" s="716"/>
    </row>
    <row r="27" spans="1:18" s="465" customFormat="1" ht="20.25" customHeight="1" x14ac:dyDescent="0.2">
      <c r="A27" s="504" t="s">
        <v>533</v>
      </c>
      <c r="B27" s="514" t="s">
        <v>12</v>
      </c>
      <c r="C27" s="491"/>
      <c r="D27" s="506"/>
      <c r="E27" s="456">
        <v>28</v>
      </c>
      <c r="F27" s="497">
        <v>28</v>
      </c>
      <c r="G27" s="507" t="s">
        <v>29</v>
      </c>
      <c r="H27" s="454">
        <v>4730</v>
      </c>
      <c r="I27" s="453">
        <f>H27*E27</f>
        <v>132440</v>
      </c>
      <c r="J27" s="454">
        <v>860</v>
      </c>
      <c r="K27" s="454">
        <f>J27*E27</f>
        <v>24080</v>
      </c>
      <c r="L27" s="454">
        <f>J27+H27</f>
        <v>5590</v>
      </c>
      <c r="M27" s="454">
        <f>K27+I27</f>
        <v>156520</v>
      </c>
      <c r="N27" s="744"/>
      <c r="O27" s="747"/>
      <c r="P27" s="464"/>
      <c r="Q27" s="447"/>
      <c r="R27" s="716"/>
    </row>
    <row r="28" spans="1:18" s="465" customFormat="1" ht="20.25" customHeight="1" x14ac:dyDescent="0.2">
      <c r="A28" s="504" t="s">
        <v>534</v>
      </c>
      <c r="B28" s="515" t="s">
        <v>13</v>
      </c>
      <c r="C28" s="516"/>
      <c r="D28" s="506"/>
      <c r="E28" s="511">
        <v>30</v>
      </c>
      <c r="F28" s="512">
        <v>30</v>
      </c>
      <c r="G28" s="507" t="s">
        <v>29</v>
      </c>
      <c r="H28" s="454">
        <v>4300</v>
      </c>
      <c r="I28" s="453">
        <f>H28*E28</f>
        <v>129000</v>
      </c>
      <c r="J28" s="454">
        <v>860</v>
      </c>
      <c r="K28" s="454">
        <f>J28*E28</f>
        <v>25800</v>
      </c>
      <c r="L28" s="454">
        <f t="shared" ref="L28" si="8">J28+H28</f>
        <v>5160</v>
      </c>
      <c r="M28" s="454">
        <f t="shared" ref="M28" si="9">K28+I28</f>
        <v>154800</v>
      </c>
      <c r="N28" s="745"/>
      <c r="O28" s="748"/>
      <c r="P28" s="464"/>
      <c r="Q28" s="447"/>
      <c r="R28" s="716"/>
    </row>
    <row r="29" spans="1:18" s="465" customFormat="1" ht="20.25" customHeight="1" x14ac:dyDescent="0.2">
      <c r="A29" s="499">
        <v>3.7</v>
      </c>
      <c r="B29" s="517" t="s">
        <v>608</v>
      </c>
      <c r="C29" s="518"/>
      <c r="D29" s="518"/>
      <c r="E29" s="492"/>
      <c r="F29" s="492"/>
      <c r="G29" s="492"/>
      <c r="H29" s="519"/>
      <c r="I29" s="493"/>
      <c r="J29" s="520">
        <v>0</v>
      </c>
      <c r="K29" s="502"/>
      <c r="L29" s="503"/>
      <c r="M29" s="498"/>
      <c r="N29" s="661"/>
      <c r="O29" s="661"/>
      <c r="P29" s="498"/>
      <c r="Q29" s="447"/>
      <c r="R29" s="716"/>
    </row>
    <row r="30" spans="1:18" s="465" customFormat="1" ht="20.25" customHeight="1" x14ac:dyDescent="0.2">
      <c r="A30" s="504" t="s">
        <v>535</v>
      </c>
      <c r="B30" s="521" t="s">
        <v>624</v>
      </c>
      <c r="C30" s="491"/>
      <c r="D30" s="518"/>
      <c r="E30" s="456">
        <v>2</v>
      </c>
      <c r="F30" s="497">
        <v>2</v>
      </c>
      <c r="G30" s="507" t="s">
        <v>29</v>
      </c>
      <c r="H30" s="454">
        <v>27520</v>
      </c>
      <c r="I30" s="453">
        <f>H30*E30</f>
        <v>55040</v>
      </c>
      <c r="J30" s="454">
        <v>2580</v>
      </c>
      <c r="K30" s="454">
        <f>J30*E30</f>
        <v>5160</v>
      </c>
      <c r="L30" s="454">
        <f t="shared" ref="L30:L31" si="10">J30+H30</f>
        <v>30100</v>
      </c>
      <c r="M30" s="454">
        <f t="shared" ref="M30:M31" si="11">K30+I30</f>
        <v>60200</v>
      </c>
      <c r="N30" s="753" t="s">
        <v>805</v>
      </c>
      <c r="O30" s="746" t="s">
        <v>773</v>
      </c>
      <c r="P30" s="464"/>
      <c r="Q30" s="447"/>
      <c r="R30" s="716"/>
    </row>
    <row r="31" spans="1:18" s="465" customFormat="1" ht="20.25" customHeight="1" x14ac:dyDescent="0.2">
      <c r="A31" s="504" t="s">
        <v>536</v>
      </c>
      <c r="B31" s="521" t="s">
        <v>625</v>
      </c>
      <c r="C31" s="491"/>
      <c r="D31" s="518"/>
      <c r="E31" s="456">
        <v>2</v>
      </c>
      <c r="F31" s="497">
        <v>2</v>
      </c>
      <c r="G31" s="507" t="s">
        <v>29</v>
      </c>
      <c r="H31" s="454">
        <v>25800</v>
      </c>
      <c r="I31" s="453">
        <f>H31*E31</f>
        <v>51600</v>
      </c>
      <c r="J31" s="454">
        <v>2580</v>
      </c>
      <c r="K31" s="454">
        <f>J31*E31</f>
        <v>5160</v>
      </c>
      <c r="L31" s="454">
        <f t="shared" si="10"/>
        <v>28380</v>
      </c>
      <c r="M31" s="454">
        <f t="shared" si="11"/>
        <v>56760</v>
      </c>
      <c r="N31" s="754"/>
      <c r="O31" s="747"/>
      <c r="P31" s="464"/>
      <c r="Q31" s="447"/>
      <c r="R31" s="716"/>
    </row>
    <row r="32" spans="1:18" s="465" customFormat="1" ht="20.25" customHeight="1" x14ac:dyDescent="0.2">
      <c r="A32" s="499">
        <v>3.8</v>
      </c>
      <c r="B32" s="517" t="s">
        <v>607</v>
      </c>
      <c r="C32" s="518"/>
      <c r="D32" s="518"/>
      <c r="E32" s="492"/>
      <c r="F32" s="492"/>
      <c r="G32" s="492"/>
      <c r="H32" s="519"/>
      <c r="I32" s="493"/>
      <c r="J32" s="520">
        <v>0</v>
      </c>
      <c r="K32" s="502"/>
      <c r="L32" s="503"/>
      <c r="M32" s="498"/>
      <c r="N32" s="677"/>
      <c r="O32" s="680"/>
      <c r="P32" s="498"/>
      <c r="Q32" s="447"/>
      <c r="R32" s="716"/>
    </row>
    <row r="33" spans="1:18" s="465" customFormat="1" ht="20.25" customHeight="1" x14ac:dyDescent="0.2">
      <c r="A33" s="504" t="s">
        <v>581</v>
      </c>
      <c r="B33" s="522" t="s">
        <v>626</v>
      </c>
      <c r="C33" s="523"/>
      <c r="D33" s="518"/>
      <c r="E33" s="456">
        <v>1</v>
      </c>
      <c r="F33" s="497">
        <v>1</v>
      </c>
      <c r="G33" s="507" t="s">
        <v>83</v>
      </c>
      <c r="H33" s="454">
        <v>16340</v>
      </c>
      <c r="I33" s="453">
        <f t="shared" ref="I33:I39" si="12">H33*E33</f>
        <v>16340</v>
      </c>
      <c r="J33" s="454">
        <v>1720</v>
      </c>
      <c r="K33" s="454">
        <f t="shared" ref="K33:K39" si="13">J33*E33</f>
        <v>1720</v>
      </c>
      <c r="L33" s="454">
        <f t="shared" ref="L33:M39" si="14">J33+H33</f>
        <v>18060</v>
      </c>
      <c r="M33" s="454">
        <f t="shared" si="14"/>
        <v>18060</v>
      </c>
      <c r="N33" s="743" t="s">
        <v>805</v>
      </c>
      <c r="O33" s="746" t="s">
        <v>776</v>
      </c>
      <c r="P33" s="464"/>
      <c r="Q33" s="447"/>
      <c r="R33" s="716"/>
    </row>
    <row r="34" spans="1:18" s="465" customFormat="1" ht="20.25" customHeight="1" x14ac:dyDescent="0.2">
      <c r="A34" s="504" t="s">
        <v>609</v>
      </c>
      <c r="B34" s="522" t="s">
        <v>625</v>
      </c>
      <c r="C34" s="523"/>
      <c r="D34" s="491"/>
      <c r="E34" s="456">
        <v>1</v>
      </c>
      <c r="F34" s="497">
        <v>1</v>
      </c>
      <c r="G34" s="507" t="s">
        <v>83</v>
      </c>
      <c r="H34" s="454">
        <v>6020</v>
      </c>
      <c r="I34" s="453">
        <f t="shared" si="12"/>
        <v>6020</v>
      </c>
      <c r="J34" s="454">
        <v>860</v>
      </c>
      <c r="K34" s="454">
        <f t="shared" si="13"/>
        <v>860</v>
      </c>
      <c r="L34" s="454">
        <f t="shared" si="14"/>
        <v>6880</v>
      </c>
      <c r="M34" s="454">
        <f t="shared" si="14"/>
        <v>6880</v>
      </c>
      <c r="N34" s="744"/>
      <c r="O34" s="747"/>
      <c r="P34" s="484"/>
      <c r="Q34" s="447"/>
      <c r="R34" s="716"/>
    </row>
    <row r="35" spans="1:18" s="465" customFormat="1" ht="20.25" customHeight="1" x14ac:dyDescent="0.2">
      <c r="A35" s="524">
        <v>3.9</v>
      </c>
      <c r="B35" s="525" t="s">
        <v>633</v>
      </c>
      <c r="C35" s="516"/>
      <c r="D35" s="526"/>
      <c r="E35" s="511">
        <v>26</v>
      </c>
      <c r="F35" s="512">
        <v>26</v>
      </c>
      <c r="G35" s="507" t="s">
        <v>163</v>
      </c>
      <c r="H35" s="454">
        <v>7310</v>
      </c>
      <c r="I35" s="453">
        <f t="shared" si="12"/>
        <v>190060</v>
      </c>
      <c r="J35" s="454">
        <v>1720</v>
      </c>
      <c r="K35" s="454">
        <f t="shared" si="13"/>
        <v>44720</v>
      </c>
      <c r="L35" s="454">
        <f t="shared" si="14"/>
        <v>9030</v>
      </c>
      <c r="M35" s="454">
        <f t="shared" si="14"/>
        <v>234780</v>
      </c>
      <c r="N35" s="745"/>
      <c r="O35" s="748"/>
      <c r="P35" s="484"/>
      <c r="Q35" s="447"/>
      <c r="R35" s="716"/>
    </row>
    <row r="36" spans="1:18" s="465" customFormat="1" ht="20.25" customHeight="1" x14ac:dyDescent="0.2">
      <c r="A36" s="527">
        <v>3.1</v>
      </c>
      <c r="B36" s="514" t="s">
        <v>610</v>
      </c>
      <c r="C36" s="506"/>
      <c r="D36" s="510"/>
      <c r="E36" s="456">
        <v>1</v>
      </c>
      <c r="F36" s="497">
        <v>1</v>
      </c>
      <c r="G36" s="483" t="s">
        <v>30</v>
      </c>
      <c r="H36" s="454">
        <v>0</v>
      </c>
      <c r="I36" s="453">
        <f t="shared" si="12"/>
        <v>0</v>
      </c>
      <c r="J36" s="454">
        <v>21500</v>
      </c>
      <c r="K36" s="454">
        <f t="shared" si="13"/>
        <v>21500</v>
      </c>
      <c r="L36" s="454">
        <f t="shared" si="14"/>
        <v>21500</v>
      </c>
      <c r="M36" s="454">
        <f t="shared" si="14"/>
        <v>21500</v>
      </c>
      <c r="N36" s="660"/>
      <c r="O36" s="660"/>
      <c r="P36" s="484"/>
      <c r="Q36" s="447"/>
      <c r="R36" s="716"/>
    </row>
    <row r="37" spans="1:18" s="465" customFormat="1" ht="20.25" customHeight="1" x14ac:dyDescent="0.2">
      <c r="A37" s="527">
        <v>3.11</v>
      </c>
      <c r="B37" s="486" t="s">
        <v>517</v>
      </c>
      <c r="C37" s="506"/>
      <c r="D37" s="510"/>
      <c r="E37" s="456">
        <v>1</v>
      </c>
      <c r="F37" s="497">
        <v>1</v>
      </c>
      <c r="G37" s="483" t="s">
        <v>30</v>
      </c>
      <c r="H37" s="454">
        <v>12900</v>
      </c>
      <c r="I37" s="453">
        <f t="shared" si="12"/>
        <v>12900</v>
      </c>
      <c r="J37" s="454">
        <v>6020</v>
      </c>
      <c r="K37" s="454">
        <f t="shared" si="13"/>
        <v>6020</v>
      </c>
      <c r="L37" s="454">
        <f t="shared" si="14"/>
        <v>18920</v>
      </c>
      <c r="M37" s="454">
        <f t="shared" si="14"/>
        <v>18920</v>
      </c>
      <c r="N37" s="662"/>
      <c r="O37" s="662"/>
      <c r="P37" s="528"/>
      <c r="Q37" s="447"/>
      <c r="R37" s="716"/>
    </row>
    <row r="38" spans="1:18" s="447" customFormat="1" ht="20.25" customHeight="1" x14ac:dyDescent="0.2">
      <c r="A38" s="527">
        <v>3.12</v>
      </c>
      <c r="B38" s="486" t="s">
        <v>88</v>
      </c>
      <c r="C38" s="506"/>
      <c r="D38" s="510"/>
      <c r="E38" s="456">
        <v>1</v>
      </c>
      <c r="F38" s="497">
        <v>1</v>
      </c>
      <c r="G38" s="529" t="s">
        <v>30</v>
      </c>
      <c r="H38" s="454">
        <v>21500</v>
      </c>
      <c r="I38" s="453">
        <f t="shared" si="12"/>
        <v>21500</v>
      </c>
      <c r="J38" s="454">
        <v>4300</v>
      </c>
      <c r="K38" s="454">
        <f t="shared" si="13"/>
        <v>4300</v>
      </c>
      <c r="L38" s="454">
        <f t="shared" si="14"/>
        <v>25800</v>
      </c>
      <c r="M38" s="454">
        <f t="shared" si="14"/>
        <v>25800</v>
      </c>
      <c r="N38" s="663"/>
      <c r="O38" s="663"/>
      <c r="P38" s="530"/>
      <c r="R38" s="716"/>
    </row>
    <row r="39" spans="1:18" s="465" customFormat="1" ht="48" customHeight="1" thickBot="1" x14ac:dyDescent="0.25">
      <c r="A39" s="527">
        <v>3.13</v>
      </c>
      <c r="B39" s="796" t="s">
        <v>648</v>
      </c>
      <c r="C39" s="797"/>
      <c r="D39" s="798"/>
      <c r="E39" s="456">
        <v>1</v>
      </c>
      <c r="F39" s="497">
        <v>1</v>
      </c>
      <c r="G39" s="529" t="s">
        <v>30</v>
      </c>
      <c r="H39" s="454">
        <v>150500</v>
      </c>
      <c r="I39" s="453">
        <f t="shared" si="12"/>
        <v>150500</v>
      </c>
      <c r="J39" s="454">
        <v>21500</v>
      </c>
      <c r="K39" s="454">
        <f t="shared" si="13"/>
        <v>21500</v>
      </c>
      <c r="L39" s="454">
        <f t="shared" si="14"/>
        <v>172000</v>
      </c>
      <c r="M39" s="454">
        <f t="shared" si="14"/>
        <v>172000</v>
      </c>
      <c r="N39" s="663"/>
      <c r="O39" s="663"/>
      <c r="P39" s="530"/>
      <c r="Q39" s="447"/>
      <c r="R39" s="716"/>
    </row>
    <row r="40" spans="1:18" s="465" customFormat="1" ht="12" customHeight="1" thickBot="1" x14ac:dyDescent="0.25">
      <c r="A40" s="792" t="s">
        <v>147</v>
      </c>
      <c r="B40" s="793"/>
      <c r="C40" s="793"/>
      <c r="D40" s="793"/>
      <c r="E40" s="793"/>
      <c r="F40" s="794"/>
      <c r="G40" s="795"/>
      <c r="H40" s="466"/>
      <c r="I40" s="467"/>
      <c r="J40" s="468"/>
      <c r="K40" s="467"/>
      <c r="L40" s="468"/>
      <c r="M40" s="469"/>
      <c r="N40" s="658"/>
      <c r="O40" s="658"/>
      <c r="P40" s="469"/>
      <c r="Q40" s="447"/>
      <c r="R40" s="716"/>
    </row>
    <row r="41" spans="1:18" s="465" customFormat="1" ht="24.75" customHeight="1" x14ac:dyDescent="0.2">
      <c r="A41" s="470">
        <v>4</v>
      </c>
      <c r="B41" s="531" t="s">
        <v>582</v>
      </c>
      <c r="C41" s="532"/>
      <c r="D41" s="532"/>
      <c r="E41" s="462"/>
      <c r="F41" s="462"/>
      <c r="G41" s="492"/>
      <c r="H41" s="475"/>
      <c r="I41" s="533"/>
      <c r="J41" s="476"/>
      <c r="K41" s="534"/>
      <c r="L41" s="534"/>
      <c r="M41" s="535"/>
      <c r="N41" s="664"/>
      <c r="O41" s="664"/>
      <c r="P41" s="535"/>
      <c r="Q41" s="447"/>
      <c r="R41" s="716"/>
    </row>
    <row r="42" spans="1:18" s="539" customFormat="1" ht="26.25" customHeight="1" x14ac:dyDescent="0.2">
      <c r="A42" s="499">
        <v>4.0999999999999996</v>
      </c>
      <c r="B42" s="536" t="s">
        <v>519</v>
      </c>
      <c r="C42" s="491"/>
      <c r="D42" s="537"/>
      <c r="E42" s="538"/>
      <c r="F42" s="538"/>
      <c r="G42" s="492"/>
      <c r="H42" s="475"/>
      <c r="I42" s="492"/>
      <c r="J42" s="476"/>
      <c r="K42" s="534"/>
      <c r="L42" s="534"/>
      <c r="M42" s="535"/>
      <c r="N42" s="664"/>
      <c r="O42" s="664"/>
      <c r="P42" s="535"/>
      <c r="Q42" s="447"/>
      <c r="R42" s="716"/>
    </row>
    <row r="43" spans="1:18" s="465" customFormat="1" ht="21" customHeight="1" x14ac:dyDescent="0.2">
      <c r="A43" s="504" t="s">
        <v>537</v>
      </c>
      <c r="B43" s="505" t="s">
        <v>20</v>
      </c>
      <c r="C43" s="506"/>
      <c r="D43" s="537"/>
      <c r="E43" s="456" t="s">
        <v>198</v>
      </c>
      <c r="F43" s="497" t="s">
        <v>198</v>
      </c>
      <c r="G43" s="507" t="s">
        <v>22</v>
      </c>
      <c r="H43" s="475">
        <v>1281.4000000000001</v>
      </c>
      <c r="I43" s="508" t="s">
        <v>228</v>
      </c>
      <c r="J43" s="476">
        <v>258</v>
      </c>
      <c r="K43" s="464" t="s">
        <v>228</v>
      </c>
      <c r="L43" s="509"/>
      <c r="M43" s="464" t="s">
        <v>228</v>
      </c>
      <c r="N43" s="743" t="s">
        <v>777</v>
      </c>
      <c r="O43" s="746" t="s">
        <v>773</v>
      </c>
      <c r="P43" s="731" t="s">
        <v>798</v>
      </c>
      <c r="Q43" s="447"/>
      <c r="R43" s="716"/>
    </row>
    <row r="44" spans="1:18" s="465" customFormat="1" ht="21" customHeight="1" x14ac:dyDescent="0.2">
      <c r="A44" s="504" t="s">
        <v>538</v>
      </c>
      <c r="B44" s="505" t="s">
        <v>603</v>
      </c>
      <c r="C44" s="506"/>
      <c r="D44" s="537"/>
      <c r="E44" s="456" t="s">
        <v>198</v>
      </c>
      <c r="F44" s="497" t="s">
        <v>198</v>
      </c>
      <c r="G44" s="507" t="s">
        <v>22</v>
      </c>
      <c r="H44" s="475">
        <v>1032</v>
      </c>
      <c r="I44" s="508" t="s">
        <v>228</v>
      </c>
      <c r="J44" s="476">
        <v>258</v>
      </c>
      <c r="K44" s="464" t="s">
        <v>228</v>
      </c>
      <c r="L44" s="509"/>
      <c r="M44" s="464" t="s">
        <v>228</v>
      </c>
      <c r="N44" s="744"/>
      <c r="O44" s="747"/>
      <c r="P44" s="732"/>
      <c r="Q44" s="447"/>
      <c r="R44" s="716"/>
    </row>
    <row r="45" spans="1:18" s="465" customFormat="1" ht="21" customHeight="1" x14ac:dyDescent="0.2">
      <c r="A45" s="504" t="s">
        <v>539</v>
      </c>
      <c r="B45" s="505" t="s">
        <v>604</v>
      </c>
      <c r="C45" s="506"/>
      <c r="D45" s="537"/>
      <c r="E45" s="456" t="s">
        <v>198</v>
      </c>
      <c r="F45" s="497" t="s">
        <v>198</v>
      </c>
      <c r="G45" s="507" t="s">
        <v>22</v>
      </c>
      <c r="H45" s="475">
        <v>688</v>
      </c>
      <c r="I45" s="508" t="s">
        <v>228</v>
      </c>
      <c r="J45" s="476">
        <v>189.2</v>
      </c>
      <c r="K45" s="464" t="s">
        <v>228</v>
      </c>
      <c r="L45" s="509"/>
      <c r="M45" s="464" t="s">
        <v>228</v>
      </c>
      <c r="N45" s="744"/>
      <c r="O45" s="747"/>
      <c r="P45" s="732"/>
      <c r="Q45" s="447"/>
      <c r="R45" s="716"/>
    </row>
    <row r="46" spans="1:18" s="465" customFormat="1" ht="21" customHeight="1" x14ac:dyDescent="0.2">
      <c r="A46" s="504" t="s">
        <v>540</v>
      </c>
      <c r="B46" s="505" t="s">
        <v>10</v>
      </c>
      <c r="C46" s="506"/>
      <c r="D46" s="491"/>
      <c r="E46" s="710">
        <v>120</v>
      </c>
      <c r="F46" s="497">
        <v>100</v>
      </c>
      <c r="G46" s="507" t="s">
        <v>22</v>
      </c>
      <c r="H46" s="454">
        <v>602</v>
      </c>
      <c r="I46" s="453">
        <f>H46*E46</f>
        <v>72240</v>
      </c>
      <c r="J46" s="454">
        <v>189.2</v>
      </c>
      <c r="K46" s="454">
        <f>J46*E46</f>
        <v>22704</v>
      </c>
      <c r="L46" s="454">
        <f t="shared" ref="L46" si="15">J46+H46</f>
        <v>791.2</v>
      </c>
      <c r="M46" s="454">
        <f t="shared" ref="M46" si="16">K46+I46</f>
        <v>94944</v>
      </c>
      <c r="N46" s="745"/>
      <c r="O46" s="748"/>
      <c r="P46" s="732"/>
      <c r="Q46" s="447"/>
      <c r="R46" s="716"/>
    </row>
    <row r="47" spans="1:18" s="539" customFormat="1" ht="21" customHeight="1" x14ac:dyDescent="0.2">
      <c r="A47" s="499">
        <v>4.2</v>
      </c>
      <c r="B47" s="536" t="s">
        <v>518</v>
      </c>
      <c r="C47" s="491"/>
      <c r="D47" s="537"/>
      <c r="E47" s="538"/>
      <c r="F47" s="538"/>
      <c r="G47" s="492"/>
      <c r="H47" s="475"/>
      <c r="I47" s="492"/>
      <c r="J47" s="476">
        <v>0</v>
      </c>
      <c r="K47" s="534"/>
      <c r="L47" s="534"/>
      <c r="M47" s="535"/>
      <c r="N47" s="664"/>
      <c r="O47" s="664"/>
      <c r="P47" s="732"/>
      <c r="Q47" s="447"/>
      <c r="R47" s="716"/>
    </row>
    <row r="48" spans="1:18" s="465" customFormat="1" ht="21" customHeight="1" x14ac:dyDescent="0.2">
      <c r="A48" s="504" t="s">
        <v>541</v>
      </c>
      <c r="B48" s="505" t="s">
        <v>20</v>
      </c>
      <c r="C48" s="506"/>
      <c r="D48" s="537"/>
      <c r="E48" s="456" t="s">
        <v>198</v>
      </c>
      <c r="F48" s="497" t="s">
        <v>198</v>
      </c>
      <c r="G48" s="507" t="s">
        <v>22</v>
      </c>
      <c r="H48" s="475">
        <v>1711.4</v>
      </c>
      <c r="I48" s="508" t="s">
        <v>228</v>
      </c>
      <c r="J48" s="476">
        <v>189.2</v>
      </c>
      <c r="K48" s="464" t="s">
        <v>228</v>
      </c>
      <c r="L48" s="509"/>
      <c r="M48" s="464" t="s">
        <v>228</v>
      </c>
      <c r="N48" s="743" t="s">
        <v>778</v>
      </c>
      <c r="O48" s="746" t="s">
        <v>773</v>
      </c>
      <c r="P48" s="732"/>
      <c r="Q48" s="447"/>
      <c r="R48" s="716"/>
    </row>
    <row r="49" spans="1:18" s="465" customFormat="1" ht="21" customHeight="1" x14ac:dyDescent="0.2">
      <c r="A49" s="504" t="s">
        <v>543</v>
      </c>
      <c r="B49" s="505" t="s">
        <v>603</v>
      </c>
      <c r="C49" s="506"/>
      <c r="D49" s="537"/>
      <c r="E49" s="456" t="s">
        <v>198</v>
      </c>
      <c r="F49" s="497" t="s">
        <v>198</v>
      </c>
      <c r="G49" s="507" t="s">
        <v>22</v>
      </c>
      <c r="H49" s="475">
        <v>1376</v>
      </c>
      <c r="I49" s="508" t="s">
        <v>228</v>
      </c>
      <c r="J49" s="476">
        <v>154.80000000000001</v>
      </c>
      <c r="K49" s="464" t="s">
        <v>228</v>
      </c>
      <c r="L49" s="509"/>
      <c r="M49" s="464" t="s">
        <v>228</v>
      </c>
      <c r="N49" s="744"/>
      <c r="O49" s="747"/>
      <c r="P49" s="732"/>
      <c r="Q49" s="447"/>
      <c r="R49" s="716"/>
    </row>
    <row r="50" spans="1:18" s="465" customFormat="1" ht="21" customHeight="1" x14ac:dyDescent="0.2">
      <c r="A50" s="504" t="s">
        <v>544</v>
      </c>
      <c r="B50" s="505" t="s">
        <v>604</v>
      </c>
      <c r="C50" s="506"/>
      <c r="D50" s="537"/>
      <c r="E50" s="710">
        <v>92</v>
      </c>
      <c r="F50" s="497">
        <v>80</v>
      </c>
      <c r="G50" s="507" t="s">
        <v>22</v>
      </c>
      <c r="H50" s="454">
        <v>1204</v>
      </c>
      <c r="I50" s="453">
        <f>H50*E50</f>
        <v>110768</v>
      </c>
      <c r="J50" s="454">
        <v>154.80000000000001</v>
      </c>
      <c r="K50" s="454">
        <f>J50*E50</f>
        <v>14241.6</v>
      </c>
      <c r="L50" s="454">
        <f t="shared" ref="L50" si="17">J50+H50</f>
        <v>1358.8</v>
      </c>
      <c r="M50" s="454">
        <f t="shared" ref="M50" si="18">K50+I50</f>
        <v>125009.60000000001</v>
      </c>
      <c r="N50" s="744"/>
      <c r="O50" s="747"/>
      <c r="P50" s="732"/>
      <c r="Q50" s="447"/>
      <c r="R50" s="716"/>
    </row>
    <row r="51" spans="1:18" s="465" customFormat="1" ht="21" customHeight="1" x14ac:dyDescent="0.2">
      <c r="A51" s="504" t="s">
        <v>545</v>
      </c>
      <c r="B51" s="505" t="s">
        <v>10</v>
      </c>
      <c r="C51" s="506"/>
      <c r="D51" s="491"/>
      <c r="E51" s="456" t="s">
        <v>198</v>
      </c>
      <c r="F51" s="497" t="s">
        <v>198</v>
      </c>
      <c r="G51" s="507" t="s">
        <v>22</v>
      </c>
      <c r="H51" s="475">
        <v>1032</v>
      </c>
      <c r="I51" s="508" t="s">
        <v>228</v>
      </c>
      <c r="J51" s="476">
        <v>154.80000000000001</v>
      </c>
      <c r="K51" s="464" t="s">
        <v>228</v>
      </c>
      <c r="L51" s="509"/>
      <c r="M51" s="464" t="s">
        <v>228</v>
      </c>
      <c r="N51" s="745"/>
      <c r="O51" s="748"/>
      <c r="P51" s="732"/>
      <c r="Q51" s="447"/>
      <c r="R51" s="716"/>
    </row>
    <row r="52" spans="1:18" s="539" customFormat="1" ht="21" customHeight="1" x14ac:dyDescent="0.2">
      <c r="A52" s="499">
        <v>4.3</v>
      </c>
      <c r="B52" s="536" t="s">
        <v>507</v>
      </c>
      <c r="C52" s="491"/>
      <c r="D52" s="537"/>
      <c r="E52" s="538"/>
      <c r="F52" s="538"/>
      <c r="G52" s="492"/>
      <c r="H52" s="475"/>
      <c r="I52" s="492"/>
      <c r="J52" s="476">
        <v>0</v>
      </c>
      <c r="K52" s="534"/>
      <c r="L52" s="534"/>
      <c r="M52" s="535"/>
      <c r="N52" s="702"/>
      <c r="O52" s="664"/>
      <c r="P52" s="732"/>
      <c r="Q52" s="447"/>
      <c r="R52" s="716"/>
    </row>
    <row r="53" spans="1:18" s="465" customFormat="1" ht="21" customHeight="1" x14ac:dyDescent="0.2">
      <c r="A53" s="504" t="s">
        <v>546</v>
      </c>
      <c r="B53" s="505" t="s">
        <v>604</v>
      </c>
      <c r="C53" s="506"/>
      <c r="D53" s="510"/>
      <c r="E53" s="456" t="s">
        <v>198</v>
      </c>
      <c r="F53" s="497" t="s">
        <v>198</v>
      </c>
      <c r="G53" s="507" t="s">
        <v>22</v>
      </c>
      <c r="H53" s="475">
        <v>275.2</v>
      </c>
      <c r="I53" s="508" t="s">
        <v>228</v>
      </c>
      <c r="J53" s="476">
        <v>154.80000000000001</v>
      </c>
      <c r="K53" s="464" t="s">
        <v>228</v>
      </c>
      <c r="L53" s="509"/>
      <c r="M53" s="703" t="s">
        <v>228</v>
      </c>
      <c r="N53" s="755" t="s">
        <v>797</v>
      </c>
      <c r="O53" s="743" t="s">
        <v>774</v>
      </c>
      <c r="P53" s="732"/>
      <c r="Q53" s="447"/>
      <c r="R53" s="716"/>
    </row>
    <row r="54" spans="1:18" s="465" customFormat="1" ht="21" customHeight="1" x14ac:dyDescent="0.2">
      <c r="A54" s="504" t="s">
        <v>547</v>
      </c>
      <c r="B54" s="505" t="s">
        <v>10</v>
      </c>
      <c r="C54" s="506"/>
      <c r="D54" s="510"/>
      <c r="E54" s="710">
        <v>80</v>
      </c>
      <c r="F54" s="497">
        <v>65</v>
      </c>
      <c r="G54" s="507" t="s">
        <v>22</v>
      </c>
      <c r="H54" s="454">
        <v>215</v>
      </c>
      <c r="I54" s="453">
        <f>H54*E54</f>
        <v>17200</v>
      </c>
      <c r="J54" s="454">
        <v>154.80000000000001</v>
      </c>
      <c r="K54" s="454">
        <f>J54*E54</f>
        <v>12384</v>
      </c>
      <c r="L54" s="454">
        <f t="shared" ref="L54:L56" si="19">J54+H54</f>
        <v>369.8</v>
      </c>
      <c r="M54" s="704">
        <f t="shared" ref="M54:M56" si="20">K54+I54</f>
        <v>29584</v>
      </c>
      <c r="N54" s="755"/>
      <c r="O54" s="744"/>
      <c r="P54" s="732"/>
      <c r="Q54" s="447"/>
      <c r="R54" s="716"/>
    </row>
    <row r="55" spans="1:18" s="465" customFormat="1" ht="21" customHeight="1" x14ac:dyDescent="0.2">
      <c r="A55" s="504">
        <v>4.4000000000000004</v>
      </c>
      <c r="B55" s="540" t="s">
        <v>45</v>
      </c>
      <c r="C55" s="501"/>
      <c r="D55" s="501"/>
      <c r="E55" s="495">
        <v>1</v>
      </c>
      <c r="F55" s="496">
        <v>1</v>
      </c>
      <c r="G55" s="541" t="s">
        <v>30</v>
      </c>
      <c r="H55" s="454">
        <v>0</v>
      </c>
      <c r="I55" s="453">
        <f>H55*E55</f>
        <v>0</v>
      </c>
      <c r="J55" s="454">
        <v>21500</v>
      </c>
      <c r="K55" s="454">
        <f>J55*E55</f>
        <v>21500</v>
      </c>
      <c r="L55" s="454">
        <f t="shared" si="19"/>
        <v>21500</v>
      </c>
      <c r="M55" s="704">
        <f t="shared" si="20"/>
        <v>21500</v>
      </c>
      <c r="N55" s="755"/>
      <c r="O55" s="744"/>
      <c r="P55" s="732"/>
      <c r="Q55" s="447"/>
      <c r="R55" s="716"/>
    </row>
    <row r="56" spans="1:18" s="465" customFormat="1" ht="21" customHeight="1" thickBot="1" x14ac:dyDescent="0.25">
      <c r="A56" s="504">
        <v>4.5</v>
      </c>
      <c r="B56" s="757" t="s">
        <v>649</v>
      </c>
      <c r="C56" s="758"/>
      <c r="D56" s="759"/>
      <c r="E56" s="495">
        <v>1</v>
      </c>
      <c r="F56" s="496">
        <v>1</v>
      </c>
      <c r="G56" s="541" t="s">
        <v>30</v>
      </c>
      <c r="H56" s="454">
        <v>12900</v>
      </c>
      <c r="I56" s="453">
        <f>H56*E56</f>
        <v>12900</v>
      </c>
      <c r="J56" s="454">
        <v>6020</v>
      </c>
      <c r="K56" s="454">
        <f>J56*E56</f>
        <v>6020</v>
      </c>
      <c r="L56" s="454">
        <f t="shared" si="19"/>
        <v>18920</v>
      </c>
      <c r="M56" s="454">
        <f t="shared" si="20"/>
        <v>18920</v>
      </c>
      <c r="N56" s="677"/>
      <c r="O56" s="680"/>
      <c r="P56" s="733"/>
      <c r="Q56" s="447"/>
      <c r="R56" s="716"/>
    </row>
    <row r="57" spans="1:18" s="447" customFormat="1" ht="15" customHeight="1" thickBot="1" x14ac:dyDescent="0.25">
      <c r="A57" s="792" t="s">
        <v>147</v>
      </c>
      <c r="B57" s="793"/>
      <c r="C57" s="793"/>
      <c r="D57" s="793"/>
      <c r="E57" s="793"/>
      <c r="F57" s="794"/>
      <c r="G57" s="795"/>
      <c r="H57" s="466"/>
      <c r="I57" s="467"/>
      <c r="J57" s="468"/>
      <c r="K57" s="467"/>
      <c r="L57" s="468"/>
      <c r="M57" s="469"/>
      <c r="N57" s="658"/>
      <c r="O57" s="658"/>
      <c r="P57" s="469"/>
      <c r="R57" s="716"/>
    </row>
    <row r="58" spans="1:18" s="465" customFormat="1" ht="18.75" customHeight="1" x14ac:dyDescent="0.2">
      <c r="A58" s="543">
        <v>5</v>
      </c>
      <c r="B58" s="531" t="s">
        <v>124</v>
      </c>
      <c r="C58" s="544"/>
      <c r="D58" s="544"/>
      <c r="E58" s="545"/>
      <c r="F58" s="545"/>
      <c r="G58" s="545"/>
      <c r="H58" s="475"/>
      <c r="I58" s="545"/>
      <c r="J58" s="476"/>
      <c r="K58" s="546"/>
      <c r="L58" s="546"/>
      <c r="M58" s="547"/>
      <c r="N58" s="665"/>
      <c r="O58" s="665"/>
      <c r="P58" s="547"/>
      <c r="Q58" s="447"/>
      <c r="R58" s="716"/>
    </row>
    <row r="59" spans="1:18" s="465" customFormat="1" ht="18.75" customHeight="1" x14ac:dyDescent="0.2">
      <c r="A59" s="499">
        <v>5.0999999999999996</v>
      </c>
      <c r="B59" s="548" t="s">
        <v>627</v>
      </c>
      <c r="C59" s="491"/>
      <c r="D59" s="537"/>
      <c r="E59" s="538"/>
      <c r="F59" s="538"/>
      <c r="G59" s="538"/>
      <c r="H59" s="475"/>
      <c r="I59" s="492"/>
      <c r="J59" s="476"/>
      <c r="K59" s="534"/>
      <c r="L59" s="534"/>
      <c r="M59" s="535"/>
      <c r="N59" s="664"/>
      <c r="O59" s="664"/>
      <c r="P59" s="535"/>
      <c r="Q59" s="716">
        <f>H110+'M&amp;P BOQ 18'!I110</f>
        <v>6312400</v>
      </c>
      <c r="R59" s="716"/>
    </row>
    <row r="60" spans="1:18" s="465" customFormat="1" ht="18.75" customHeight="1" x14ac:dyDescent="0.2">
      <c r="A60" s="504" t="s">
        <v>542</v>
      </c>
      <c r="B60" s="505" t="s">
        <v>20</v>
      </c>
      <c r="C60" s="506"/>
      <c r="D60" s="510"/>
      <c r="E60" s="456" t="s">
        <v>198</v>
      </c>
      <c r="F60" s="497" t="s">
        <v>198</v>
      </c>
      <c r="G60" s="507" t="s">
        <v>83</v>
      </c>
      <c r="H60" s="475">
        <v>12040</v>
      </c>
      <c r="I60" s="508" t="s">
        <v>228</v>
      </c>
      <c r="J60" s="476">
        <v>860</v>
      </c>
      <c r="K60" s="464" t="s">
        <v>228</v>
      </c>
      <c r="L60" s="509"/>
      <c r="M60" s="464" t="s">
        <v>228</v>
      </c>
      <c r="N60" s="657"/>
      <c r="O60" s="657"/>
      <c r="P60" s="464"/>
      <c r="Q60" s="447">
        <v>1211250</v>
      </c>
      <c r="R60" s="716"/>
    </row>
    <row r="61" spans="1:18" s="465" customFormat="1" ht="18.75" customHeight="1" x14ac:dyDescent="0.2">
      <c r="A61" s="504" t="s">
        <v>548</v>
      </c>
      <c r="B61" s="505" t="s">
        <v>603</v>
      </c>
      <c r="C61" s="506"/>
      <c r="D61" s="510"/>
      <c r="E61" s="456" t="s">
        <v>198</v>
      </c>
      <c r="F61" s="497" t="s">
        <v>198</v>
      </c>
      <c r="G61" s="507" t="s">
        <v>83</v>
      </c>
      <c r="H61" s="475">
        <v>9890</v>
      </c>
      <c r="I61" s="508" t="s">
        <v>228</v>
      </c>
      <c r="J61" s="476">
        <v>860</v>
      </c>
      <c r="K61" s="464" t="s">
        <v>228</v>
      </c>
      <c r="L61" s="509"/>
      <c r="M61" s="464" t="s">
        <v>228</v>
      </c>
      <c r="N61" s="743" t="s">
        <v>802</v>
      </c>
      <c r="O61" s="746" t="s">
        <v>773</v>
      </c>
      <c r="P61" s="464"/>
      <c r="Q61" s="908">
        <v>1900000</v>
      </c>
      <c r="R61" s="716"/>
    </row>
    <row r="62" spans="1:18" s="465" customFormat="1" ht="18.75" customHeight="1" x14ac:dyDescent="0.2">
      <c r="A62" s="504" t="s">
        <v>549</v>
      </c>
      <c r="B62" s="505" t="s">
        <v>604</v>
      </c>
      <c r="C62" s="506"/>
      <c r="D62" s="510"/>
      <c r="E62" s="456">
        <v>2</v>
      </c>
      <c r="F62" s="497">
        <v>2</v>
      </c>
      <c r="G62" s="507" t="s">
        <v>29</v>
      </c>
      <c r="H62" s="454">
        <v>6794</v>
      </c>
      <c r="I62" s="453">
        <f>H62*E62</f>
        <v>13588</v>
      </c>
      <c r="J62" s="476">
        <v>860</v>
      </c>
      <c r="K62" s="454">
        <f>J62*E62</f>
        <v>1720</v>
      </c>
      <c r="L62" s="454">
        <f t="shared" ref="L62:M62" si="21">J62+H62</f>
        <v>7654</v>
      </c>
      <c r="M62" s="454">
        <f t="shared" si="21"/>
        <v>15308</v>
      </c>
      <c r="N62" s="744"/>
      <c r="O62" s="747"/>
      <c r="P62" s="464"/>
      <c r="Q62" s="716">
        <f>SUM(Q59:Q61)</f>
        <v>9423650</v>
      </c>
      <c r="R62" s="716"/>
    </row>
    <row r="63" spans="1:18" s="465" customFormat="1" ht="18.75" customHeight="1" x14ac:dyDescent="0.2">
      <c r="A63" s="504" t="s">
        <v>550</v>
      </c>
      <c r="B63" s="505" t="s">
        <v>10</v>
      </c>
      <c r="C63" s="506"/>
      <c r="D63" s="510"/>
      <c r="E63" s="456">
        <v>3</v>
      </c>
      <c r="F63" s="497">
        <v>3</v>
      </c>
      <c r="G63" s="507" t="s">
        <v>29</v>
      </c>
      <c r="H63" s="454">
        <v>5848</v>
      </c>
      <c r="I63" s="453">
        <f>H63*E63</f>
        <v>17544</v>
      </c>
      <c r="J63" s="454">
        <v>860</v>
      </c>
      <c r="K63" s="454">
        <f>J63*E63</f>
        <v>2580</v>
      </c>
      <c r="L63" s="454">
        <f t="shared" ref="L63" si="22">J63+H63</f>
        <v>6708</v>
      </c>
      <c r="M63" s="454">
        <f t="shared" ref="M63" si="23">K63+I63</f>
        <v>20124</v>
      </c>
      <c r="N63" s="744"/>
      <c r="O63" s="747"/>
      <c r="P63" s="464"/>
      <c r="Q63" s="447"/>
      <c r="R63" s="716"/>
    </row>
    <row r="64" spans="1:18" s="465" customFormat="1" ht="18.75" customHeight="1" x14ac:dyDescent="0.2">
      <c r="A64" s="504" t="s">
        <v>570</v>
      </c>
      <c r="B64" s="505" t="s">
        <v>11</v>
      </c>
      <c r="C64" s="506"/>
      <c r="D64" s="510"/>
      <c r="E64" s="456" t="s">
        <v>198</v>
      </c>
      <c r="F64" s="497" t="s">
        <v>198</v>
      </c>
      <c r="G64" s="507" t="s">
        <v>83</v>
      </c>
      <c r="H64" s="475">
        <v>3440</v>
      </c>
      <c r="I64" s="508" t="s">
        <v>228</v>
      </c>
      <c r="J64" s="476">
        <v>860</v>
      </c>
      <c r="K64" s="464" t="s">
        <v>228</v>
      </c>
      <c r="L64" s="509"/>
      <c r="M64" s="464" t="s">
        <v>228</v>
      </c>
      <c r="N64" s="657"/>
      <c r="O64" s="657"/>
      <c r="P64" s="464"/>
      <c r="Q64" s="447"/>
      <c r="R64" s="716"/>
    </row>
    <row r="65" spans="1:18" s="539" customFormat="1" ht="18.75" customHeight="1" x14ac:dyDescent="0.2">
      <c r="A65" s="499">
        <v>5.2</v>
      </c>
      <c r="B65" s="549" t="s">
        <v>628</v>
      </c>
      <c r="C65" s="491"/>
      <c r="D65" s="537"/>
      <c r="E65" s="538"/>
      <c r="F65" s="538"/>
      <c r="G65" s="538"/>
      <c r="H65" s="475"/>
      <c r="I65" s="538"/>
      <c r="J65" s="476">
        <v>0</v>
      </c>
      <c r="K65" s="538"/>
      <c r="L65" s="538"/>
      <c r="M65" s="550"/>
      <c r="N65" s="550"/>
      <c r="O65" s="550"/>
      <c r="P65" s="550"/>
      <c r="Q65" s="447"/>
      <c r="R65" s="716"/>
    </row>
    <row r="66" spans="1:18" s="465" customFormat="1" ht="18.75" customHeight="1" x14ac:dyDescent="0.2">
      <c r="A66" s="504" t="s">
        <v>551</v>
      </c>
      <c r="B66" s="505" t="s">
        <v>10</v>
      </c>
      <c r="C66" s="506"/>
      <c r="D66" s="510"/>
      <c r="E66" s="456" t="s">
        <v>198</v>
      </c>
      <c r="F66" s="497" t="s">
        <v>198</v>
      </c>
      <c r="G66" s="507" t="s">
        <v>83</v>
      </c>
      <c r="H66" s="475">
        <v>5590</v>
      </c>
      <c r="I66" s="508" t="s">
        <v>228</v>
      </c>
      <c r="J66" s="476">
        <v>860</v>
      </c>
      <c r="K66" s="464" t="s">
        <v>228</v>
      </c>
      <c r="L66" s="509"/>
      <c r="M66" s="464" t="s">
        <v>228</v>
      </c>
      <c r="N66" s="746" t="s">
        <v>802</v>
      </c>
      <c r="O66" s="746" t="s">
        <v>773</v>
      </c>
      <c r="P66" s="464"/>
      <c r="Q66" s="447"/>
      <c r="R66" s="716"/>
    </row>
    <row r="67" spans="1:18" s="465" customFormat="1" ht="18.75" customHeight="1" x14ac:dyDescent="0.2">
      <c r="A67" s="504" t="s">
        <v>552</v>
      </c>
      <c r="B67" s="505" t="s">
        <v>11</v>
      </c>
      <c r="C67" s="506"/>
      <c r="D67" s="510"/>
      <c r="E67" s="456" t="s">
        <v>198</v>
      </c>
      <c r="F67" s="497" t="s">
        <v>198</v>
      </c>
      <c r="G67" s="507" t="s">
        <v>29</v>
      </c>
      <c r="H67" s="475">
        <v>4730</v>
      </c>
      <c r="I67" s="508" t="s">
        <v>228</v>
      </c>
      <c r="J67" s="476">
        <v>860</v>
      </c>
      <c r="K67" s="464" t="s">
        <v>228</v>
      </c>
      <c r="L67" s="509"/>
      <c r="M67" s="464" t="s">
        <v>228</v>
      </c>
      <c r="N67" s="747"/>
      <c r="O67" s="747"/>
      <c r="P67" s="464"/>
      <c r="Q67" s="447"/>
      <c r="R67" s="716"/>
    </row>
    <row r="68" spans="1:18" s="539" customFormat="1" ht="18.75" customHeight="1" x14ac:dyDescent="0.2">
      <c r="A68" s="499">
        <v>5.3</v>
      </c>
      <c r="B68" s="549" t="s">
        <v>749</v>
      </c>
      <c r="C68" s="491"/>
      <c r="D68" s="491"/>
      <c r="E68" s="462"/>
      <c r="F68" s="462"/>
      <c r="G68" s="551"/>
      <c r="H68" s="475"/>
      <c r="I68" s="492"/>
      <c r="J68" s="476">
        <v>0</v>
      </c>
      <c r="K68" s="534"/>
      <c r="L68" s="534"/>
      <c r="M68" s="535"/>
      <c r="N68" s="657"/>
      <c r="O68" s="657"/>
      <c r="P68" s="535"/>
      <c r="Q68" s="447"/>
      <c r="R68" s="716"/>
    </row>
    <row r="69" spans="1:18" s="465" customFormat="1" ht="18.75" customHeight="1" x14ac:dyDescent="0.2">
      <c r="A69" s="504" t="s">
        <v>553</v>
      </c>
      <c r="B69" s="505" t="s">
        <v>20</v>
      </c>
      <c r="C69" s="506"/>
      <c r="D69" s="506"/>
      <c r="E69" s="456" t="s">
        <v>198</v>
      </c>
      <c r="F69" s="497" t="s">
        <v>198</v>
      </c>
      <c r="G69" s="507" t="s">
        <v>83</v>
      </c>
      <c r="H69" s="475">
        <v>12040</v>
      </c>
      <c r="I69" s="508" t="s">
        <v>228</v>
      </c>
      <c r="J69" s="476">
        <v>860</v>
      </c>
      <c r="K69" s="464" t="s">
        <v>228</v>
      </c>
      <c r="L69" s="509"/>
      <c r="M69" s="464" t="s">
        <v>228</v>
      </c>
      <c r="N69" s="657"/>
      <c r="O69" s="657"/>
      <c r="P69" s="464"/>
      <c r="Q69" s="447"/>
      <c r="R69" s="716"/>
    </row>
    <row r="70" spans="1:18" s="465" customFormat="1" ht="18.75" customHeight="1" x14ac:dyDescent="0.2">
      <c r="A70" s="504" t="s">
        <v>554</v>
      </c>
      <c r="B70" s="505" t="s">
        <v>603</v>
      </c>
      <c r="C70" s="506"/>
      <c r="D70" s="506"/>
      <c r="E70" s="456" t="s">
        <v>198</v>
      </c>
      <c r="F70" s="497" t="s">
        <v>198</v>
      </c>
      <c r="G70" s="507" t="s">
        <v>83</v>
      </c>
      <c r="H70" s="475">
        <v>8514</v>
      </c>
      <c r="I70" s="508" t="s">
        <v>228</v>
      </c>
      <c r="J70" s="476">
        <v>860</v>
      </c>
      <c r="K70" s="464" t="s">
        <v>228</v>
      </c>
      <c r="L70" s="509"/>
      <c r="M70" s="464" t="s">
        <v>228</v>
      </c>
      <c r="N70" s="746" t="s">
        <v>802</v>
      </c>
      <c r="O70" s="746" t="s">
        <v>773</v>
      </c>
      <c r="P70" s="464"/>
      <c r="Q70" s="447"/>
      <c r="R70" s="716"/>
    </row>
    <row r="71" spans="1:18" s="465" customFormat="1" ht="18.75" customHeight="1" x14ac:dyDescent="0.2">
      <c r="A71" s="504" t="s">
        <v>555</v>
      </c>
      <c r="B71" s="505" t="s">
        <v>604</v>
      </c>
      <c r="C71" s="506"/>
      <c r="D71" s="506"/>
      <c r="E71" s="456">
        <v>1</v>
      </c>
      <c r="F71" s="497">
        <v>1</v>
      </c>
      <c r="G71" s="507" t="s">
        <v>83</v>
      </c>
      <c r="H71" s="454">
        <v>6020</v>
      </c>
      <c r="I71" s="453">
        <f>H71*E71</f>
        <v>6020</v>
      </c>
      <c r="J71" s="476">
        <v>860</v>
      </c>
      <c r="K71" s="454">
        <f>J71*E71</f>
        <v>860</v>
      </c>
      <c r="L71" s="454">
        <f t="shared" ref="L71:M71" si="24">J71+H71</f>
        <v>6880</v>
      </c>
      <c r="M71" s="454">
        <f t="shared" si="24"/>
        <v>6880</v>
      </c>
      <c r="N71" s="747"/>
      <c r="O71" s="747"/>
      <c r="P71" s="464"/>
      <c r="Q71" s="447"/>
      <c r="R71" s="716"/>
    </row>
    <row r="72" spans="1:18" s="465" customFormat="1" ht="18.75" customHeight="1" x14ac:dyDescent="0.2">
      <c r="A72" s="504" t="s">
        <v>556</v>
      </c>
      <c r="B72" s="505" t="s">
        <v>10</v>
      </c>
      <c r="C72" s="506"/>
      <c r="D72" s="510"/>
      <c r="E72" s="456">
        <v>1</v>
      </c>
      <c r="F72" s="497">
        <v>1</v>
      </c>
      <c r="G72" s="507" t="s">
        <v>83</v>
      </c>
      <c r="H72" s="454">
        <v>4730</v>
      </c>
      <c r="I72" s="453">
        <f>H72*E72</f>
        <v>4730</v>
      </c>
      <c r="J72" s="454">
        <v>860</v>
      </c>
      <c r="K72" s="454">
        <f>J72*E72</f>
        <v>860</v>
      </c>
      <c r="L72" s="454">
        <f t="shared" ref="L72" si="25">J72+H72</f>
        <v>5590</v>
      </c>
      <c r="M72" s="454">
        <f t="shared" ref="M72" si="26">K72+I72</f>
        <v>5590</v>
      </c>
      <c r="N72" s="657"/>
      <c r="O72" s="657"/>
      <c r="P72" s="464"/>
      <c r="Q72" s="447"/>
      <c r="R72" s="716"/>
    </row>
    <row r="73" spans="1:18" s="539" customFormat="1" ht="18.75" customHeight="1" x14ac:dyDescent="0.2">
      <c r="A73" s="499">
        <v>5.4</v>
      </c>
      <c r="B73" s="549" t="s">
        <v>523</v>
      </c>
      <c r="C73" s="491"/>
      <c r="D73" s="537"/>
      <c r="E73" s="462"/>
      <c r="F73" s="462"/>
      <c r="G73" s="462"/>
      <c r="H73" s="475"/>
      <c r="I73" s="538"/>
      <c r="J73" s="476">
        <v>0</v>
      </c>
      <c r="K73" s="538"/>
      <c r="L73" s="538"/>
      <c r="M73" s="550"/>
      <c r="N73" s="550"/>
      <c r="O73" s="550"/>
      <c r="P73" s="550"/>
      <c r="Q73" s="447"/>
      <c r="R73" s="716"/>
    </row>
    <row r="74" spans="1:18" s="539" customFormat="1" ht="18.75" customHeight="1" x14ac:dyDescent="0.2">
      <c r="A74" s="504" t="s">
        <v>557</v>
      </c>
      <c r="B74" s="505" t="s">
        <v>603</v>
      </c>
      <c r="C74" s="506"/>
      <c r="D74" s="510"/>
      <c r="E74" s="456" t="s">
        <v>198</v>
      </c>
      <c r="F74" s="497" t="s">
        <v>198</v>
      </c>
      <c r="G74" s="507" t="s">
        <v>83</v>
      </c>
      <c r="H74" s="475">
        <v>70520</v>
      </c>
      <c r="I74" s="508" t="s">
        <v>228</v>
      </c>
      <c r="J74" s="476">
        <v>860</v>
      </c>
      <c r="K74" s="464" t="s">
        <v>228</v>
      </c>
      <c r="L74" s="509"/>
      <c r="M74" s="464" t="s">
        <v>228</v>
      </c>
      <c r="N74" s="743" t="s">
        <v>802</v>
      </c>
      <c r="O74" s="746" t="s">
        <v>773</v>
      </c>
      <c r="P74" s="464"/>
      <c r="Q74" s="447"/>
      <c r="R74" s="716"/>
    </row>
    <row r="75" spans="1:18" s="465" customFormat="1" ht="18.75" customHeight="1" x14ac:dyDescent="0.2">
      <c r="A75" s="504" t="s">
        <v>558</v>
      </c>
      <c r="B75" s="505" t="s">
        <v>604</v>
      </c>
      <c r="C75" s="506"/>
      <c r="D75" s="510"/>
      <c r="E75" s="456">
        <v>1</v>
      </c>
      <c r="F75" s="497">
        <v>1</v>
      </c>
      <c r="G75" s="507" t="s">
        <v>83</v>
      </c>
      <c r="H75" s="454">
        <v>55900</v>
      </c>
      <c r="I75" s="453">
        <f>H75*E75</f>
        <v>55900</v>
      </c>
      <c r="J75" s="454">
        <v>860</v>
      </c>
      <c r="K75" s="454">
        <f>J75*E75</f>
        <v>860</v>
      </c>
      <c r="L75" s="454">
        <f t="shared" ref="L75" si="27">J75+H75</f>
        <v>56760</v>
      </c>
      <c r="M75" s="454">
        <f t="shared" ref="M75" si="28">K75+I75</f>
        <v>56760</v>
      </c>
      <c r="N75" s="744"/>
      <c r="O75" s="747"/>
      <c r="P75" s="464"/>
      <c r="Q75" s="447"/>
      <c r="R75" s="716"/>
    </row>
    <row r="76" spans="1:18" s="539" customFormat="1" ht="18.75" customHeight="1" x14ac:dyDescent="0.2">
      <c r="A76" s="504" t="s">
        <v>559</v>
      </c>
      <c r="B76" s="505" t="s">
        <v>10</v>
      </c>
      <c r="C76" s="506"/>
      <c r="D76" s="510"/>
      <c r="E76" s="456" t="s">
        <v>198</v>
      </c>
      <c r="F76" s="497" t="s">
        <v>198</v>
      </c>
      <c r="G76" s="507" t="s">
        <v>83</v>
      </c>
      <c r="H76" s="475">
        <v>47300</v>
      </c>
      <c r="I76" s="508" t="s">
        <v>228</v>
      </c>
      <c r="J76" s="476">
        <v>860</v>
      </c>
      <c r="K76" s="464" t="s">
        <v>228</v>
      </c>
      <c r="L76" s="509"/>
      <c r="M76" s="464" t="s">
        <v>228</v>
      </c>
      <c r="N76" s="744"/>
      <c r="O76" s="747"/>
      <c r="P76" s="464"/>
      <c r="Q76" s="447"/>
      <c r="R76" s="716"/>
    </row>
    <row r="77" spans="1:18" s="465" customFormat="1" ht="18.75" customHeight="1" x14ac:dyDescent="0.2">
      <c r="A77" s="504">
        <v>5.5</v>
      </c>
      <c r="B77" s="521" t="s">
        <v>630</v>
      </c>
      <c r="C77" s="506"/>
      <c r="D77" s="510"/>
      <c r="E77" s="495">
        <v>2</v>
      </c>
      <c r="F77" s="497">
        <v>2</v>
      </c>
      <c r="G77" s="507" t="s">
        <v>29</v>
      </c>
      <c r="H77" s="454">
        <v>4730</v>
      </c>
      <c r="I77" s="453">
        <f>H77*E77</f>
        <v>9460</v>
      </c>
      <c r="J77" s="476">
        <v>860</v>
      </c>
      <c r="K77" s="454">
        <f>J77*E77</f>
        <v>1720</v>
      </c>
      <c r="L77" s="454">
        <f t="shared" ref="L77:M78" si="29">J77+H77</f>
        <v>5590</v>
      </c>
      <c r="M77" s="454">
        <f t="shared" si="29"/>
        <v>11180</v>
      </c>
      <c r="N77" s="745"/>
      <c r="O77" s="748"/>
      <c r="P77" s="464"/>
      <c r="Q77" s="447"/>
      <c r="R77" s="716"/>
    </row>
    <row r="78" spans="1:18" s="539" customFormat="1" ht="18.75" customHeight="1" thickBot="1" x14ac:dyDescent="0.25">
      <c r="A78" s="504">
        <v>5.6</v>
      </c>
      <c r="B78" s="521" t="s">
        <v>508</v>
      </c>
      <c r="C78" s="506"/>
      <c r="D78" s="510"/>
      <c r="E78" s="495">
        <v>2</v>
      </c>
      <c r="F78" s="497">
        <v>2</v>
      </c>
      <c r="G78" s="507" t="s">
        <v>29</v>
      </c>
      <c r="H78" s="454">
        <v>3010</v>
      </c>
      <c r="I78" s="453">
        <f>H78*E78</f>
        <v>6020</v>
      </c>
      <c r="J78" s="476">
        <v>860</v>
      </c>
      <c r="K78" s="454">
        <f>J78*E78</f>
        <v>1720</v>
      </c>
      <c r="L78" s="454">
        <f t="shared" si="29"/>
        <v>3870</v>
      </c>
      <c r="M78" s="454">
        <f t="shared" si="29"/>
        <v>7740</v>
      </c>
      <c r="N78" s="657"/>
      <c r="O78" s="657"/>
      <c r="P78" s="464"/>
      <c r="Q78" s="447"/>
      <c r="R78" s="716"/>
    </row>
    <row r="79" spans="1:18" s="447" customFormat="1" ht="18.75" customHeight="1" thickBot="1" x14ac:dyDescent="0.25">
      <c r="A79" s="792" t="s">
        <v>147</v>
      </c>
      <c r="B79" s="793"/>
      <c r="C79" s="793"/>
      <c r="D79" s="793"/>
      <c r="E79" s="793"/>
      <c r="F79" s="794"/>
      <c r="G79" s="795"/>
      <c r="H79" s="466"/>
      <c r="I79" s="467"/>
      <c r="J79" s="468"/>
      <c r="K79" s="467"/>
      <c r="L79" s="468"/>
      <c r="M79" s="469"/>
      <c r="N79" s="658"/>
      <c r="O79" s="658"/>
      <c r="P79" s="469"/>
      <c r="R79" s="716"/>
    </row>
    <row r="80" spans="1:18" s="465" customFormat="1" ht="18.75" customHeight="1" x14ac:dyDescent="0.2">
      <c r="A80" s="470">
        <v>6</v>
      </c>
      <c r="B80" s="552" t="s">
        <v>583</v>
      </c>
      <c r="C80" s="553"/>
      <c r="D80" s="506"/>
      <c r="E80" s="554"/>
      <c r="F80" s="554"/>
      <c r="G80" s="554"/>
      <c r="H80" s="475"/>
      <c r="I80" s="555"/>
      <c r="J80" s="476"/>
      <c r="K80" s="555"/>
      <c r="L80" s="555"/>
      <c r="M80" s="556"/>
      <c r="N80" s="666"/>
      <c r="O80" s="666"/>
      <c r="P80" s="556"/>
      <c r="Q80" s="447"/>
      <c r="R80" s="716"/>
    </row>
    <row r="81" spans="1:18" s="465" customFormat="1" ht="18.75" customHeight="1" x14ac:dyDescent="0.2">
      <c r="A81" s="504">
        <v>6.1</v>
      </c>
      <c r="B81" s="557" t="s">
        <v>505</v>
      </c>
      <c r="C81" s="557"/>
      <c r="D81" s="557"/>
      <c r="E81" s="709">
        <v>13610</v>
      </c>
      <c r="F81" s="482">
        <v>13220</v>
      </c>
      <c r="G81" s="483" t="s">
        <v>606</v>
      </c>
      <c r="H81" s="454">
        <v>395.6</v>
      </c>
      <c r="I81" s="453">
        <f>H81*E81</f>
        <v>5384116</v>
      </c>
      <c r="J81" s="454">
        <v>81.7</v>
      </c>
      <c r="K81" s="454">
        <f>J81*E81</f>
        <v>1111937</v>
      </c>
      <c r="L81" s="454">
        <f t="shared" ref="L81:M82" si="30">J81+H81</f>
        <v>477.3</v>
      </c>
      <c r="M81" s="454">
        <f t="shared" si="30"/>
        <v>6496053</v>
      </c>
      <c r="N81" s="753" t="s">
        <v>779</v>
      </c>
      <c r="O81" s="746" t="s">
        <v>773</v>
      </c>
      <c r="P81" s="464"/>
      <c r="Q81" s="447"/>
      <c r="R81" s="716"/>
    </row>
    <row r="82" spans="1:18" s="465" customFormat="1" ht="18.75" customHeight="1" x14ac:dyDescent="0.2">
      <c r="A82" s="504">
        <v>6.2</v>
      </c>
      <c r="B82" s="557" t="s">
        <v>506</v>
      </c>
      <c r="C82" s="557"/>
      <c r="D82" s="557"/>
      <c r="E82" s="709">
        <v>180</v>
      </c>
      <c r="F82" s="482">
        <v>100</v>
      </c>
      <c r="G82" s="483" t="s">
        <v>606</v>
      </c>
      <c r="H82" s="454">
        <v>326.8</v>
      </c>
      <c r="I82" s="453">
        <f>H82*E82</f>
        <v>58824</v>
      </c>
      <c r="J82" s="454">
        <v>77.400000000000006</v>
      </c>
      <c r="K82" s="454">
        <f>J82*E82</f>
        <v>13932.000000000002</v>
      </c>
      <c r="L82" s="454">
        <f t="shared" si="30"/>
        <v>404.20000000000005</v>
      </c>
      <c r="M82" s="454">
        <f t="shared" si="30"/>
        <v>72756</v>
      </c>
      <c r="N82" s="754"/>
      <c r="O82" s="747"/>
      <c r="P82" s="464"/>
      <c r="Q82" s="447"/>
      <c r="R82" s="716"/>
    </row>
    <row r="83" spans="1:18" s="539" customFormat="1" ht="18.75" customHeight="1" x14ac:dyDescent="0.2">
      <c r="A83" s="499">
        <v>6.3</v>
      </c>
      <c r="B83" s="536" t="s">
        <v>584</v>
      </c>
      <c r="C83" s="491"/>
      <c r="D83" s="537"/>
      <c r="E83" s="538"/>
      <c r="F83" s="538"/>
      <c r="G83" s="492"/>
      <c r="H83" s="475"/>
      <c r="I83" s="492"/>
      <c r="J83" s="476">
        <v>0</v>
      </c>
      <c r="K83" s="534"/>
      <c r="L83" s="534"/>
      <c r="M83" s="535"/>
      <c r="N83" s="657"/>
      <c r="O83" s="657"/>
      <c r="P83" s="535"/>
      <c r="Q83" s="447"/>
      <c r="R83" s="716"/>
    </row>
    <row r="84" spans="1:18" s="465" customFormat="1" ht="18.75" customHeight="1" x14ac:dyDescent="0.2">
      <c r="A84" s="504" t="s">
        <v>560</v>
      </c>
      <c r="B84" s="505" t="s">
        <v>20</v>
      </c>
      <c r="C84" s="506"/>
      <c r="D84" s="537"/>
      <c r="E84" s="456" t="s">
        <v>198</v>
      </c>
      <c r="F84" s="497" t="s">
        <v>198</v>
      </c>
      <c r="G84" s="507" t="s">
        <v>22</v>
      </c>
      <c r="H84" s="475">
        <v>1032</v>
      </c>
      <c r="I84" s="508" t="s">
        <v>228</v>
      </c>
      <c r="J84" s="476">
        <v>223.6</v>
      </c>
      <c r="K84" s="464" t="s">
        <v>228</v>
      </c>
      <c r="L84" s="509"/>
      <c r="M84" s="464" t="s">
        <v>228</v>
      </c>
      <c r="N84" s="753" t="s">
        <v>779</v>
      </c>
      <c r="O84" s="746" t="s">
        <v>773</v>
      </c>
      <c r="P84" s="464"/>
      <c r="Q84" s="447"/>
      <c r="R84" s="716"/>
    </row>
    <row r="85" spans="1:18" s="465" customFormat="1" ht="18.75" customHeight="1" x14ac:dyDescent="0.2">
      <c r="A85" s="504" t="s">
        <v>561</v>
      </c>
      <c r="B85" s="505" t="s">
        <v>603</v>
      </c>
      <c r="C85" s="506"/>
      <c r="D85" s="537"/>
      <c r="E85" s="456" t="s">
        <v>198</v>
      </c>
      <c r="F85" s="497" t="s">
        <v>198</v>
      </c>
      <c r="G85" s="507" t="s">
        <v>22</v>
      </c>
      <c r="H85" s="475">
        <v>817</v>
      </c>
      <c r="I85" s="508" t="s">
        <v>228</v>
      </c>
      <c r="J85" s="476">
        <v>189.2</v>
      </c>
      <c r="K85" s="464" t="s">
        <v>228</v>
      </c>
      <c r="L85" s="509"/>
      <c r="M85" s="464" t="s">
        <v>228</v>
      </c>
      <c r="N85" s="754"/>
      <c r="O85" s="747"/>
      <c r="P85" s="464"/>
      <c r="Q85" s="447"/>
      <c r="R85" s="716"/>
    </row>
    <row r="86" spans="1:18" s="465" customFormat="1" ht="18.75" customHeight="1" x14ac:dyDescent="0.2">
      <c r="A86" s="504" t="s">
        <v>562</v>
      </c>
      <c r="B86" s="505" t="s">
        <v>604</v>
      </c>
      <c r="C86" s="506"/>
      <c r="D86" s="537"/>
      <c r="E86" s="456" t="s">
        <v>198</v>
      </c>
      <c r="F86" s="497" t="s">
        <v>198</v>
      </c>
      <c r="G86" s="507" t="s">
        <v>22</v>
      </c>
      <c r="H86" s="475">
        <v>683.7</v>
      </c>
      <c r="I86" s="508" t="s">
        <v>228</v>
      </c>
      <c r="J86" s="476">
        <v>189.2</v>
      </c>
      <c r="K86" s="464" t="s">
        <v>228</v>
      </c>
      <c r="L86" s="509"/>
      <c r="M86" s="464" t="s">
        <v>228</v>
      </c>
      <c r="N86" s="657"/>
      <c r="O86" s="657"/>
      <c r="P86" s="464"/>
      <c r="Q86" s="447"/>
      <c r="R86" s="716"/>
    </row>
    <row r="87" spans="1:18" s="465" customFormat="1" ht="18.75" customHeight="1" x14ac:dyDescent="0.2">
      <c r="A87" s="504" t="s">
        <v>563</v>
      </c>
      <c r="B87" s="505" t="s">
        <v>10</v>
      </c>
      <c r="C87" s="506"/>
      <c r="D87" s="491"/>
      <c r="E87" s="710">
        <v>120</v>
      </c>
      <c r="F87" s="497">
        <v>100</v>
      </c>
      <c r="G87" s="507" t="s">
        <v>22</v>
      </c>
      <c r="H87" s="454">
        <v>593.4</v>
      </c>
      <c r="I87" s="453">
        <f>H87*E87</f>
        <v>71208</v>
      </c>
      <c r="J87" s="454">
        <v>189.2</v>
      </c>
      <c r="K87" s="454">
        <f>J87*E87</f>
        <v>22704</v>
      </c>
      <c r="L87" s="454">
        <f t="shared" ref="L87" si="31">J87+H87</f>
        <v>782.59999999999991</v>
      </c>
      <c r="M87" s="454">
        <f t="shared" ref="M87" si="32">K87+I87</f>
        <v>93912</v>
      </c>
      <c r="N87" s="657"/>
      <c r="O87" s="657"/>
      <c r="P87" s="464"/>
      <c r="Q87" s="447"/>
      <c r="R87" s="716"/>
    </row>
    <row r="88" spans="1:18" s="465" customFormat="1" ht="18.75" customHeight="1" x14ac:dyDescent="0.2">
      <c r="A88" s="499">
        <v>6.4</v>
      </c>
      <c r="B88" s="536" t="s">
        <v>585</v>
      </c>
      <c r="C88" s="491"/>
      <c r="D88" s="558"/>
      <c r="E88" s="492"/>
      <c r="F88" s="492"/>
      <c r="G88" s="492"/>
      <c r="H88" s="475"/>
      <c r="I88" s="493"/>
      <c r="J88" s="476">
        <v>0</v>
      </c>
      <c r="K88" s="493"/>
      <c r="L88" s="520"/>
      <c r="M88" s="494"/>
      <c r="N88" s="463"/>
      <c r="O88" s="463"/>
      <c r="P88" s="494"/>
      <c r="Q88" s="447"/>
      <c r="R88" s="716"/>
    </row>
    <row r="89" spans="1:18" s="465" customFormat="1" ht="18.75" customHeight="1" x14ac:dyDescent="0.2">
      <c r="A89" s="504" t="s">
        <v>564</v>
      </c>
      <c r="B89" s="505" t="s">
        <v>604</v>
      </c>
      <c r="C89" s="506"/>
      <c r="D89" s="558"/>
      <c r="E89" s="559" t="s">
        <v>198</v>
      </c>
      <c r="F89" s="560" t="s">
        <v>198</v>
      </c>
      <c r="G89" s="507" t="s">
        <v>22</v>
      </c>
      <c r="H89" s="475">
        <v>584.79999999999995</v>
      </c>
      <c r="I89" s="508" t="s">
        <v>228</v>
      </c>
      <c r="J89" s="476">
        <v>86</v>
      </c>
      <c r="K89" s="464" t="s">
        <v>228</v>
      </c>
      <c r="L89" s="509"/>
      <c r="M89" s="464" t="s">
        <v>228</v>
      </c>
      <c r="N89" s="753" t="s">
        <v>779</v>
      </c>
      <c r="O89" s="746" t="s">
        <v>773</v>
      </c>
      <c r="P89" s="464"/>
      <c r="Q89" s="447"/>
      <c r="R89" s="716"/>
    </row>
    <row r="90" spans="1:18" s="465" customFormat="1" ht="18.75" customHeight="1" x14ac:dyDescent="0.2">
      <c r="A90" s="504" t="s">
        <v>565</v>
      </c>
      <c r="B90" s="505" t="s">
        <v>10</v>
      </c>
      <c r="C90" s="506"/>
      <c r="D90" s="558"/>
      <c r="E90" s="710">
        <v>80</v>
      </c>
      <c r="F90" s="497">
        <v>65</v>
      </c>
      <c r="G90" s="507" t="s">
        <v>22</v>
      </c>
      <c r="H90" s="454">
        <v>498.8</v>
      </c>
      <c r="I90" s="453">
        <f>H90*E90</f>
        <v>39904</v>
      </c>
      <c r="J90" s="454">
        <v>86</v>
      </c>
      <c r="K90" s="454">
        <f>J90*E90</f>
        <v>6880</v>
      </c>
      <c r="L90" s="454">
        <f t="shared" ref="L90" si="33">J90+H90</f>
        <v>584.79999999999995</v>
      </c>
      <c r="M90" s="454">
        <f t="shared" ref="M90" si="34">K90+I90</f>
        <v>46784</v>
      </c>
      <c r="N90" s="754"/>
      <c r="O90" s="747"/>
      <c r="P90" s="464"/>
      <c r="Q90" s="447"/>
      <c r="R90" s="716"/>
    </row>
    <row r="91" spans="1:18" s="479" customFormat="1" ht="18.75" customHeight="1" x14ac:dyDescent="0.2">
      <c r="A91" s="561">
        <v>6.5</v>
      </c>
      <c r="B91" s="549" t="s">
        <v>89</v>
      </c>
      <c r="C91" s="562"/>
      <c r="D91" s="492"/>
      <c r="E91" s="503"/>
      <c r="F91" s="503"/>
      <c r="G91" s="502"/>
      <c r="H91" s="503"/>
      <c r="I91" s="502"/>
      <c r="J91" s="563">
        <v>0</v>
      </c>
      <c r="K91" s="498"/>
      <c r="L91" s="564"/>
      <c r="M91" s="565"/>
      <c r="N91" s="667"/>
      <c r="O91" s="667"/>
      <c r="P91" s="565"/>
      <c r="Q91" s="447"/>
      <c r="R91" s="716"/>
    </row>
    <row r="92" spans="1:18" s="465" customFormat="1" ht="18.75" customHeight="1" x14ac:dyDescent="0.2">
      <c r="A92" s="504" t="s">
        <v>566</v>
      </c>
      <c r="B92" s="505" t="s">
        <v>20</v>
      </c>
      <c r="C92" s="506"/>
      <c r="D92" s="558"/>
      <c r="E92" s="456" t="s">
        <v>198</v>
      </c>
      <c r="F92" s="497" t="s">
        <v>198</v>
      </c>
      <c r="G92" s="507" t="s">
        <v>83</v>
      </c>
      <c r="H92" s="475"/>
      <c r="I92" s="508" t="s">
        <v>228</v>
      </c>
      <c r="J92" s="476">
        <v>0</v>
      </c>
      <c r="K92" s="464" t="s">
        <v>228</v>
      </c>
      <c r="L92" s="509"/>
      <c r="M92" s="464" t="s">
        <v>228</v>
      </c>
      <c r="N92" s="657"/>
      <c r="O92" s="657"/>
      <c r="P92" s="464"/>
      <c r="Q92" s="447"/>
      <c r="R92" s="716"/>
    </row>
    <row r="93" spans="1:18" s="465" customFormat="1" ht="18.75" customHeight="1" x14ac:dyDescent="0.2">
      <c r="A93" s="504" t="s">
        <v>567</v>
      </c>
      <c r="B93" s="505" t="s">
        <v>603</v>
      </c>
      <c r="C93" s="506"/>
      <c r="D93" s="558"/>
      <c r="E93" s="456" t="s">
        <v>198</v>
      </c>
      <c r="F93" s="497" t="s">
        <v>198</v>
      </c>
      <c r="G93" s="507" t="s">
        <v>83</v>
      </c>
      <c r="H93" s="475">
        <v>2580</v>
      </c>
      <c r="I93" s="508" t="s">
        <v>228</v>
      </c>
      <c r="J93" s="476">
        <v>1720</v>
      </c>
      <c r="K93" s="464" t="s">
        <v>228</v>
      </c>
      <c r="L93" s="509"/>
      <c r="M93" s="464" t="s">
        <v>228</v>
      </c>
      <c r="N93" s="657"/>
      <c r="O93" s="657"/>
      <c r="P93" s="464"/>
      <c r="Q93" s="447"/>
      <c r="R93" s="716"/>
    </row>
    <row r="94" spans="1:18" s="465" customFormat="1" ht="18.75" customHeight="1" x14ac:dyDescent="0.2">
      <c r="A94" s="504" t="s">
        <v>568</v>
      </c>
      <c r="B94" s="505" t="s">
        <v>604</v>
      </c>
      <c r="C94" s="506"/>
      <c r="D94" s="558"/>
      <c r="E94" s="456" t="s">
        <v>198</v>
      </c>
      <c r="F94" s="497" t="s">
        <v>198</v>
      </c>
      <c r="G94" s="507" t="s">
        <v>83</v>
      </c>
      <c r="H94" s="475">
        <v>1290</v>
      </c>
      <c r="I94" s="508" t="s">
        <v>228</v>
      </c>
      <c r="J94" s="476">
        <v>860</v>
      </c>
      <c r="K94" s="464" t="s">
        <v>228</v>
      </c>
      <c r="L94" s="509"/>
      <c r="M94" s="464" t="s">
        <v>228</v>
      </c>
      <c r="N94" s="657"/>
      <c r="O94" s="657"/>
      <c r="P94" s="464"/>
      <c r="Q94" s="447"/>
      <c r="R94" s="716"/>
    </row>
    <row r="95" spans="1:18" s="465" customFormat="1" ht="18.75" customHeight="1" thickBot="1" x14ac:dyDescent="0.25">
      <c r="A95" s="504" t="s">
        <v>569</v>
      </c>
      <c r="B95" s="505" t="s">
        <v>10</v>
      </c>
      <c r="C95" s="506"/>
      <c r="D95" s="558"/>
      <c r="E95" s="456">
        <v>5</v>
      </c>
      <c r="F95" s="497">
        <v>5</v>
      </c>
      <c r="G95" s="507" t="s">
        <v>29</v>
      </c>
      <c r="H95" s="475">
        <v>1290</v>
      </c>
      <c r="I95" s="508" t="s">
        <v>228</v>
      </c>
      <c r="J95" s="476">
        <v>860</v>
      </c>
      <c r="K95" s="464" t="s">
        <v>228</v>
      </c>
      <c r="L95" s="509"/>
      <c r="M95" s="464" t="s">
        <v>228</v>
      </c>
      <c r="N95" s="657"/>
      <c r="O95" s="657"/>
      <c r="P95" s="464"/>
      <c r="Q95" s="447"/>
      <c r="R95" s="716"/>
    </row>
    <row r="96" spans="1:18" s="447" customFormat="1" ht="15" customHeight="1" thickBot="1" x14ac:dyDescent="0.25">
      <c r="A96" s="792" t="s">
        <v>147</v>
      </c>
      <c r="B96" s="793"/>
      <c r="C96" s="793"/>
      <c r="D96" s="793"/>
      <c r="E96" s="793"/>
      <c r="F96" s="794"/>
      <c r="G96" s="795"/>
      <c r="H96" s="466"/>
      <c r="I96" s="467"/>
      <c r="J96" s="468"/>
      <c r="K96" s="467"/>
      <c r="L96" s="468"/>
      <c r="M96" s="469"/>
      <c r="N96" s="658"/>
      <c r="O96" s="658"/>
      <c r="P96" s="469"/>
      <c r="R96" s="716"/>
    </row>
    <row r="97" spans="1:18" s="465" customFormat="1" ht="27" customHeight="1" x14ac:dyDescent="0.2">
      <c r="A97" s="470">
        <v>7</v>
      </c>
      <c r="B97" s="566" t="s">
        <v>53</v>
      </c>
      <c r="C97" s="567"/>
      <c r="D97" s="506"/>
      <c r="E97" s="568"/>
      <c r="F97" s="568"/>
      <c r="G97" s="568"/>
      <c r="H97" s="475"/>
      <c r="I97" s="569"/>
      <c r="J97" s="476"/>
      <c r="K97" s="569"/>
      <c r="L97" s="569"/>
      <c r="M97" s="494"/>
      <c r="N97" s="463"/>
      <c r="O97" s="463"/>
      <c r="P97" s="494"/>
      <c r="Q97" s="447"/>
      <c r="R97" s="716"/>
    </row>
    <row r="98" spans="1:18" s="465" customFormat="1" ht="63.75" customHeight="1" x14ac:dyDescent="0.2">
      <c r="A98" s="480">
        <v>7.1</v>
      </c>
      <c r="B98" s="796" t="s">
        <v>750</v>
      </c>
      <c r="C98" s="797"/>
      <c r="D98" s="798"/>
      <c r="E98" s="456">
        <v>285</v>
      </c>
      <c r="F98" s="497">
        <v>285</v>
      </c>
      <c r="G98" s="507" t="s">
        <v>22</v>
      </c>
      <c r="H98" s="454">
        <v>1290</v>
      </c>
      <c r="I98" s="453">
        <f t="shared" ref="I98:I103" si="35">H98*E98</f>
        <v>367650</v>
      </c>
      <c r="J98" s="454">
        <v>154.80000000000001</v>
      </c>
      <c r="K98" s="454">
        <f t="shared" ref="K98:K103" si="36">J98*E98</f>
        <v>44118</v>
      </c>
      <c r="L98" s="454">
        <f t="shared" ref="L98:M101" si="37">J98+H98</f>
        <v>1444.8</v>
      </c>
      <c r="M98" s="454">
        <f t="shared" si="37"/>
        <v>411768</v>
      </c>
      <c r="N98" s="743" t="s">
        <v>805</v>
      </c>
      <c r="O98" s="746" t="s">
        <v>773</v>
      </c>
      <c r="P98" s="464"/>
      <c r="Q98" s="447"/>
      <c r="R98" s="716"/>
    </row>
    <row r="99" spans="1:18" s="465" customFormat="1" ht="45.75" customHeight="1" x14ac:dyDescent="0.2">
      <c r="A99" s="480">
        <v>7.2</v>
      </c>
      <c r="B99" s="796" t="s">
        <v>612</v>
      </c>
      <c r="C99" s="797"/>
      <c r="D99" s="798"/>
      <c r="E99" s="456">
        <v>225</v>
      </c>
      <c r="F99" s="497">
        <v>225</v>
      </c>
      <c r="G99" s="507" t="s">
        <v>22</v>
      </c>
      <c r="H99" s="454">
        <v>1290</v>
      </c>
      <c r="I99" s="453">
        <f t="shared" si="35"/>
        <v>290250</v>
      </c>
      <c r="J99" s="454">
        <v>154.80000000000001</v>
      </c>
      <c r="K99" s="454">
        <f t="shared" si="36"/>
        <v>34830</v>
      </c>
      <c r="L99" s="454">
        <f t="shared" si="37"/>
        <v>1444.8</v>
      </c>
      <c r="M99" s="454">
        <f t="shared" si="37"/>
        <v>325080</v>
      </c>
      <c r="N99" s="744"/>
      <c r="O99" s="747"/>
      <c r="P99" s="464"/>
      <c r="Q99" s="447"/>
      <c r="R99" s="716"/>
    </row>
    <row r="100" spans="1:18" s="465" customFormat="1" ht="48.75" customHeight="1" x14ac:dyDescent="0.2">
      <c r="A100" s="480">
        <v>7.3</v>
      </c>
      <c r="B100" s="521" t="s">
        <v>751</v>
      </c>
      <c r="C100" s="491"/>
      <c r="D100" s="537"/>
      <c r="E100" s="456">
        <v>2</v>
      </c>
      <c r="F100" s="497">
        <v>2</v>
      </c>
      <c r="G100" s="507" t="s">
        <v>29</v>
      </c>
      <c r="H100" s="454">
        <v>62350</v>
      </c>
      <c r="I100" s="453">
        <f t="shared" si="35"/>
        <v>124700</v>
      </c>
      <c r="J100" s="454">
        <v>860</v>
      </c>
      <c r="K100" s="454">
        <f t="shared" si="36"/>
        <v>1720</v>
      </c>
      <c r="L100" s="454">
        <f t="shared" si="37"/>
        <v>63210</v>
      </c>
      <c r="M100" s="454">
        <f t="shared" si="37"/>
        <v>126420</v>
      </c>
      <c r="N100" s="744"/>
      <c r="O100" s="747"/>
      <c r="P100" s="464"/>
      <c r="Q100" s="447"/>
      <c r="R100" s="716"/>
    </row>
    <row r="101" spans="1:18" s="465" customFormat="1" ht="40.5" customHeight="1" x14ac:dyDescent="0.2">
      <c r="A101" s="480">
        <v>7.4</v>
      </c>
      <c r="B101" s="521" t="s">
        <v>752</v>
      </c>
      <c r="C101" s="570"/>
      <c r="D101" s="571"/>
      <c r="E101" s="456">
        <v>1</v>
      </c>
      <c r="F101" s="497">
        <v>1</v>
      </c>
      <c r="G101" s="507" t="s">
        <v>83</v>
      </c>
      <c r="H101" s="454">
        <v>84280</v>
      </c>
      <c r="I101" s="453">
        <f t="shared" si="35"/>
        <v>84280</v>
      </c>
      <c r="J101" s="454">
        <v>860</v>
      </c>
      <c r="K101" s="454">
        <f t="shared" si="36"/>
        <v>860</v>
      </c>
      <c r="L101" s="454">
        <f t="shared" si="37"/>
        <v>85140</v>
      </c>
      <c r="M101" s="454">
        <f t="shared" si="37"/>
        <v>85140</v>
      </c>
      <c r="N101" s="744"/>
      <c r="O101" s="747"/>
      <c r="P101" s="464"/>
      <c r="Q101" s="447"/>
      <c r="R101" s="716"/>
    </row>
    <row r="102" spans="1:18" s="465" customFormat="1" ht="33" customHeight="1" x14ac:dyDescent="0.2">
      <c r="A102" s="480">
        <v>7.5</v>
      </c>
      <c r="B102" s="486" t="s">
        <v>753</v>
      </c>
      <c r="C102" s="487"/>
      <c r="D102" s="572"/>
      <c r="E102" s="456">
        <v>1</v>
      </c>
      <c r="F102" s="497">
        <v>1</v>
      </c>
      <c r="G102" s="507" t="s">
        <v>83</v>
      </c>
      <c r="H102" s="454">
        <v>94600</v>
      </c>
      <c r="I102" s="453">
        <f t="shared" si="35"/>
        <v>94600</v>
      </c>
      <c r="J102" s="454">
        <v>1720</v>
      </c>
      <c r="K102" s="454">
        <f t="shared" si="36"/>
        <v>1720</v>
      </c>
      <c r="L102" s="454">
        <f t="shared" ref="L102:L104" si="38">J102+H102</f>
        <v>96320</v>
      </c>
      <c r="M102" s="454">
        <f t="shared" ref="M102:M103" si="39">K102+I102</f>
        <v>96320</v>
      </c>
      <c r="N102" s="744"/>
      <c r="O102" s="747"/>
      <c r="P102" s="464"/>
      <c r="Q102" s="447"/>
      <c r="R102" s="716"/>
    </row>
    <row r="103" spans="1:18" s="465" customFormat="1" ht="32.25" customHeight="1" x14ac:dyDescent="0.2">
      <c r="A103" s="480">
        <v>7.6</v>
      </c>
      <c r="B103" s="505" t="s">
        <v>640</v>
      </c>
      <c r="C103" s="506"/>
      <c r="D103" s="510"/>
      <c r="E103" s="456">
        <f>63+47</f>
        <v>110</v>
      </c>
      <c r="F103" s="497">
        <v>110</v>
      </c>
      <c r="G103" s="507" t="s">
        <v>29</v>
      </c>
      <c r="H103" s="454">
        <v>10320</v>
      </c>
      <c r="I103" s="453">
        <f t="shared" si="35"/>
        <v>1135200</v>
      </c>
      <c r="J103" s="454">
        <v>860</v>
      </c>
      <c r="K103" s="454">
        <f t="shared" si="36"/>
        <v>94600</v>
      </c>
      <c r="L103" s="454">
        <f t="shared" si="38"/>
        <v>11180</v>
      </c>
      <c r="M103" s="454">
        <f t="shared" si="39"/>
        <v>1229800</v>
      </c>
      <c r="N103" s="744"/>
      <c r="O103" s="747"/>
      <c r="P103" s="464"/>
      <c r="Q103" s="447"/>
      <c r="R103" s="716"/>
    </row>
    <row r="104" spans="1:18" s="465" customFormat="1" ht="30" customHeight="1" x14ac:dyDescent="0.2">
      <c r="A104" s="480">
        <v>7.7</v>
      </c>
      <c r="B104" s="505" t="s">
        <v>641</v>
      </c>
      <c r="C104" s="506"/>
      <c r="D104" s="510"/>
      <c r="E104" s="456" t="s">
        <v>198</v>
      </c>
      <c r="F104" s="497" t="s">
        <v>198</v>
      </c>
      <c r="G104" s="507" t="s">
        <v>83</v>
      </c>
      <c r="H104" s="475">
        <v>10320</v>
      </c>
      <c r="I104" s="508" t="s">
        <v>228</v>
      </c>
      <c r="J104" s="476">
        <v>860</v>
      </c>
      <c r="K104" s="464" t="s">
        <v>228</v>
      </c>
      <c r="L104" s="509">
        <f t="shared" si="38"/>
        <v>11180</v>
      </c>
      <c r="M104" s="464" t="s">
        <v>228</v>
      </c>
      <c r="N104" s="744"/>
      <c r="O104" s="747"/>
      <c r="P104" s="464"/>
      <c r="Q104" s="447"/>
      <c r="R104" s="716"/>
    </row>
    <row r="105" spans="1:18" s="465" customFormat="1" ht="29.25" customHeight="1" x14ac:dyDescent="0.2">
      <c r="A105" s="480">
        <v>7.8</v>
      </c>
      <c r="B105" s="505" t="s">
        <v>642</v>
      </c>
      <c r="C105" s="506"/>
      <c r="D105" s="510"/>
      <c r="E105" s="456">
        <v>7</v>
      </c>
      <c r="F105" s="497">
        <v>7</v>
      </c>
      <c r="G105" s="507" t="s">
        <v>83</v>
      </c>
      <c r="H105" s="454">
        <v>8600</v>
      </c>
      <c r="I105" s="453">
        <f>H105*E105</f>
        <v>60200</v>
      </c>
      <c r="J105" s="454">
        <v>860</v>
      </c>
      <c r="K105" s="454">
        <f>J105*E105</f>
        <v>6020</v>
      </c>
      <c r="L105" s="454">
        <f t="shared" ref="L105:L107" si="40">J105+H105</f>
        <v>9460</v>
      </c>
      <c r="M105" s="454">
        <f t="shared" ref="M105:M107" si="41">K105+I105</f>
        <v>66220</v>
      </c>
      <c r="N105" s="744"/>
      <c r="O105" s="747"/>
      <c r="P105" s="464"/>
      <c r="Q105" s="447"/>
      <c r="R105" s="716"/>
    </row>
    <row r="106" spans="1:18" s="465" customFormat="1" ht="28.5" customHeight="1" x14ac:dyDescent="0.2">
      <c r="A106" s="480">
        <v>7.9</v>
      </c>
      <c r="B106" s="505" t="s">
        <v>643</v>
      </c>
      <c r="C106" s="506"/>
      <c r="D106" s="510"/>
      <c r="E106" s="456">
        <v>17</v>
      </c>
      <c r="F106" s="497">
        <v>17</v>
      </c>
      <c r="G106" s="507" t="s">
        <v>29</v>
      </c>
      <c r="H106" s="454">
        <v>9460</v>
      </c>
      <c r="I106" s="453">
        <f>H106*E106</f>
        <v>160820</v>
      </c>
      <c r="J106" s="454">
        <v>860</v>
      </c>
      <c r="K106" s="454">
        <f>J106*E106</f>
        <v>14620</v>
      </c>
      <c r="L106" s="454">
        <f t="shared" si="40"/>
        <v>10320</v>
      </c>
      <c r="M106" s="454">
        <f t="shared" si="41"/>
        <v>175440</v>
      </c>
      <c r="N106" s="744"/>
      <c r="O106" s="747"/>
      <c r="P106" s="464"/>
      <c r="Q106" s="447"/>
      <c r="R106" s="716"/>
    </row>
    <row r="107" spans="1:18" s="465" customFormat="1" ht="33" customHeight="1" thickBot="1" x14ac:dyDescent="0.25">
      <c r="A107" s="573">
        <v>7.1</v>
      </c>
      <c r="B107" s="505" t="s">
        <v>497</v>
      </c>
      <c r="C107" s="506"/>
      <c r="D107" s="510"/>
      <c r="E107" s="456">
        <v>24</v>
      </c>
      <c r="F107" s="497">
        <v>24</v>
      </c>
      <c r="G107" s="507" t="s">
        <v>29</v>
      </c>
      <c r="H107" s="454">
        <v>3268</v>
      </c>
      <c r="I107" s="453">
        <f>H107*E107</f>
        <v>78432</v>
      </c>
      <c r="J107" s="454">
        <v>860</v>
      </c>
      <c r="K107" s="454">
        <f>J107*E107</f>
        <v>20640</v>
      </c>
      <c r="L107" s="454">
        <f t="shared" si="40"/>
        <v>4128</v>
      </c>
      <c r="M107" s="454">
        <f t="shared" si="41"/>
        <v>99072</v>
      </c>
      <c r="N107" s="752"/>
      <c r="O107" s="751"/>
      <c r="P107" s="464"/>
      <c r="Q107" s="447"/>
      <c r="R107" s="716"/>
    </row>
    <row r="108" spans="1:18" s="447" customFormat="1" ht="15" customHeight="1" thickBot="1" x14ac:dyDescent="0.25">
      <c r="A108" s="792" t="s">
        <v>147</v>
      </c>
      <c r="B108" s="793"/>
      <c r="C108" s="793"/>
      <c r="D108" s="793"/>
      <c r="E108" s="793"/>
      <c r="F108" s="794"/>
      <c r="G108" s="795"/>
      <c r="H108" s="466"/>
      <c r="I108" s="467"/>
      <c r="J108" s="468"/>
      <c r="K108" s="467"/>
      <c r="L108" s="468"/>
      <c r="M108" s="469"/>
      <c r="N108" s="658"/>
      <c r="O108" s="658"/>
      <c r="P108" s="469"/>
      <c r="R108" s="716"/>
    </row>
    <row r="109" spans="1:18" s="465" customFormat="1" ht="24.75" customHeight="1" x14ac:dyDescent="0.2">
      <c r="A109" s="470">
        <v>8</v>
      </c>
      <c r="B109" s="574" t="s">
        <v>754</v>
      </c>
      <c r="C109" s="575"/>
      <c r="D109" s="575"/>
      <c r="E109" s="533"/>
      <c r="F109" s="533"/>
      <c r="G109" s="533"/>
      <c r="H109" s="475"/>
      <c r="I109" s="533"/>
      <c r="J109" s="476"/>
      <c r="K109" s="534"/>
      <c r="L109" s="534"/>
      <c r="M109" s="535"/>
      <c r="N109" s="702"/>
      <c r="O109" s="664"/>
      <c r="P109" s="535"/>
      <c r="Q109" s="447"/>
      <c r="R109" s="716"/>
    </row>
    <row r="110" spans="1:18" s="465" customFormat="1" ht="70.5" customHeight="1" x14ac:dyDescent="0.2">
      <c r="A110" s="576">
        <v>8.1</v>
      </c>
      <c r="B110" s="757" t="s">
        <v>763</v>
      </c>
      <c r="C110" s="758"/>
      <c r="D110" s="759"/>
      <c r="E110" s="456">
        <v>1</v>
      </c>
      <c r="F110" s="497">
        <v>1</v>
      </c>
      <c r="G110" s="507" t="s">
        <v>83</v>
      </c>
      <c r="H110" s="454">
        <v>1539400</v>
      </c>
      <c r="I110" s="453">
        <f>H110*E110</f>
        <v>1539400</v>
      </c>
      <c r="J110" s="454">
        <v>17200</v>
      </c>
      <c r="K110" s="454">
        <f>J110*E110</f>
        <v>17200</v>
      </c>
      <c r="L110" s="454">
        <f t="shared" ref="L110:L112" si="42">J110+H110</f>
        <v>1556600</v>
      </c>
      <c r="M110" s="454">
        <f t="shared" ref="M110:M112" si="43">K110+I110</f>
        <v>1556600</v>
      </c>
      <c r="N110" s="701" t="s">
        <v>806</v>
      </c>
      <c r="O110" s="700" t="s">
        <v>780</v>
      </c>
      <c r="P110" s="683" t="s">
        <v>796</v>
      </c>
      <c r="Q110" s="447"/>
      <c r="R110" s="716"/>
    </row>
    <row r="111" spans="1:18" s="465" customFormat="1" ht="41.25" customHeight="1" x14ac:dyDescent="0.2">
      <c r="A111" s="576">
        <v>8.1999999999999993</v>
      </c>
      <c r="B111" s="757" t="s">
        <v>650</v>
      </c>
      <c r="C111" s="758"/>
      <c r="D111" s="759"/>
      <c r="E111" s="456">
        <v>1</v>
      </c>
      <c r="F111" s="497">
        <v>1</v>
      </c>
      <c r="G111" s="507" t="s">
        <v>520</v>
      </c>
      <c r="H111" s="454">
        <v>8600</v>
      </c>
      <c r="I111" s="453">
        <f>H111*E111</f>
        <v>8600</v>
      </c>
      <c r="J111" s="454">
        <v>4300</v>
      </c>
      <c r="K111" s="454">
        <f>J111*E111</f>
        <v>4300</v>
      </c>
      <c r="L111" s="454">
        <f t="shared" si="42"/>
        <v>12900</v>
      </c>
      <c r="M111" s="454">
        <f t="shared" si="43"/>
        <v>12900</v>
      </c>
      <c r="N111" s="682"/>
      <c r="O111" s="679"/>
      <c r="P111" s="464"/>
      <c r="Q111" s="447"/>
      <c r="R111" s="716"/>
    </row>
    <row r="112" spans="1:18" s="465" customFormat="1" ht="15" customHeight="1" thickBot="1" x14ac:dyDescent="0.25">
      <c r="A112" s="576">
        <v>8.3000000000000007</v>
      </c>
      <c r="B112" s="521" t="s">
        <v>522</v>
      </c>
      <c r="C112" s="577"/>
      <c r="D112" s="578"/>
      <c r="E112" s="456">
        <v>1</v>
      </c>
      <c r="F112" s="497">
        <v>1</v>
      </c>
      <c r="G112" s="579" t="s">
        <v>83</v>
      </c>
      <c r="H112" s="454"/>
      <c r="I112" s="453">
        <f>H112*E112</f>
        <v>0</v>
      </c>
      <c r="J112" s="454">
        <v>21500</v>
      </c>
      <c r="K112" s="454">
        <f>J112*E112</f>
        <v>21500</v>
      </c>
      <c r="L112" s="454">
        <f t="shared" si="42"/>
        <v>21500</v>
      </c>
      <c r="M112" s="454">
        <f t="shared" si="43"/>
        <v>21500</v>
      </c>
      <c r="N112" s="657"/>
      <c r="O112" s="657"/>
      <c r="P112" s="464"/>
      <c r="Q112" s="447"/>
      <c r="R112" s="716"/>
    </row>
    <row r="113" spans="1:18" s="447" customFormat="1" ht="15" customHeight="1" thickBot="1" x14ac:dyDescent="0.25">
      <c r="A113" s="792" t="s">
        <v>147</v>
      </c>
      <c r="B113" s="793"/>
      <c r="C113" s="793"/>
      <c r="D113" s="793"/>
      <c r="E113" s="793"/>
      <c r="F113" s="794"/>
      <c r="G113" s="795"/>
      <c r="H113" s="466"/>
      <c r="I113" s="467"/>
      <c r="J113" s="468"/>
      <c r="K113" s="467"/>
      <c r="L113" s="468"/>
      <c r="M113" s="469"/>
      <c r="N113" s="658"/>
      <c r="O113" s="658"/>
      <c r="P113" s="469"/>
      <c r="R113" s="716"/>
    </row>
    <row r="114" spans="1:18" s="465" customFormat="1" ht="24.75" customHeight="1" x14ac:dyDescent="0.2">
      <c r="A114" s="543">
        <v>9</v>
      </c>
      <c r="B114" s="580" t="s">
        <v>48</v>
      </c>
      <c r="C114" s="544"/>
      <c r="D114" s="581"/>
      <c r="E114" s="568"/>
      <c r="F114" s="568"/>
      <c r="G114" s="568"/>
      <c r="H114" s="475"/>
      <c r="I114" s="568"/>
      <c r="J114" s="476"/>
      <c r="K114" s="546"/>
      <c r="L114" s="546"/>
      <c r="M114" s="535"/>
      <c r="N114" s="664"/>
      <c r="O114" s="664"/>
      <c r="P114" s="535"/>
      <c r="Q114" s="447"/>
      <c r="R114" s="716"/>
    </row>
    <row r="115" spans="1:18" s="539" customFormat="1" ht="24.75" customHeight="1" x14ac:dyDescent="0.2">
      <c r="A115" s="576">
        <v>9.1</v>
      </c>
      <c r="B115" s="521" t="s">
        <v>115</v>
      </c>
      <c r="C115" s="491"/>
      <c r="D115" s="491"/>
      <c r="E115" s="456">
        <v>4</v>
      </c>
      <c r="F115" s="497">
        <v>4</v>
      </c>
      <c r="G115" s="579" t="s">
        <v>163</v>
      </c>
      <c r="H115" s="454">
        <v>9460</v>
      </c>
      <c r="I115" s="453">
        <f>H115*E115</f>
        <v>37840</v>
      </c>
      <c r="J115" s="454">
        <v>430</v>
      </c>
      <c r="K115" s="454">
        <f>J115*E115</f>
        <v>1720</v>
      </c>
      <c r="L115" s="454">
        <f t="shared" ref="L115:M117" si="44">J115+H115</f>
        <v>9890</v>
      </c>
      <c r="M115" s="454">
        <f t="shared" si="44"/>
        <v>39560</v>
      </c>
      <c r="N115" s="749" t="s">
        <v>781</v>
      </c>
      <c r="O115" s="746" t="s">
        <v>774</v>
      </c>
      <c r="P115" s="464"/>
      <c r="Q115" s="447"/>
      <c r="R115" s="716"/>
    </row>
    <row r="116" spans="1:18" s="539" customFormat="1" ht="24.75" customHeight="1" x14ac:dyDescent="0.2">
      <c r="A116" s="576">
        <v>9.1999999999999993</v>
      </c>
      <c r="B116" s="521" t="s">
        <v>116</v>
      </c>
      <c r="C116" s="491"/>
      <c r="D116" s="491"/>
      <c r="E116" s="456">
        <v>4</v>
      </c>
      <c r="F116" s="497">
        <v>4</v>
      </c>
      <c r="G116" s="579" t="s">
        <v>163</v>
      </c>
      <c r="H116" s="454">
        <v>9460</v>
      </c>
      <c r="I116" s="453">
        <f>H116*E116</f>
        <v>37840</v>
      </c>
      <c r="J116" s="454">
        <v>860</v>
      </c>
      <c r="K116" s="454">
        <f>J116*E116</f>
        <v>3440</v>
      </c>
      <c r="L116" s="454">
        <f t="shared" si="44"/>
        <v>10320</v>
      </c>
      <c r="M116" s="454">
        <f t="shared" si="44"/>
        <v>41280</v>
      </c>
      <c r="N116" s="729"/>
      <c r="O116" s="747"/>
      <c r="P116" s="464"/>
      <c r="Q116" s="447"/>
      <c r="R116" s="716"/>
    </row>
    <row r="117" spans="1:18" s="539" customFormat="1" ht="24.75" customHeight="1" thickBot="1" x14ac:dyDescent="0.25">
      <c r="A117" s="576">
        <v>9.3000000000000007</v>
      </c>
      <c r="B117" s="521" t="s">
        <v>117</v>
      </c>
      <c r="C117" s="491"/>
      <c r="D117" s="491"/>
      <c r="E117" s="456">
        <v>4</v>
      </c>
      <c r="F117" s="497">
        <v>4</v>
      </c>
      <c r="G117" s="579" t="s">
        <v>163</v>
      </c>
      <c r="H117" s="454">
        <v>1720</v>
      </c>
      <c r="I117" s="453">
        <f>H117*E117</f>
        <v>6880</v>
      </c>
      <c r="J117" s="454">
        <v>860</v>
      </c>
      <c r="K117" s="454">
        <f>J117*E117</f>
        <v>3440</v>
      </c>
      <c r="L117" s="454">
        <f t="shared" si="44"/>
        <v>2580</v>
      </c>
      <c r="M117" s="454">
        <f t="shared" si="44"/>
        <v>10320</v>
      </c>
      <c r="N117" s="750"/>
      <c r="O117" s="751"/>
      <c r="P117" s="464"/>
      <c r="Q117" s="447"/>
      <c r="R117" s="716"/>
    </row>
    <row r="118" spans="1:18" s="447" customFormat="1" ht="15" customHeight="1" thickBot="1" x14ac:dyDescent="0.25">
      <c r="A118" s="792" t="s">
        <v>147</v>
      </c>
      <c r="B118" s="793"/>
      <c r="C118" s="793"/>
      <c r="D118" s="793"/>
      <c r="E118" s="793"/>
      <c r="F118" s="794"/>
      <c r="G118" s="795"/>
      <c r="H118" s="466"/>
      <c r="I118" s="467"/>
      <c r="J118" s="468"/>
      <c r="K118" s="467"/>
      <c r="L118" s="468"/>
      <c r="M118" s="469"/>
      <c r="N118" s="658"/>
      <c r="O118" s="658"/>
      <c r="P118" s="469"/>
      <c r="R118" s="716"/>
    </row>
    <row r="119" spans="1:18" s="591" customFormat="1" ht="36" customHeight="1" x14ac:dyDescent="0.2">
      <c r="A119" s="582">
        <v>10</v>
      </c>
      <c r="B119" s="583" t="s">
        <v>636</v>
      </c>
      <c r="C119" s="584"/>
      <c r="D119" s="585"/>
      <c r="E119" s="586"/>
      <c r="F119" s="586"/>
      <c r="G119" s="586"/>
      <c r="H119" s="475"/>
      <c r="I119" s="586"/>
      <c r="J119" s="587"/>
      <c r="K119" s="588"/>
      <c r="L119" s="589"/>
      <c r="M119" s="590"/>
      <c r="N119" s="668"/>
      <c r="O119" s="668"/>
      <c r="P119" s="590"/>
      <c r="Q119" s="447"/>
      <c r="R119" s="716"/>
    </row>
    <row r="120" spans="1:18" s="591" customFormat="1" ht="30" customHeight="1" x14ac:dyDescent="0.2">
      <c r="A120" s="592">
        <v>10.1</v>
      </c>
      <c r="B120" s="593" t="s">
        <v>764</v>
      </c>
      <c r="C120" s="501"/>
      <c r="D120" s="594"/>
      <c r="E120" s="595">
        <v>1</v>
      </c>
      <c r="F120" s="497">
        <v>1</v>
      </c>
      <c r="G120" s="596" t="s">
        <v>83</v>
      </c>
      <c r="H120" s="454">
        <v>322500</v>
      </c>
      <c r="I120" s="453">
        <f>H120*E120</f>
        <v>322500</v>
      </c>
      <c r="J120" s="454">
        <v>8600</v>
      </c>
      <c r="K120" s="454">
        <f>J120*E120</f>
        <v>8600</v>
      </c>
      <c r="L120" s="454">
        <f t="shared" ref="L120" si="45">J120+H120</f>
        <v>331100</v>
      </c>
      <c r="M120" s="454">
        <f t="shared" ref="M120:M121" si="46">K120+I120</f>
        <v>331100</v>
      </c>
      <c r="N120" s="743" t="s">
        <v>794</v>
      </c>
      <c r="O120" s="746" t="s">
        <v>782</v>
      </c>
      <c r="P120" s="725" t="s">
        <v>795</v>
      </c>
      <c r="Q120" s="447"/>
      <c r="R120" s="716"/>
    </row>
    <row r="121" spans="1:18" s="591" customFormat="1" ht="48.75" customHeight="1" x14ac:dyDescent="0.2">
      <c r="A121" s="592">
        <v>10.199999999999999</v>
      </c>
      <c r="B121" s="796" t="s">
        <v>622</v>
      </c>
      <c r="C121" s="797"/>
      <c r="D121" s="798"/>
      <c r="E121" s="511">
        <v>2</v>
      </c>
      <c r="F121" s="497">
        <v>2</v>
      </c>
      <c r="G121" s="596" t="s">
        <v>163</v>
      </c>
      <c r="H121" s="799" t="s">
        <v>657</v>
      </c>
      <c r="I121" s="800"/>
      <c r="J121" s="587">
        <v>2150</v>
      </c>
      <c r="K121" s="454">
        <f>J121*E121</f>
        <v>4300</v>
      </c>
      <c r="L121" s="597"/>
      <c r="M121" s="454">
        <f t="shared" si="46"/>
        <v>4300</v>
      </c>
      <c r="N121" s="744"/>
      <c r="O121" s="747"/>
      <c r="P121" s="726"/>
      <c r="Q121" s="447"/>
      <c r="R121" s="716"/>
    </row>
    <row r="122" spans="1:18" s="591" customFormat="1" ht="69" customHeight="1" x14ac:dyDescent="0.2">
      <c r="A122" s="592">
        <v>10.3</v>
      </c>
      <c r="B122" s="801" t="s">
        <v>755</v>
      </c>
      <c r="C122" s="802"/>
      <c r="D122" s="803"/>
      <c r="E122" s="511">
        <v>1</v>
      </c>
      <c r="F122" s="497">
        <v>1</v>
      </c>
      <c r="G122" s="596" t="s">
        <v>83</v>
      </c>
      <c r="H122" s="454">
        <v>180600</v>
      </c>
      <c r="I122" s="453">
        <f>H122*E122</f>
        <v>180600</v>
      </c>
      <c r="J122" s="454">
        <v>4300</v>
      </c>
      <c r="K122" s="454">
        <f>J122*E122</f>
        <v>4300</v>
      </c>
      <c r="L122" s="454">
        <f t="shared" ref="L122:L123" si="47">J122+H122</f>
        <v>184900</v>
      </c>
      <c r="M122" s="454">
        <f t="shared" ref="M122:M123" si="48">K122+I122</f>
        <v>184900</v>
      </c>
      <c r="N122" s="744"/>
      <c r="O122" s="747"/>
      <c r="P122" s="726"/>
      <c r="Q122" s="447"/>
      <c r="R122" s="716"/>
    </row>
    <row r="123" spans="1:18" s="591" customFormat="1" ht="39" customHeight="1" x14ac:dyDescent="0.2">
      <c r="A123" s="592">
        <v>10.4</v>
      </c>
      <c r="B123" s="801" t="s">
        <v>756</v>
      </c>
      <c r="C123" s="802"/>
      <c r="D123" s="803"/>
      <c r="E123" s="511">
        <v>1</v>
      </c>
      <c r="F123" s="497">
        <v>1</v>
      </c>
      <c r="G123" s="596" t="s">
        <v>83</v>
      </c>
      <c r="H123" s="454">
        <v>159100</v>
      </c>
      <c r="I123" s="453">
        <f>H123*E123</f>
        <v>159100</v>
      </c>
      <c r="J123" s="454">
        <v>1720</v>
      </c>
      <c r="K123" s="454">
        <f>J123*E123</f>
        <v>1720</v>
      </c>
      <c r="L123" s="454">
        <f t="shared" si="47"/>
        <v>160820</v>
      </c>
      <c r="M123" s="454">
        <f t="shared" si="48"/>
        <v>160820</v>
      </c>
      <c r="N123" s="744"/>
      <c r="O123" s="747"/>
      <c r="P123" s="726"/>
      <c r="Q123" s="447"/>
      <c r="R123" s="716"/>
    </row>
    <row r="124" spans="1:18" s="591" customFormat="1" ht="37.5" customHeight="1" x14ac:dyDescent="0.2">
      <c r="A124" s="592">
        <v>10.5</v>
      </c>
      <c r="B124" s="525" t="s">
        <v>757</v>
      </c>
      <c r="C124" s="516"/>
      <c r="D124" s="516"/>
      <c r="E124" s="511">
        <v>1</v>
      </c>
      <c r="F124" s="497">
        <v>1</v>
      </c>
      <c r="G124" s="596" t="s">
        <v>83</v>
      </c>
      <c r="H124" s="598">
        <v>64500</v>
      </c>
      <c r="I124" s="508" t="s">
        <v>228</v>
      </c>
      <c r="J124" s="476">
        <v>8600</v>
      </c>
      <c r="K124" s="464" t="s">
        <v>228</v>
      </c>
      <c r="L124" s="509"/>
      <c r="M124" s="464" t="s">
        <v>228</v>
      </c>
      <c r="N124" s="744"/>
      <c r="O124" s="747"/>
      <c r="P124" s="726"/>
      <c r="Q124" s="447"/>
      <c r="R124" s="716"/>
    </row>
    <row r="125" spans="1:18" s="591" customFormat="1" ht="33" customHeight="1" x14ac:dyDescent="0.2">
      <c r="A125" s="592">
        <v>10.6</v>
      </c>
      <c r="B125" s="525" t="s">
        <v>758</v>
      </c>
      <c r="C125" s="516"/>
      <c r="D125" s="516"/>
      <c r="E125" s="511">
        <v>1</v>
      </c>
      <c r="F125" s="497">
        <v>1</v>
      </c>
      <c r="G125" s="596" t="s">
        <v>83</v>
      </c>
      <c r="H125" s="598">
        <v>107500</v>
      </c>
      <c r="I125" s="508" t="s">
        <v>228</v>
      </c>
      <c r="J125" s="476">
        <v>43000</v>
      </c>
      <c r="K125" s="464" t="s">
        <v>228</v>
      </c>
      <c r="L125" s="509"/>
      <c r="M125" s="464" t="s">
        <v>228</v>
      </c>
      <c r="N125" s="744"/>
      <c r="O125" s="747"/>
      <c r="P125" s="726"/>
      <c r="Q125" s="447"/>
      <c r="R125" s="716"/>
    </row>
    <row r="126" spans="1:18" s="591" customFormat="1" ht="24" customHeight="1" x14ac:dyDescent="0.2">
      <c r="A126" s="592">
        <v>10.7</v>
      </c>
      <c r="B126" s="525" t="s">
        <v>759</v>
      </c>
      <c r="C126" s="516"/>
      <c r="D126" s="516"/>
      <c r="E126" s="511">
        <v>2</v>
      </c>
      <c r="F126" s="497">
        <v>2</v>
      </c>
      <c r="G126" s="596" t="s">
        <v>163</v>
      </c>
      <c r="H126" s="598">
        <v>180600</v>
      </c>
      <c r="I126" s="508" t="s">
        <v>228</v>
      </c>
      <c r="J126" s="476">
        <v>43000</v>
      </c>
      <c r="K126" s="464" t="s">
        <v>228</v>
      </c>
      <c r="L126" s="509"/>
      <c r="M126" s="464" t="s">
        <v>228</v>
      </c>
      <c r="N126" s="744"/>
      <c r="O126" s="747"/>
      <c r="P126" s="726"/>
      <c r="Q126" s="447"/>
      <c r="R126" s="716"/>
    </row>
    <row r="127" spans="1:18" s="591" customFormat="1" ht="30" customHeight="1" x14ac:dyDescent="0.2">
      <c r="A127" s="592">
        <v>10.8</v>
      </c>
      <c r="B127" s="525" t="s">
        <v>618</v>
      </c>
      <c r="C127" s="516"/>
      <c r="D127" s="516"/>
      <c r="E127" s="511">
        <v>1</v>
      </c>
      <c r="F127" s="497">
        <v>1</v>
      </c>
      <c r="G127" s="596" t="s">
        <v>30</v>
      </c>
      <c r="H127" s="598">
        <v>1032000</v>
      </c>
      <c r="I127" s="508" t="s">
        <v>228</v>
      </c>
      <c r="J127" s="476">
        <v>215000</v>
      </c>
      <c r="K127" s="464" t="s">
        <v>228</v>
      </c>
      <c r="L127" s="509"/>
      <c r="M127" s="464" t="s">
        <v>228</v>
      </c>
      <c r="N127" s="744"/>
      <c r="O127" s="747"/>
      <c r="P127" s="726"/>
      <c r="Q127" s="447"/>
      <c r="R127" s="716"/>
    </row>
    <row r="128" spans="1:18" s="591" customFormat="1" ht="27" customHeight="1" thickBot="1" x14ac:dyDescent="0.25">
      <c r="A128" s="592">
        <v>10.9</v>
      </c>
      <c r="B128" s="525" t="s">
        <v>619</v>
      </c>
      <c r="C128" s="516"/>
      <c r="D128" s="516"/>
      <c r="E128" s="511">
        <v>1</v>
      </c>
      <c r="F128" s="497">
        <v>1</v>
      </c>
      <c r="G128" s="596" t="s">
        <v>30</v>
      </c>
      <c r="H128" s="454">
        <v>64500</v>
      </c>
      <c r="I128" s="453">
        <f>H128*E128</f>
        <v>64500</v>
      </c>
      <c r="J128" s="454">
        <v>64500</v>
      </c>
      <c r="K128" s="454">
        <f>J128*E128</f>
        <v>64500</v>
      </c>
      <c r="L128" s="454">
        <f t="shared" ref="L128" si="49">J128+H128</f>
        <v>129000</v>
      </c>
      <c r="M128" s="454">
        <f t="shared" ref="M128" si="50">K128+I128</f>
        <v>129000</v>
      </c>
      <c r="N128" s="752"/>
      <c r="O128" s="751"/>
      <c r="P128" s="727"/>
      <c r="Q128" s="447"/>
      <c r="R128" s="716"/>
    </row>
    <row r="129" spans="1:18" s="447" customFormat="1" ht="15" customHeight="1" thickBot="1" x14ac:dyDescent="0.25">
      <c r="A129" s="792" t="s">
        <v>147</v>
      </c>
      <c r="B129" s="793"/>
      <c r="C129" s="793"/>
      <c r="D129" s="793"/>
      <c r="E129" s="793"/>
      <c r="F129" s="794"/>
      <c r="G129" s="795"/>
      <c r="H129" s="466"/>
      <c r="I129" s="467"/>
      <c r="J129" s="468"/>
      <c r="K129" s="467"/>
      <c r="L129" s="468"/>
      <c r="M129" s="469"/>
      <c r="N129" s="658"/>
      <c r="O129" s="658"/>
      <c r="P129" s="469"/>
      <c r="R129" s="716"/>
    </row>
    <row r="130" spans="1:18" s="607" customFormat="1" ht="15" customHeight="1" x14ac:dyDescent="0.2">
      <c r="A130" s="599">
        <v>11</v>
      </c>
      <c r="B130" s="600" t="s">
        <v>524</v>
      </c>
      <c r="C130" s="601"/>
      <c r="D130" s="602"/>
      <c r="E130" s="603"/>
      <c r="F130" s="603"/>
      <c r="G130" s="603"/>
      <c r="H130" s="603"/>
      <c r="I130" s="603"/>
      <c r="J130" s="603"/>
      <c r="K130" s="604"/>
      <c r="L130" s="605"/>
      <c r="M130" s="606"/>
      <c r="N130" s="669"/>
      <c r="O130" s="669"/>
      <c r="P130" s="606"/>
      <c r="Q130" s="447"/>
      <c r="R130" s="716"/>
    </row>
    <row r="131" spans="1:18" s="465" customFormat="1" ht="22.5" customHeight="1" x14ac:dyDescent="0.2">
      <c r="A131" s="608">
        <v>11.1</v>
      </c>
      <c r="B131" s="609" t="s">
        <v>586</v>
      </c>
      <c r="C131" s="610"/>
      <c r="D131" s="491"/>
      <c r="E131" s="538"/>
      <c r="F131" s="538"/>
      <c r="G131" s="538"/>
      <c r="H131" s="475"/>
      <c r="I131" s="492"/>
      <c r="J131" s="476"/>
      <c r="K131" s="502"/>
      <c r="L131" s="611"/>
      <c r="M131" s="498"/>
      <c r="N131" s="661"/>
      <c r="O131" s="661"/>
      <c r="P131" s="498"/>
      <c r="Q131" s="447"/>
      <c r="R131" s="716"/>
    </row>
    <row r="132" spans="1:18" s="465" customFormat="1" ht="82.5" customHeight="1" x14ac:dyDescent="0.2">
      <c r="A132" s="504" t="s">
        <v>658</v>
      </c>
      <c r="B132" s="757" t="s">
        <v>587</v>
      </c>
      <c r="C132" s="804">
        <v>2</v>
      </c>
      <c r="D132" s="805" t="s">
        <v>29</v>
      </c>
      <c r="E132" s="456">
        <v>2</v>
      </c>
      <c r="F132" s="497">
        <v>2</v>
      </c>
      <c r="G132" s="507" t="s">
        <v>29</v>
      </c>
      <c r="H132" s="454">
        <v>73100</v>
      </c>
      <c r="I132" s="453">
        <f>H132*E132</f>
        <v>146200</v>
      </c>
      <c r="J132" s="454">
        <v>2580</v>
      </c>
      <c r="K132" s="454">
        <f>J132*E132</f>
        <v>5160</v>
      </c>
      <c r="L132" s="454">
        <f>J132+H132</f>
        <v>75680</v>
      </c>
      <c r="M132" s="454">
        <f>K132+I132</f>
        <v>151360</v>
      </c>
      <c r="N132" s="657" t="s">
        <v>783</v>
      </c>
      <c r="O132" s="684" t="s">
        <v>774</v>
      </c>
      <c r="P132" s="464"/>
      <c r="Q132" s="447"/>
      <c r="R132" s="716"/>
    </row>
    <row r="133" spans="1:18" s="479" customFormat="1" ht="25.5" customHeight="1" x14ac:dyDescent="0.2">
      <c r="A133" s="612">
        <v>11.2</v>
      </c>
      <c r="B133" s="613" t="s">
        <v>588</v>
      </c>
      <c r="C133" s="614"/>
      <c r="D133" s="614"/>
      <c r="E133" s="614"/>
      <c r="F133" s="614"/>
      <c r="G133" s="614"/>
      <c r="H133" s="614"/>
      <c r="I133" s="614"/>
      <c r="J133" s="614"/>
      <c r="K133" s="614"/>
      <c r="L133" s="614"/>
      <c r="M133" s="615"/>
      <c r="N133" s="670"/>
      <c r="O133" s="670"/>
      <c r="P133" s="615"/>
      <c r="Q133" s="447"/>
      <c r="R133" s="716"/>
    </row>
    <row r="134" spans="1:18" s="465" customFormat="1" ht="25.5" customHeight="1" x14ac:dyDescent="0.2">
      <c r="A134" s="573" t="s">
        <v>659</v>
      </c>
      <c r="B134" s="505" t="s">
        <v>20</v>
      </c>
      <c r="C134" s="506"/>
      <c r="D134" s="578"/>
      <c r="E134" s="456" t="s">
        <v>198</v>
      </c>
      <c r="F134" s="497"/>
      <c r="G134" s="507" t="s">
        <v>22</v>
      </c>
      <c r="H134" s="616">
        <v>1032</v>
      </c>
      <c r="I134" s="617" t="s">
        <v>228</v>
      </c>
      <c r="J134" s="476">
        <v>172</v>
      </c>
      <c r="K134" s="464" t="s">
        <v>228</v>
      </c>
      <c r="L134" s="509"/>
      <c r="M134" s="464" t="s">
        <v>228</v>
      </c>
      <c r="N134" s="739" t="s">
        <v>784</v>
      </c>
      <c r="O134" s="742" t="s">
        <v>773</v>
      </c>
      <c r="P134" s="464"/>
      <c r="Q134" s="447"/>
      <c r="R134" s="716"/>
    </row>
    <row r="135" spans="1:18" s="465" customFormat="1" ht="25.5" customHeight="1" x14ac:dyDescent="0.2">
      <c r="A135" s="573" t="s">
        <v>660</v>
      </c>
      <c r="B135" s="505" t="s">
        <v>603</v>
      </c>
      <c r="C135" s="506"/>
      <c r="D135" s="578"/>
      <c r="E135" s="456" t="s">
        <v>198</v>
      </c>
      <c r="F135" s="497"/>
      <c r="G135" s="507" t="s">
        <v>22</v>
      </c>
      <c r="H135" s="616">
        <v>731</v>
      </c>
      <c r="I135" s="617" t="s">
        <v>228</v>
      </c>
      <c r="J135" s="476">
        <v>137.6</v>
      </c>
      <c r="K135" s="464" t="s">
        <v>228</v>
      </c>
      <c r="L135" s="509"/>
      <c r="M135" s="464" t="s">
        <v>228</v>
      </c>
      <c r="N135" s="740"/>
      <c r="O135" s="732"/>
      <c r="P135" s="464"/>
      <c r="Q135" s="447"/>
      <c r="R135" s="716"/>
    </row>
    <row r="136" spans="1:18" s="465" customFormat="1" ht="25.5" customHeight="1" x14ac:dyDescent="0.2">
      <c r="A136" s="573" t="s">
        <v>661</v>
      </c>
      <c r="B136" s="505" t="s">
        <v>604</v>
      </c>
      <c r="C136" s="506"/>
      <c r="D136" s="578"/>
      <c r="E136" s="456" t="s">
        <v>198</v>
      </c>
      <c r="F136" s="497"/>
      <c r="G136" s="507" t="s">
        <v>22</v>
      </c>
      <c r="H136" s="616">
        <v>559</v>
      </c>
      <c r="I136" s="617" t="s">
        <v>228</v>
      </c>
      <c r="J136" s="476">
        <v>137.6</v>
      </c>
      <c r="K136" s="464" t="s">
        <v>228</v>
      </c>
      <c r="L136" s="509"/>
      <c r="M136" s="464" t="s">
        <v>228</v>
      </c>
      <c r="N136" s="740"/>
      <c r="O136" s="732"/>
      <c r="P136" s="464"/>
      <c r="Q136" s="447"/>
      <c r="R136" s="716"/>
    </row>
    <row r="137" spans="1:18" s="465" customFormat="1" ht="25.5" customHeight="1" x14ac:dyDescent="0.2">
      <c r="A137" s="573" t="s">
        <v>662</v>
      </c>
      <c r="B137" s="505" t="s">
        <v>10</v>
      </c>
      <c r="C137" s="506"/>
      <c r="D137" s="578"/>
      <c r="E137" s="710">
        <v>32</v>
      </c>
      <c r="F137" s="497">
        <v>20</v>
      </c>
      <c r="G137" s="507" t="s">
        <v>22</v>
      </c>
      <c r="H137" s="454">
        <v>352.6</v>
      </c>
      <c r="I137" s="453">
        <f>H137*E137</f>
        <v>11283.2</v>
      </c>
      <c r="J137" s="454">
        <v>137.6</v>
      </c>
      <c r="K137" s="454">
        <f>J137*E137</f>
        <v>4403.2</v>
      </c>
      <c r="L137" s="454">
        <f>J137+H137</f>
        <v>490.20000000000005</v>
      </c>
      <c r="M137" s="454">
        <f>K137+I137</f>
        <v>15686.400000000001</v>
      </c>
      <c r="N137" s="740"/>
      <c r="O137" s="732"/>
      <c r="P137" s="464"/>
      <c r="Q137" s="447"/>
      <c r="R137" s="716"/>
    </row>
    <row r="138" spans="1:18" s="479" customFormat="1" ht="25.5" customHeight="1" x14ac:dyDescent="0.2">
      <c r="A138" s="612">
        <v>11.3</v>
      </c>
      <c r="B138" s="613" t="s">
        <v>589</v>
      </c>
      <c r="C138" s="614"/>
      <c r="D138" s="614"/>
      <c r="E138" s="614"/>
      <c r="F138" s="614"/>
      <c r="G138" s="614"/>
      <c r="H138" s="614">
        <v>0</v>
      </c>
      <c r="I138" s="614"/>
      <c r="J138" s="614">
        <v>0</v>
      </c>
      <c r="K138" s="614"/>
      <c r="L138" s="614"/>
      <c r="M138" s="615"/>
      <c r="N138" s="740"/>
      <c r="O138" s="732"/>
      <c r="P138" s="615"/>
      <c r="Q138" s="447"/>
      <c r="R138" s="716"/>
    </row>
    <row r="139" spans="1:18" s="465" customFormat="1" ht="25.5" customHeight="1" x14ac:dyDescent="0.2">
      <c r="A139" s="573" t="s">
        <v>663</v>
      </c>
      <c r="B139" s="505" t="s">
        <v>20</v>
      </c>
      <c r="C139" s="506"/>
      <c r="D139" s="578"/>
      <c r="E139" s="456" t="s">
        <v>198</v>
      </c>
      <c r="F139" s="497" t="s">
        <v>198</v>
      </c>
      <c r="G139" s="507" t="s">
        <v>22</v>
      </c>
      <c r="H139" s="616">
        <v>0</v>
      </c>
      <c r="I139" s="617" t="s">
        <v>228</v>
      </c>
      <c r="J139" s="476">
        <v>0</v>
      </c>
      <c r="K139" s="464" t="s">
        <v>228</v>
      </c>
      <c r="L139" s="509"/>
      <c r="M139" s="464" t="s">
        <v>228</v>
      </c>
      <c r="N139" s="740"/>
      <c r="O139" s="732"/>
      <c r="P139" s="464"/>
      <c r="Q139" s="447"/>
      <c r="R139" s="716"/>
    </row>
    <row r="140" spans="1:18" s="465" customFormat="1" ht="25.5" customHeight="1" x14ac:dyDescent="0.2">
      <c r="A140" s="573" t="s">
        <v>664</v>
      </c>
      <c r="B140" s="505" t="s">
        <v>603</v>
      </c>
      <c r="C140" s="506"/>
      <c r="D140" s="578"/>
      <c r="E140" s="710">
        <v>68</v>
      </c>
      <c r="F140" s="497">
        <v>50</v>
      </c>
      <c r="G140" s="507" t="s">
        <v>22</v>
      </c>
      <c r="H140" s="454">
        <v>559</v>
      </c>
      <c r="I140" s="453">
        <f>H140*E140</f>
        <v>38012</v>
      </c>
      <c r="J140" s="454">
        <v>172</v>
      </c>
      <c r="K140" s="454">
        <f>J140*E140</f>
        <v>11696</v>
      </c>
      <c r="L140" s="454">
        <f t="shared" ref="L140:L142" si="51">J140+H140</f>
        <v>731</v>
      </c>
      <c r="M140" s="454">
        <f t="shared" ref="M140:M142" si="52">K140+I140</f>
        <v>49708</v>
      </c>
      <c r="N140" s="740"/>
      <c r="O140" s="732"/>
      <c r="P140" s="464"/>
      <c r="Q140" s="447"/>
      <c r="R140" s="716"/>
    </row>
    <row r="141" spans="1:18" s="465" customFormat="1" ht="25.5" customHeight="1" x14ac:dyDescent="0.2">
      <c r="A141" s="573" t="s">
        <v>679</v>
      </c>
      <c r="B141" s="505" t="s">
        <v>604</v>
      </c>
      <c r="C141" s="506"/>
      <c r="D141" s="578"/>
      <c r="E141" s="710">
        <v>98</v>
      </c>
      <c r="F141" s="497">
        <v>90</v>
      </c>
      <c r="G141" s="507" t="s">
        <v>22</v>
      </c>
      <c r="H141" s="454">
        <v>516</v>
      </c>
      <c r="I141" s="453">
        <f>H141*E141</f>
        <v>50568</v>
      </c>
      <c r="J141" s="454">
        <v>172</v>
      </c>
      <c r="K141" s="454">
        <f>J141*E141</f>
        <v>16856</v>
      </c>
      <c r="L141" s="454">
        <f t="shared" si="51"/>
        <v>688</v>
      </c>
      <c r="M141" s="454">
        <f t="shared" si="52"/>
        <v>67424</v>
      </c>
      <c r="N141" s="740"/>
      <c r="O141" s="732"/>
      <c r="P141" s="464"/>
      <c r="Q141" s="447"/>
      <c r="R141" s="716"/>
    </row>
    <row r="142" spans="1:18" s="465" customFormat="1" ht="25.5" customHeight="1" x14ac:dyDescent="0.2">
      <c r="A142" s="573" t="s">
        <v>680</v>
      </c>
      <c r="B142" s="505" t="s">
        <v>10</v>
      </c>
      <c r="C142" s="506"/>
      <c r="D142" s="578"/>
      <c r="E142" s="710">
        <v>108</v>
      </c>
      <c r="F142" s="497">
        <v>90</v>
      </c>
      <c r="G142" s="507" t="s">
        <v>22</v>
      </c>
      <c r="H142" s="454">
        <v>343.14</v>
      </c>
      <c r="I142" s="453">
        <f>H142*E142</f>
        <v>37059.119999999995</v>
      </c>
      <c r="J142" s="454">
        <v>172</v>
      </c>
      <c r="K142" s="454">
        <f>J142*E142</f>
        <v>18576</v>
      </c>
      <c r="L142" s="454">
        <f t="shared" si="51"/>
        <v>515.14</v>
      </c>
      <c r="M142" s="454">
        <f t="shared" si="52"/>
        <v>55635.119999999995</v>
      </c>
      <c r="N142" s="741"/>
      <c r="O142" s="738"/>
      <c r="P142" s="464"/>
      <c r="Q142" s="447"/>
      <c r="R142" s="716"/>
    </row>
    <row r="143" spans="1:18" s="479" customFormat="1" ht="25.5" customHeight="1" x14ac:dyDescent="0.2">
      <c r="A143" s="618">
        <v>11.4</v>
      </c>
      <c r="B143" s="619" t="s">
        <v>527</v>
      </c>
      <c r="C143" s="620"/>
      <c r="D143" s="620"/>
      <c r="E143" s="621"/>
      <c r="F143" s="621"/>
      <c r="G143" s="621"/>
      <c r="H143" s="622"/>
      <c r="I143" s="622"/>
      <c r="J143" s="623">
        <v>0</v>
      </c>
      <c r="K143" s="622"/>
      <c r="L143" s="622"/>
      <c r="M143" s="624"/>
      <c r="N143" s="671"/>
      <c r="O143" s="671"/>
      <c r="P143" s="624"/>
      <c r="Q143" s="447"/>
      <c r="R143" s="716"/>
    </row>
    <row r="144" spans="1:18" s="479" customFormat="1" ht="25.5" customHeight="1" x14ac:dyDescent="0.2">
      <c r="A144" s="612" t="s">
        <v>665</v>
      </c>
      <c r="B144" s="619" t="s">
        <v>525</v>
      </c>
      <c r="C144" s="620"/>
      <c r="D144" s="620"/>
      <c r="E144" s="621"/>
      <c r="F144" s="621"/>
      <c r="G144" s="621"/>
      <c r="H144" s="622"/>
      <c r="I144" s="622"/>
      <c r="J144" s="623">
        <v>0</v>
      </c>
      <c r="K144" s="622"/>
      <c r="L144" s="622"/>
      <c r="M144" s="624"/>
      <c r="N144" s="671"/>
      <c r="O144" s="671"/>
      <c r="P144" s="624"/>
      <c r="Q144" s="447"/>
      <c r="R144" s="716"/>
    </row>
    <row r="145" spans="1:18" s="465" customFormat="1" ht="25.5" customHeight="1" x14ac:dyDescent="0.2">
      <c r="A145" s="573" t="s">
        <v>666</v>
      </c>
      <c r="B145" s="505" t="s">
        <v>20</v>
      </c>
      <c r="C145" s="506"/>
      <c r="D145" s="578"/>
      <c r="E145" s="456" t="s">
        <v>198</v>
      </c>
      <c r="F145" s="497"/>
      <c r="G145" s="507" t="s">
        <v>83</v>
      </c>
      <c r="H145" s="616"/>
      <c r="I145" s="617" t="s">
        <v>228</v>
      </c>
      <c r="J145" s="476">
        <v>0</v>
      </c>
      <c r="K145" s="464" t="s">
        <v>228</v>
      </c>
      <c r="L145" s="509"/>
      <c r="M145" s="464" t="s">
        <v>228</v>
      </c>
      <c r="N145" s="743" t="s">
        <v>802</v>
      </c>
      <c r="O145" s="746" t="s">
        <v>773</v>
      </c>
      <c r="P145" s="464"/>
      <c r="Q145" s="447"/>
      <c r="R145" s="716"/>
    </row>
    <row r="146" spans="1:18" s="465" customFormat="1" ht="25.5" customHeight="1" x14ac:dyDescent="0.2">
      <c r="A146" s="573" t="s">
        <v>667</v>
      </c>
      <c r="B146" s="505" t="s">
        <v>603</v>
      </c>
      <c r="C146" s="506"/>
      <c r="D146" s="578"/>
      <c r="E146" s="456">
        <v>2</v>
      </c>
      <c r="F146" s="497">
        <v>2</v>
      </c>
      <c r="G146" s="507" t="s">
        <v>29</v>
      </c>
      <c r="H146" s="454">
        <v>9288</v>
      </c>
      <c r="I146" s="453">
        <f>H146*E146</f>
        <v>18576</v>
      </c>
      <c r="J146" s="454">
        <v>860</v>
      </c>
      <c r="K146" s="454">
        <f>J146*E146</f>
        <v>1720</v>
      </c>
      <c r="L146" s="454">
        <f t="shared" ref="L146:M148" si="53">J146+H146</f>
        <v>10148</v>
      </c>
      <c r="M146" s="454">
        <f t="shared" si="53"/>
        <v>20296</v>
      </c>
      <c r="N146" s="744"/>
      <c r="O146" s="747"/>
      <c r="P146" s="464"/>
      <c r="Q146" s="447"/>
      <c r="R146" s="716"/>
    </row>
    <row r="147" spans="1:18" s="465" customFormat="1" ht="25.5" customHeight="1" x14ac:dyDescent="0.2">
      <c r="A147" s="573" t="s">
        <v>668</v>
      </c>
      <c r="B147" s="505" t="s">
        <v>604</v>
      </c>
      <c r="C147" s="506"/>
      <c r="D147" s="578"/>
      <c r="E147" s="456">
        <v>4</v>
      </c>
      <c r="F147" s="497">
        <v>4</v>
      </c>
      <c r="G147" s="507" t="s">
        <v>29</v>
      </c>
      <c r="H147" s="454">
        <v>7740</v>
      </c>
      <c r="I147" s="453">
        <f>H147*E147</f>
        <v>30960</v>
      </c>
      <c r="J147" s="454">
        <v>860</v>
      </c>
      <c r="K147" s="454">
        <f>J147*E147</f>
        <v>3440</v>
      </c>
      <c r="L147" s="454">
        <f t="shared" si="53"/>
        <v>8600</v>
      </c>
      <c r="M147" s="454">
        <f t="shared" si="53"/>
        <v>34400</v>
      </c>
      <c r="N147" s="744"/>
      <c r="O147" s="747"/>
      <c r="P147" s="464"/>
      <c r="Q147" s="447"/>
      <c r="R147" s="716"/>
    </row>
    <row r="148" spans="1:18" s="465" customFormat="1" ht="25.5" customHeight="1" x14ac:dyDescent="0.2">
      <c r="A148" s="573" t="s">
        <v>669</v>
      </c>
      <c r="B148" s="505" t="s">
        <v>10</v>
      </c>
      <c r="C148" s="506"/>
      <c r="D148" s="578"/>
      <c r="E148" s="456">
        <v>10</v>
      </c>
      <c r="F148" s="497">
        <v>10</v>
      </c>
      <c r="G148" s="507" t="s">
        <v>29</v>
      </c>
      <c r="H148" s="454">
        <v>6622</v>
      </c>
      <c r="I148" s="453">
        <f>H148*E148</f>
        <v>66220</v>
      </c>
      <c r="J148" s="454">
        <v>860</v>
      </c>
      <c r="K148" s="454">
        <f>J148*E148</f>
        <v>8600</v>
      </c>
      <c r="L148" s="454">
        <f t="shared" si="53"/>
        <v>7482</v>
      </c>
      <c r="M148" s="454">
        <f t="shared" si="53"/>
        <v>74820</v>
      </c>
      <c r="N148" s="745"/>
      <c r="O148" s="748"/>
      <c r="P148" s="464"/>
      <c r="Q148" s="447"/>
      <c r="R148" s="716"/>
    </row>
    <row r="149" spans="1:18" s="465" customFormat="1" ht="25.5" customHeight="1" x14ac:dyDescent="0.2">
      <c r="A149" s="625" t="s">
        <v>670</v>
      </c>
      <c r="B149" s="626" t="s">
        <v>590</v>
      </c>
      <c r="C149" s="466"/>
      <c r="D149" s="466"/>
      <c r="E149" s="466"/>
      <c r="F149" s="466"/>
      <c r="G149" s="466"/>
      <c r="H149" s="627"/>
      <c r="I149" s="627"/>
      <c r="J149" s="627">
        <v>0</v>
      </c>
      <c r="K149" s="627"/>
      <c r="L149" s="627"/>
      <c r="M149" s="628"/>
      <c r="N149" s="672"/>
      <c r="O149" s="672"/>
      <c r="P149" s="629"/>
      <c r="Q149" s="447"/>
      <c r="R149" s="716"/>
    </row>
    <row r="150" spans="1:18" s="465" customFormat="1" ht="25.5" customHeight="1" x14ac:dyDescent="0.2">
      <c r="A150" s="573" t="s">
        <v>671</v>
      </c>
      <c r="B150" s="505" t="s">
        <v>20</v>
      </c>
      <c r="C150" s="506"/>
      <c r="D150" s="578"/>
      <c r="E150" s="456" t="s">
        <v>198</v>
      </c>
      <c r="F150" s="497">
        <v>0</v>
      </c>
      <c r="G150" s="507" t="s">
        <v>22</v>
      </c>
      <c r="H150" s="616"/>
      <c r="I150" s="617" t="s">
        <v>228</v>
      </c>
      <c r="J150" s="476">
        <v>0</v>
      </c>
      <c r="K150" s="464" t="s">
        <v>228</v>
      </c>
      <c r="L150" s="509"/>
      <c r="M150" s="464" t="s">
        <v>228</v>
      </c>
      <c r="N150" s="743" t="s">
        <v>779</v>
      </c>
      <c r="O150" s="746" t="s">
        <v>773</v>
      </c>
      <c r="P150" s="464"/>
      <c r="Q150" s="447"/>
      <c r="R150" s="716"/>
    </row>
    <row r="151" spans="1:18" s="465" customFormat="1" ht="25.5" customHeight="1" x14ac:dyDescent="0.2">
      <c r="A151" s="573" t="s">
        <v>672</v>
      </c>
      <c r="B151" s="505" t="s">
        <v>603</v>
      </c>
      <c r="C151" s="506"/>
      <c r="D151" s="578"/>
      <c r="E151" s="456">
        <v>50</v>
      </c>
      <c r="F151" s="497">
        <v>50</v>
      </c>
      <c r="G151" s="507" t="s">
        <v>22</v>
      </c>
      <c r="H151" s="454">
        <v>928.8</v>
      </c>
      <c r="I151" s="453">
        <f>H151*E151</f>
        <v>46440</v>
      </c>
      <c r="J151" s="454">
        <v>172</v>
      </c>
      <c r="K151" s="454">
        <f>J151*E151</f>
        <v>8600</v>
      </c>
      <c r="L151" s="454">
        <f t="shared" ref="L151:M153" si="54">J151+H151</f>
        <v>1100.8</v>
      </c>
      <c r="M151" s="454">
        <f t="shared" si="54"/>
        <v>55040</v>
      </c>
      <c r="N151" s="744"/>
      <c r="O151" s="747"/>
      <c r="P151" s="464"/>
      <c r="Q151" s="447"/>
      <c r="R151" s="716"/>
    </row>
    <row r="152" spans="1:18" s="465" customFormat="1" ht="25.5" customHeight="1" x14ac:dyDescent="0.2">
      <c r="A152" s="573" t="s">
        <v>673</v>
      </c>
      <c r="B152" s="505" t="s">
        <v>604</v>
      </c>
      <c r="C152" s="506"/>
      <c r="D152" s="578"/>
      <c r="E152" s="456">
        <v>90</v>
      </c>
      <c r="F152" s="497">
        <v>90</v>
      </c>
      <c r="G152" s="507" t="s">
        <v>22</v>
      </c>
      <c r="H152" s="454">
        <v>903</v>
      </c>
      <c r="I152" s="453">
        <f>H152*E152</f>
        <v>81270</v>
      </c>
      <c r="J152" s="454">
        <v>172</v>
      </c>
      <c r="K152" s="454">
        <f>J152*E152</f>
        <v>15480</v>
      </c>
      <c r="L152" s="454">
        <f t="shared" si="54"/>
        <v>1075</v>
      </c>
      <c r="M152" s="454">
        <f t="shared" si="54"/>
        <v>96750</v>
      </c>
      <c r="N152" s="744"/>
      <c r="O152" s="747"/>
      <c r="P152" s="464"/>
      <c r="Q152" s="447"/>
      <c r="R152" s="716"/>
    </row>
    <row r="153" spans="1:18" s="465" customFormat="1" ht="25.5" customHeight="1" x14ac:dyDescent="0.2">
      <c r="A153" s="573" t="s">
        <v>674</v>
      </c>
      <c r="B153" s="505" t="s">
        <v>10</v>
      </c>
      <c r="C153" s="506"/>
      <c r="D153" s="578"/>
      <c r="E153" s="456">
        <v>90</v>
      </c>
      <c r="F153" s="497">
        <v>90</v>
      </c>
      <c r="G153" s="507" t="s">
        <v>22</v>
      </c>
      <c r="H153" s="454">
        <v>774</v>
      </c>
      <c r="I153" s="453">
        <f>H153*E153</f>
        <v>69660</v>
      </c>
      <c r="J153" s="454">
        <v>172</v>
      </c>
      <c r="K153" s="454">
        <f>J153*E153</f>
        <v>15480</v>
      </c>
      <c r="L153" s="454">
        <f t="shared" si="54"/>
        <v>946</v>
      </c>
      <c r="M153" s="454">
        <f t="shared" si="54"/>
        <v>85140</v>
      </c>
      <c r="N153" s="745"/>
      <c r="O153" s="748"/>
      <c r="P153" s="464"/>
      <c r="Q153" s="447"/>
      <c r="R153" s="716"/>
    </row>
    <row r="154" spans="1:18" s="479" customFormat="1" ht="25.5" customHeight="1" x14ac:dyDescent="0.2">
      <c r="A154" s="561">
        <v>11.5</v>
      </c>
      <c r="B154" s="549" t="s">
        <v>89</v>
      </c>
      <c r="C154" s="562"/>
      <c r="D154" s="492"/>
      <c r="E154" s="503"/>
      <c r="F154" s="503"/>
      <c r="G154" s="502"/>
      <c r="H154" s="503"/>
      <c r="I154" s="502"/>
      <c r="J154" s="563"/>
      <c r="K154" s="502"/>
      <c r="L154" s="564"/>
      <c r="M154" s="565"/>
      <c r="N154" s="667"/>
      <c r="O154" s="667"/>
      <c r="P154" s="565"/>
      <c r="Q154" s="447"/>
      <c r="R154" s="716"/>
    </row>
    <row r="155" spans="1:18" s="465" customFormat="1" ht="25.5" customHeight="1" x14ac:dyDescent="0.2">
      <c r="A155" s="573" t="s">
        <v>675</v>
      </c>
      <c r="B155" s="505" t="s">
        <v>20</v>
      </c>
      <c r="C155" s="506"/>
      <c r="D155" s="578"/>
      <c r="E155" s="456" t="s">
        <v>198</v>
      </c>
      <c r="F155" s="497"/>
      <c r="G155" s="507" t="s">
        <v>83</v>
      </c>
      <c r="H155" s="616"/>
      <c r="I155" s="617" t="s">
        <v>228</v>
      </c>
      <c r="J155" s="476"/>
      <c r="K155" s="464" t="s">
        <v>228</v>
      </c>
      <c r="L155" s="509"/>
      <c r="M155" s="464" t="s">
        <v>228</v>
      </c>
      <c r="N155" s="657"/>
      <c r="O155" s="657"/>
      <c r="P155" s="464"/>
      <c r="Q155" s="447"/>
      <c r="R155" s="716"/>
    </row>
    <row r="156" spans="1:18" s="465" customFormat="1" ht="25.5" customHeight="1" x14ac:dyDescent="0.2">
      <c r="A156" s="573" t="s">
        <v>676</v>
      </c>
      <c r="B156" s="505" t="s">
        <v>603</v>
      </c>
      <c r="C156" s="506"/>
      <c r="D156" s="578"/>
      <c r="E156" s="456">
        <v>2</v>
      </c>
      <c r="F156" s="497">
        <v>2</v>
      </c>
      <c r="G156" s="507" t="s">
        <v>29</v>
      </c>
      <c r="H156" s="616"/>
      <c r="I156" s="508" t="s">
        <v>228</v>
      </c>
      <c r="J156" s="476"/>
      <c r="K156" s="464" t="s">
        <v>228</v>
      </c>
      <c r="L156" s="509"/>
      <c r="M156" s="464" t="s">
        <v>228</v>
      </c>
      <c r="N156" s="657"/>
      <c r="O156" s="657"/>
      <c r="P156" s="464"/>
      <c r="Q156" s="447"/>
      <c r="R156" s="716"/>
    </row>
    <row r="157" spans="1:18" s="465" customFormat="1" ht="25.5" customHeight="1" x14ac:dyDescent="0.2">
      <c r="A157" s="573" t="s">
        <v>677</v>
      </c>
      <c r="B157" s="505" t="s">
        <v>604</v>
      </c>
      <c r="C157" s="506"/>
      <c r="D157" s="578"/>
      <c r="E157" s="456">
        <v>4</v>
      </c>
      <c r="F157" s="497">
        <v>4</v>
      </c>
      <c r="G157" s="507" t="s">
        <v>29</v>
      </c>
      <c r="H157" s="616"/>
      <c r="I157" s="508" t="s">
        <v>228</v>
      </c>
      <c r="J157" s="476"/>
      <c r="K157" s="464" t="s">
        <v>228</v>
      </c>
      <c r="L157" s="509"/>
      <c r="M157" s="464" t="s">
        <v>228</v>
      </c>
      <c r="N157" s="657"/>
      <c r="O157" s="657"/>
      <c r="P157" s="464"/>
      <c r="Q157" s="447"/>
      <c r="R157" s="716"/>
    </row>
    <row r="158" spans="1:18" s="465" customFormat="1" ht="25.5" customHeight="1" x14ac:dyDescent="0.2">
      <c r="A158" s="573" t="s">
        <v>678</v>
      </c>
      <c r="B158" s="505" t="s">
        <v>10</v>
      </c>
      <c r="C158" s="506"/>
      <c r="D158" s="578"/>
      <c r="E158" s="456">
        <v>8</v>
      </c>
      <c r="F158" s="497">
        <v>8</v>
      </c>
      <c r="G158" s="507" t="s">
        <v>29</v>
      </c>
      <c r="H158" s="616"/>
      <c r="I158" s="508" t="s">
        <v>228</v>
      </c>
      <c r="J158" s="476"/>
      <c r="K158" s="464" t="s">
        <v>228</v>
      </c>
      <c r="L158" s="509"/>
      <c r="M158" s="464" t="s">
        <v>228</v>
      </c>
      <c r="N158" s="657"/>
      <c r="O158" s="657"/>
      <c r="P158" s="464"/>
      <c r="Q158" s="447"/>
      <c r="R158" s="716"/>
    </row>
    <row r="159" spans="1:18" s="465" customFormat="1" ht="25.5" customHeight="1" x14ac:dyDescent="0.2">
      <c r="A159" s="504">
        <v>11.6</v>
      </c>
      <c r="B159" s="521" t="s">
        <v>526</v>
      </c>
      <c r="C159" s="501"/>
      <c r="D159" s="501"/>
      <c r="E159" s="495">
        <v>1</v>
      </c>
      <c r="F159" s="497">
        <v>1</v>
      </c>
      <c r="G159" s="541" t="s">
        <v>30</v>
      </c>
      <c r="H159" s="454"/>
      <c r="I159" s="453">
        <f>H159*E159</f>
        <v>0</v>
      </c>
      <c r="J159" s="454">
        <v>21500</v>
      </c>
      <c r="K159" s="454">
        <f>J159*E159</f>
        <v>21500</v>
      </c>
      <c r="L159" s="454">
        <f t="shared" ref="L159:M160" si="55">J159+H159</f>
        <v>21500</v>
      </c>
      <c r="M159" s="454">
        <f t="shared" si="55"/>
        <v>21500</v>
      </c>
      <c r="N159" s="657"/>
      <c r="O159" s="657"/>
      <c r="P159" s="542"/>
      <c r="Q159" s="447"/>
      <c r="R159" s="716"/>
    </row>
    <row r="160" spans="1:18" s="465" customFormat="1" ht="25.5" customHeight="1" thickBot="1" x14ac:dyDescent="0.25">
      <c r="A160" s="504">
        <v>11.7</v>
      </c>
      <c r="B160" s="757" t="s">
        <v>649</v>
      </c>
      <c r="C160" s="758"/>
      <c r="D160" s="759"/>
      <c r="E160" s="495">
        <v>1</v>
      </c>
      <c r="F160" s="497">
        <v>1</v>
      </c>
      <c r="G160" s="541" t="s">
        <v>30</v>
      </c>
      <c r="H160" s="454"/>
      <c r="I160" s="453">
        <f>H160*E160</f>
        <v>0</v>
      </c>
      <c r="J160" s="454">
        <v>12900</v>
      </c>
      <c r="K160" s="454">
        <f>J160*E160</f>
        <v>12900</v>
      </c>
      <c r="L160" s="454">
        <f t="shared" si="55"/>
        <v>12900</v>
      </c>
      <c r="M160" s="454">
        <f t="shared" si="55"/>
        <v>12900</v>
      </c>
      <c r="N160" s="657"/>
      <c r="O160" s="657"/>
      <c r="P160" s="542"/>
      <c r="Q160" s="447"/>
      <c r="R160" s="716"/>
    </row>
    <row r="161" spans="1:18" s="447" customFormat="1" ht="15" customHeight="1" thickBot="1" x14ac:dyDescent="0.25">
      <c r="A161" s="792" t="s">
        <v>147</v>
      </c>
      <c r="B161" s="793"/>
      <c r="C161" s="793"/>
      <c r="D161" s="793"/>
      <c r="E161" s="793"/>
      <c r="F161" s="794"/>
      <c r="G161" s="795"/>
      <c r="H161" s="466"/>
      <c r="I161" s="467"/>
      <c r="J161" s="468"/>
      <c r="K161" s="467"/>
      <c r="L161" s="468"/>
      <c r="M161" s="469"/>
      <c r="N161" s="658"/>
      <c r="O161" s="658"/>
      <c r="P161" s="469"/>
      <c r="R161" s="716"/>
    </row>
    <row r="162" spans="1:18" s="465" customFormat="1" ht="17.25" customHeight="1" x14ac:dyDescent="0.2">
      <c r="A162" s="630">
        <v>12</v>
      </c>
      <c r="B162" s="631" t="s">
        <v>500</v>
      </c>
      <c r="C162" s="632"/>
      <c r="D162" s="491"/>
      <c r="E162" s="538"/>
      <c r="F162" s="538"/>
      <c r="G162" s="538"/>
      <c r="H162" s="475"/>
      <c r="I162" s="568"/>
      <c r="J162" s="476"/>
      <c r="K162" s="633"/>
      <c r="L162" s="611"/>
      <c r="M162" s="634"/>
      <c r="N162" s="673"/>
      <c r="O162" s="673"/>
      <c r="P162" s="634"/>
      <c r="Q162" s="447"/>
      <c r="R162" s="716"/>
    </row>
    <row r="163" spans="1:18" s="465" customFormat="1" ht="15" customHeight="1" x14ac:dyDescent="0.2">
      <c r="A163" s="635">
        <v>12.1</v>
      </c>
      <c r="B163" s="636" t="s">
        <v>591</v>
      </c>
      <c r="C163" s="610"/>
      <c r="D163" s="491"/>
      <c r="E163" s="538"/>
      <c r="F163" s="538"/>
      <c r="G163" s="538"/>
      <c r="H163" s="475"/>
      <c r="I163" s="492"/>
      <c r="J163" s="476"/>
      <c r="K163" s="502"/>
      <c r="L163" s="611"/>
      <c r="M163" s="498"/>
      <c r="N163" s="661"/>
      <c r="O163" s="661"/>
      <c r="P163" s="498"/>
      <c r="Q163" s="447"/>
      <c r="R163" s="716"/>
    </row>
    <row r="164" spans="1:18" s="465" customFormat="1" ht="38.25" customHeight="1" x14ac:dyDescent="0.2">
      <c r="A164" s="504" t="s">
        <v>574</v>
      </c>
      <c r="B164" s="637" t="s">
        <v>592</v>
      </c>
      <c r="C164" s="564"/>
      <c r="D164" s="638"/>
      <c r="E164" s="456">
        <v>10</v>
      </c>
      <c r="F164" s="497">
        <v>10</v>
      </c>
      <c r="G164" s="579" t="s">
        <v>29</v>
      </c>
      <c r="H164" s="454">
        <v>90300</v>
      </c>
      <c r="I164" s="453">
        <f t="shared" ref="I164:I175" si="56">H164*E164</f>
        <v>903000</v>
      </c>
      <c r="J164" s="454">
        <v>6450</v>
      </c>
      <c r="K164" s="454">
        <f t="shared" ref="K164:K175" si="57">J164*E164</f>
        <v>64500</v>
      </c>
      <c r="L164" s="454">
        <f t="shared" ref="L164:M175" si="58">J164+H164</f>
        <v>96750</v>
      </c>
      <c r="M164" s="454">
        <f t="shared" si="58"/>
        <v>967500</v>
      </c>
      <c r="N164" s="728" t="s">
        <v>785</v>
      </c>
      <c r="O164" s="728" t="s">
        <v>786</v>
      </c>
      <c r="P164" s="728" t="s">
        <v>799</v>
      </c>
      <c r="Q164" s="447"/>
      <c r="R164" s="716"/>
    </row>
    <row r="165" spans="1:18" s="465" customFormat="1" ht="32.25" customHeight="1" x14ac:dyDescent="0.2">
      <c r="A165" s="504" t="s">
        <v>681</v>
      </c>
      <c r="B165" s="637" t="s">
        <v>593</v>
      </c>
      <c r="C165" s="639"/>
      <c r="D165" s="640"/>
      <c r="E165" s="456">
        <v>8</v>
      </c>
      <c r="F165" s="497">
        <v>8</v>
      </c>
      <c r="G165" s="579" t="s">
        <v>29</v>
      </c>
      <c r="H165" s="454">
        <v>32680</v>
      </c>
      <c r="I165" s="453">
        <f t="shared" si="56"/>
        <v>261440</v>
      </c>
      <c r="J165" s="454">
        <v>4300</v>
      </c>
      <c r="K165" s="454">
        <f t="shared" si="57"/>
        <v>34400</v>
      </c>
      <c r="L165" s="454">
        <f t="shared" si="58"/>
        <v>36980</v>
      </c>
      <c r="M165" s="454">
        <f t="shared" si="58"/>
        <v>295840</v>
      </c>
      <c r="N165" s="729"/>
      <c r="O165" s="734"/>
      <c r="P165" s="729"/>
      <c r="Q165" s="447"/>
      <c r="R165" s="716"/>
    </row>
    <row r="166" spans="1:18" s="465" customFormat="1" ht="34.5" customHeight="1" x14ac:dyDescent="0.2">
      <c r="A166" s="504" t="s">
        <v>682</v>
      </c>
      <c r="B166" s="637" t="s">
        <v>594</v>
      </c>
      <c r="C166" s="639"/>
      <c r="D166" s="640"/>
      <c r="E166" s="456">
        <v>1</v>
      </c>
      <c r="F166" s="497">
        <v>1</v>
      </c>
      <c r="G166" s="579" t="s">
        <v>29</v>
      </c>
      <c r="H166" s="454">
        <v>19350</v>
      </c>
      <c r="I166" s="453">
        <f t="shared" si="56"/>
        <v>19350</v>
      </c>
      <c r="J166" s="454">
        <v>4300</v>
      </c>
      <c r="K166" s="454">
        <f t="shared" si="57"/>
        <v>4300</v>
      </c>
      <c r="L166" s="454">
        <f t="shared" si="58"/>
        <v>23650</v>
      </c>
      <c r="M166" s="454">
        <f t="shared" si="58"/>
        <v>23650</v>
      </c>
      <c r="N166" s="729"/>
      <c r="O166" s="734"/>
      <c r="P166" s="729"/>
      <c r="Q166" s="447"/>
      <c r="R166" s="716"/>
    </row>
    <row r="167" spans="1:18" s="465" customFormat="1" ht="40.5" customHeight="1" x14ac:dyDescent="0.2">
      <c r="A167" s="504" t="s">
        <v>683</v>
      </c>
      <c r="B167" s="757" t="s">
        <v>595</v>
      </c>
      <c r="C167" s="758"/>
      <c r="D167" s="759"/>
      <c r="E167" s="456">
        <v>9</v>
      </c>
      <c r="F167" s="497">
        <v>9</v>
      </c>
      <c r="G167" s="579" t="s">
        <v>29</v>
      </c>
      <c r="H167" s="454">
        <v>47300</v>
      </c>
      <c r="I167" s="453">
        <f t="shared" si="56"/>
        <v>425700</v>
      </c>
      <c r="J167" s="454">
        <v>4300</v>
      </c>
      <c r="K167" s="454">
        <f t="shared" si="57"/>
        <v>38700</v>
      </c>
      <c r="L167" s="454">
        <f t="shared" si="58"/>
        <v>51600</v>
      </c>
      <c r="M167" s="454">
        <f t="shared" si="58"/>
        <v>464400</v>
      </c>
      <c r="N167" s="729"/>
      <c r="O167" s="734"/>
      <c r="P167" s="729"/>
      <c r="Q167" s="447"/>
      <c r="R167" s="716"/>
    </row>
    <row r="168" spans="1:18" s="465" customFormat="1" ht="38.25" customHeight="1" x14ac:dyDescent="0.2">
      <c r="A168" s="504" t="s">
        <v>684</v>
      </c>
      <c r="B168" s="757" t="s">
        <v>620</v>
      </c>
      <c r="C168" s="758"/>
      <c r="D168" s="759"/>
      <c r="E168" s="456">
        <v>1</v>
      </c>
      <c r="F168" s="497">
        <v>1</v>
      </c>
      <c r="G168" s="579" t="s">
        <v>83</v>
      </c>
      <c r="H168" s="454">
        <v>48160</v>
      </c>
      <c r="I168" s="453">
        <f t="shared" si="56"/>
        <v>48160</v>
      </c>
      <c r="J168" s="454">
        <v>4300</v>
      </c>
      <c r="K168" s="454">
        <f t="shared" si="57"/>
        <v>4300</v>
      </c>
      <c r="L168" s="454">
        <f t="shared" si="58"/>
        <v>52460</v>
      </c>
      <c r="M168" s="454">
        <f t="shared" si="58"/>
        <v>52460</v>
      </c>
      <c r="N168" s="729"/>
      <c r="O168" s="734"/>
      <c r="P168" s="729"/>
      <c r="Q168" s="447"/>
      <c r="R168" s="716"/>
    </row>
    <row r="169" spans="1:18" s="465" customFormat="1" ht="27.75" customHeight="1" x14ac:dyDescent="0.2">
      <c r="A169" s="504" t="s">
        <v>685</v>
      </c>
      <c r="B169" s="757" t="s">
        <v>621</v>
      </c>
      <c r="C169" s="758"/>
      <c r="D169" s="759"/>
      <c r="E169" s="456">
        <v>1</v>
      </c>
      <c r="F169" s="497">
        <v>1</v>
      </c>
      <c r="G169" s="579" t="s">
        <v>83</v>
      </c>
      <c r="H169" s="454">
        <v>41280</v>
      </c>
      <c r="I169" s="453">
        <f t="shared" si="56"/>
        <v>41280</v>
      </c>
      <c r="J169" s="454">
        <v>4300</v>
      </c>
      <c r="K169" s="454">
        <f t="shared" si="57"/>
        <v>4300</v>
      </c>
      <c r="L169" s="454">
        <f t="shared" si="58"/>
        <v>45580</v>
      </c>
      <c r="M169" s="454">
        <f t="shared" si="58"/>
        <v>45580</v>
      </c>
      <c r="N169" s="729"/>
      <c r="O169" s="734"/>
      <c r="P169" s="729"/>
      <c r="Q169" s="447"/>
      <c r="R169" s="716"/>
    </row>
    <row r="170" spans="1:18" s="465" customFormat="1" ht="39" customHeight="1" x14ac:dyDescent="0.2">
      <c r="A170" s="504" t="s">
        <v>686</v>
      </c>
      <c r="B170" s="757" t="s">
        <v>596</v>
      </c>
      <c r="C170" s="758"/>
      <c r="D170" s="759"/>
      <c r="E170" s="456">
        <v>11</v>
      </c>
      <c r="F170" s="497">
        <v>11</v>
      </c>
      <c r="G170" s="579" t="s">
        <v>29</v>
      </c>
      <c r="H170" s="454">
        <v>11008</v>
      </c>
      <c r="I170" s="453">
        <f t="shared" si="56"/>
        <v>121088</v>
      </c>
      <c r="J170" s="454">
        <v>860</v>
      </c>
      <c r="K170" s="454">
        <f t="shared" si="57"/>
        <v>9460</v>
      </c>
      <c r="L170" s="454">
        <f t="shared" si="58"/>
        <v>11868</v>
      </c>
      <c r="M170" s="454">
        <f t="shared" si="58"/>
        <v>130548</v>
      </c>
      <c r="N170" s="729"/>
      <c r="O170" s="734"/>
      <c r="P170" s="729"/>
      <c r="Q170" s="447"/>
      <c r="R170" s="716"/>
    </row>
    <row r="171" spans="1:18" s="465" customFormat="1" ht="27.75" customHeight="1" x14ac:dyDescent="0.2">
      <c r="A171" s="504" t="s">
        <v>687</v>
      </c>
      <c r="B171" s="637" t="s">
        <v>597</v>
      </c>
      <c r="C171" s="639"/>
      <c r="D171" s="640"/>
      <c r="E171" s="456">
        <v>2</v>
      </c>
      <c r="F171" s="497">
        <v>2</v>
      </c>
      <c r="G171" s="579" t="s">
        <v>29</v>
      </c>
      <c r="H171" s="454">
        <v>9030</v>
      </c>
      <c r="I171" s="453">
        <f t="shared" si="56"/>
        <v>18060</v>
      </c>
      <c r="J171" s="454">
        <v>860</v>
      </c>
      <c r="K171" s="454">
        <f t="shared" si="57"/>
        <v>1720</v>
      </c>
      <c r="L171" s="454">
        <f t="shared" si="58"/>
        <v>9890</v>
      </c>
      <c r="M171" s="454">
        <f t="shared" si="58"/>
        <v>19780</v>
      </c>
      <c r="N171" s="729"/>
      <c r="O171" s="734"/>
      <c r="P171" s="729"/>
      <c r="Q171" s="447"/>
      <c r="R171" s="716"/>
    </row>
    <row r="172" spans="1:18" s="465" customFormat="1" ht="34.5" customHeight="1" x14ac:dyDescent="0.2">
      <c r="A172" s="504" t="s">
        <v>688</v>
      </c>
      <c r="B172" s="757" t="s">
        <v>598</v>
      </c>
      <c r="C172" s="758"/>
      <c r="D172" s="759"/>
      <c r="E172" s="456">
        <v>6</v>
      </c>
      <c r="F172" s="497">
        <v>6</v>
      </c>
      <c r="G172" s="579" t="s">
        <v>29</v>
      </c>
      <c r="H172" s="454">
        <v>38270</v>
      </c>
      <c r="I172" s="453">
        <f t="shared" si="56"/>
        <v>229620</v>
      </c>
      <c r="J172" s="454">
        <v>860</v>
      </c>
      <c r="K172" s="454">
        <f t="shared" si="57"/>
        <v>5160</v>
      </c>
      <c r="L172" s="454">
        <f t="shared" si="58"/>
        <v>39130</v>
      </c>
      <c r="M172" s="454">
        <f t="shared" si="58"/>
        <v>234780</v>
      </c>
      <c r="N172" s="729"/>
      <c r="O172" s="734"/>
      <c r="P172" s="729"/>
      <c r="Q172" s="447"/>
      <c r="R172" s="716"/>
    </row>
    <row r="173" spans="1:18" s="465" customFormat="1" ht="27" customHeight="1" x14ac:dyDescent="0.2">
      <c r="A173" s="504" t="s">
        <v>689</v>
      </c>
      <c r="B173" s="637" t="s">
        <v>599</v>
      </c>
      <c r="C173" s="564"/>
      <c r="D173" s="638"/>
      <c r="E173" s="456">
        <v>11</v>
      </c>
      <c r="F173" s="497">
        <v>11</v>
      </c>
      <c r="G173" s="579" t="s">
        <v>29</v>
      </c>
      <c r="H173" s="454">
        <v>12814</v>
      </c>
      <c r="I173" s="453">
        <f t="shared" si="56"/>
        <v>140954</v>
      </c>
      <c r="J173" s="454">
        <v>860</v>
      </c>
      <c r="K173" s="454">
        <f t="shared" si="57"/>
        <v>9460</v>
      </c>
      <c r="L173" s="454">
        <f t="shared" si="58"/>
        <v>13674</v>
      </c>
      <c r="M173" s="454">
        <f t="shared" si="58"/>
        <v>150414</v>
      </c>
      <c r="N173" s="729"/>
      <c r="O173" s="734"/>
      <c r="P173" s="729"/>
      <c r="Q173" s="447"/>
      <c r="R173" s="716"/>
    </row>
    <row r="174" spans="1:18" s="465" customFormat="1" ht="27" customHeight="1" x14ac:dyDescent="0.2">
      <c r="A174" s="504" t="s">
        <v>690</v>
      </c>
      <c r="B174" s="637" t="s">
        <v>600</v>
      </c>
      <c r="C174" s="564"/>
      <c r="D174" s="638"/>
      <c r="E174" s="456">
        <v>9</v>
      </c>
      <c r="F174" s="497">
        <v>9</v>
      </c>
      <c r="G174" s="579" t="s">
        <v>29</v>
      </c>
      <c r="H174" s="454">
        <v>21500</v>
      </c>
      <c r="I174" s="453">
        <f t="shared" si="56"/>
        <v>193500</v>
      </c>
      <c r="J174" s="454">
        <v>860</v>
      </c>
      <c r="K174" s="454">
        <f t="shared" si="57"/>
        <v>7740</v>
      </c>
      <c r="L174" s="454">
        <f t="shared" si="58"/>
        <v>22360</v>
      </c>
      <c r="M174" s="454">
        <f t="shared" si="58"/>
        <v>201240</v>
      </c>
      <c r="N174" s="729"/>
      <c r="O174" s="734"/>
      <c r="P174" s="729"/>
      <c r="Q174" s="447"/>
      <c r="R174" s="716"/>
    </row>
    <row r="175" spans="1:18" s="465" customFormat="1" ht="28.5" customHeight="1" x14ac:dyDescent="0.2">
      <c r="A175" s="504" t="s">
        <v>691</v>
      </c>
      <c r="B175" s="637" t="s">
        <v>645</v>
      </c>
      <c r="C175" s="564"/>
      <c r="D175" s="638"/>
      <c r="E175" s="456">
        <v>5</v>
      </c>
      <c r="F175" s="497">
        <v>5</v>
      </c>
      <c r="G175" s="579" t="s">
        <v>29</v>
      </c>
      <c r="H175" s="454">
        <v>25370</v>
      </c>
      <c r="I175" s="453">
        <f t="shared" si="56"/>
        <v>126850</v>
      </c>
      <c r="J175" s="454">
        <v>1720</v>
      </c>
      <c r="K175" s="454">
        <f t="shared" si="57"/>
        <v>8600</v>
      </c>
      <c r="L175" s="454">
        <f t="shared" si="58"/>
        <v>27090</v>
      </c>
      <c r="M175" s="454">
        <f t="shared" si="58"/>
        <v>135450</v>
      </c>
      <c r="N175" s="730"/>
      <c r="O175" s="735"/>
      <c r="P175" s="730"/>
      <c r="Q175" s="447"/>
      <c r="R175" s="716"/>
    </row>
    <row r="176" spans="1:18" s="465" customFormat="1" ht="39" customHeight="1" x14ac:dyDescent="0.2">
      <c r="A176" s="635">
        <v>12.2</v>
      </c>
      <c r="B176" s="810" t="s">
        <v>601</v>
      </c>
      <c r="C176" s="811"/>
      <c r="D176" s="811"/>
      <c r="E176" s="811"/>
      <c r="F176" s="811"/>
      <c r="G176" s="811"/>
      <c r="H176" s="811"/>
      <c r="I176" s="811"/>
      <c r="J176" s="811"/>
      <c r="K176" s="811"/>
      <c r="L176" s="811"/>
      <c r="M176" s="812"/>
      <c r="N176" s="674"/>
      <c r="O176" s="675"/>
      <c r="Q176" s="447"/>
      <c r="R176" s="716"/>
    </row>
    <row r="177" spans="1:18" s="465" customFormat="1" ht="20.25" customHeight="1" x14ac:dyDescent="0.2">
      <c r="A177" s="504" t="s">
        <v>575</v>
      </c>
      <c r="B177" s="637" t="s">
        <v>503</v>
      </c>
      <c r="C177" s="564"/>
      <c r="D177" s="638"/>
      <c r="E177" s="456" t="s">
        <v>198</v>
      </c>
      <c r="F177" s="497"/>
      <c r="G177" s="507" t="s">
        <v>22</v>
      </c>
      <c r="H177" s="616"/>
      <c r="I177" s="617" t="s">
        <v>228</v>
      </c>
      <c r="J177" s="476"/>
      <c r="K177" s="464" t="s">
        <v>228</v>
      </c>
      <c r="L177" s="509"/>
      <c r="M177" s="464" t="s">
        <v>228</v>
      </c>
      <c r="N177" s="657"/>
      <c r="O177" s="657"/>
      <c r="P177" s="464"/>
      <c r="Q177" s="447"/>
      <c r="R177" s="716"/>
    </row>
    <row r="178" spans="1:18" s="465" customFormat="1" ht="20.25" customHeight="1" x14ac:dyDescent="0.2">
      <c r="A178" s="504" t="s">
        <v>576</v>
      </c>
      <c r="B178" s="637" t="s">
        <v>502</v>
      </c>
      <c r="C178" s="564"/>
      <c r="D178" s="638"/>
      <c r="E178" s="456" t="s">
        <v>198</v>
      </c>
      <c r="F178" s="497"/>
      <c r="G178" s="507" t="s">
        <v>22</v>
      </c>
      <c r="H178" s="616"/>
      <c r="I178" s="617" t="s">
        <v>228</v>
      </c>
      <c r="J178" s="476"/>
      <c r="K178" s="464" t="s">
        <v>228</v>
      </c>
      <c r="L178" s="509"/>
      <c r="M178" s="464" t="s">
        <v>228</v>
      </c>
      <c r="N178" s="657"/>
      <c r="O178" s="657"/>
      <c r="P178" s="464"/>
      <c r="Q178" s="447"/>
      <c r="R178" s="716"/>
    </row>
    <row r="179" spans="1:18" s="465" customFormat="1" ht="20.25" customHeight="1" x14ac:dyDescent="0.2">
      <c r="A179" s="504" t="s">
        <v>577</v>
      </c>
      <c r="B179" s="637" t="s">
        <v>528</v>
      </c>
      <c r="C179" s="564"/>
      <c r="D179" s="638"/>
      <c r="E179" s="456" t="s">
        <v>198</v>
      </c>
      <c r="F179" s="497"/>
      <c r="G179" s="507" t="s">
        <v>22</v>
      </c>
      <c r="H179" s="616"/>
      <c r="I179" s="617" t="s">
        <v>228</v>
      </c>
      <c r="J179" s="476"/>
      <c r="K179" s="464" t="s">
        <v>228</v>
      </c>
      <c r="L179" s="509"/>
      <c r="M179" s="464" t="s">
        <v>228</v>
      </c>
      <c r="N179" s="657"/>
      <c r="O179" s="657"/>
      <c r="P179" s="464"/>
      <c r="Q179" s="447"/>
      <c r="R179" s="716"/>
    </row>
    <row r="180" spans="1:18" s="465" customFormat="1" ht="20.25" customHeight="1" x14ac:dyDescent="0.2">
      <c r="A180" s="504" t="s">
        <v>578</v>
      </c>
      <c r="B180" s="637" t="s">
        <v>605</v>
      </c>
      <c r="C180" s="564"/>
      <c r="D180" s="638"/>
      <c r="E180" s="456" t="s">
        <v>198</v>
      </c>
      <c r="F180" s="497"/>
      <c r="G180" s="507" t="s">
        <v>22</v>
      </c>
      <c r="H180" s="616"/>
      <c r="I180" s="617" t="s">
        <v>228</v>
      </c>
      <c r="J180" s="476"/>
      <c r="K180" s="464" t="s">
        <v>228</v>
      </c>
      <c r="L180" s="509"/>
      <c r="M180" s="464" t="s">
        <v>228</v>
      </c>
      <c r="N180" s="657"/>
      <c r="O180" s="657"/>
      <c r="P180" s="464"/>
      <c r="Q180" s="447"/>
      <c r="R180" s="716"/>
    </row>
    <row r="181" spans="1:18" s="465" customFormat="1" ht="30" customHeight="1" x14ac:dyDescent="0.2">
      <c r="A181" s="635">
        <v>12.3</v>
      </c>
      <c r="B181" s="636" t="s">
        <v>501</v>
      </c>
      <c r="C181" s="610"/>
      <c r="D181" s="491"/>
      <c r="E181" s="462"/>
      <c r="F181" s="462"/>
      <c r="G181" s="462"/>
      <c r="H181" s="475"/>
      <c r="I181" s="492"/>
      <c r="J181" s="476"/>
      <c r="K181" s="502"/>
      <c r="L181" s="611"/>
      <c r="M181" s="498"/>
      <c r="N181" s="661"/>
      <c r="O181" s="661"/>
      <c r="P181" s="498"/>
      <c r="Q181" s="447"/>
      <c r="R181" s="716"/>
    </row>
    <row r="182" spans="1:18" s="465" customFormat="1" ht="30" customHeight="1" x14ac:dyDescent="0.2">
      <c r="A182" s="635" t="s">
        <v>579</v>
      </c>
      <c r="B182" s="636" t="s">
        <v>765</v>
      </c>
      <c r="C182" s="610"/>
      <c r="D182" s="491"/>
      <c r="E182" s="462"/>
      <c r="F182" s="462"/>
      <c r="G182" s="462"/>
      <c r="H182" s="475"/>
      <c r="I182" s="492"/>
      <c r="J182" s="476"/>
      <c r="K182" s="502"/>
      <c r="L182" s="611"/>
      <c r="M182" s="498"/>
      <c r="N182" s="661"/>
      <c r="O182" s="661"/>
      <c r="P182" s="498"/>
      <c r="Q182" s="447"/>
      <c r="R182" s="716"/>
    </row>
    <row r="183" spans="1:18" s="465" customFormat="1" ht="61.5" customHeight="1" x14ac:dyDescent="0.2">
      <c r="A183" s="504" t="s">
        <v>692</v>
      </c>
      <c r="B183" s="641" t="s">
        <v>572</v>
      </c>
      <c r="C183" s="564"/>
      <c r="D183" s="638"/>
      <c r="E183" s="511">
        <v>22</v>
      </c>
      <c r="F183" s="497">
        <v>27</v>
      </c>
      <c r="G183" s="579" t="s">
        <v>29</v>
      </c>
      <c r="H183" s="454">
        <v>6794</v>
      </c>
      <c r="I183" s="453">
        <f>H183*E183</f>
        <v>149468</v>
      </c>
      <c r="J183" s="454">
        <v>1290</v>
      </c>
      <c r="K183" s="454">
        <f>J183*E183</f>
        <v>28380</v>
      </c>
      <c r="L183" s="454">
        <f>J183+H183</f>
        <v>8084</v>
      </c>
      <c r="M183" s="454">
        <f>K183+I183</f>
        <v>177848</v>
      </c>
      <c r="N183" s="683" t="s">
        <v>803</v>
      </c>
      <c r="O183" s="683" t="s">
        <v>773</v>
      </c>
      <c r="P183" s="464"/>
      <c r="Q183" s="447"/>
      <c r="R183" s="716"/>
    </row>
    <row r="184" spans="1:18" s="465" customFormat="1" ht="30" customHeight="1" x14ac:dyDescent="0.2">
      <c r="A184" s="635" t="s">
        <v>580</v>
      </c>
      <c r="B184" s="636" t="s">
        <v>511</v>
      </c>
      <c r="C184" s="610"/>
      <c r="D184" s="491"/>
      <c r="E184" s="462"/>
      <c r="F184" s="462"/>
      <c r="G184" s="462"/>
      <c r="H184" s="475">
        <v>0</v>
      </c>
      <c r="I184" s="492"/>
      <c r="J184" s="476">
        <v>0</v>
      </c>
      <c r="K184" s="502"/>
      <c r="L184" s="611"/>
      <c r="M184" s="498"/>
      <c r="N184" s="661"/>
      <c r="O184" s="661"/>
      <c r="P184" s="498"/>
      <c r="Q184" s="447"/>
      <c r="R184" s="716"/>
    </row>
    <row r="185" spans="1:18" s="465" customFormat="1" ht="30" customHeight="1" x14ac:dyDescent="0.2">
      <c r="A185" s="504" t="s">
        <v>693</v>
      </c>
      <c r="B185" s="637" t="s">
        <v>503</v>
      </c>
      <c r="C185" s="564"/>
      <c r="D185" s="638"/>
      <c r="E185" s="511">
        <v>6</v>
      </c>
      <c r="F185" s="497">
        <v>6</v>
      </c>
      <c r="G185" s="507" t="s">
        <v>29</v>
      </c>
      <c r="H185" s="454">
        <v>6794</v>
      </c>
      <c r="I185" s="453">
        <f>H185*E185</f>
        <v>40764</v>
      </c>
      <c r="J185" s="454">
        <v>1290</v>
      </c>
      <c r="K185" s="454">
        <f>J185*E185</f>
        <v>7740</v>
      </c>
      <c r="L185" s="454">
        <f>J185+H185</f>
        <v>8084</v>
      </c>
      <c r="M185" s="454">
        <f>K185+I185</f>
        <v>48504</v>
      </c>
      <c r="N185" s="736" t="s">
        <v>803</v>
      </c>
      <c r="O185" s="731" t="s">
        <v>773</v>
      </c>
      <c r="P185" s="464"/>
      <c r="Q185" s="447"/>
      <c r="R185" s="716"/>
    </row>
    <row r="186" spans="1:18" s="465" customFormat="1" ht="30" customHeight="1" x14ac:dyDescent="0.2">
      <c r="A186" s="504" t="s">
        <v>694</v>
      </c>
      <c r="B186" s="637" t="s">
        <v>502</v>
      </c>
      <c r="C186" s="564"/>
      <c r="D186" s="638"/>
      <c r="E186" s="511" t="s">
        <v>198</v>
      </c>
      <c r="F186" s="497"/>
      <c r="G186" s="507" t="s">
        <v>83</v>
      </c>
      <c r="H186" s="616">
        <v>6794</v>
      </c>
      <c r="I186" s="617" t="s">
        <v>228</v>
      </c>
      <c r="J186" s="476">
        <v>1290</v>
      </c>
      <c r="K186" s="464" t="s">
        <v>228</v>
      </c>
      <c r="L186" s="509"/>
      <c r="M186" s="464" t="s">
        <v>228</v>
      </c>
      <c r="N186" s="737"/>
      <c r="O186" s="738"/>
      <c r="P186" s="464"/>
      <c r="Q186" s="447"/>
      <c r="R186" s="716"/>
    </row>
    <row r="187" spans="1:18" s="465" customFormat="1" ht="47.25" customHeight="1" x14ac:dyDescent="0.2">
      <c r="A187" s="504">
        <v>12.4</v>
      </c>
      <c r="B187" s="757" t="s">
        <v>526</v>
      </c>
      <c r="C187" s="758"/>
      <c r="D187" s="759"/>
      <c r="E187" s="495">
        <v>1</v>
      </c>
      <c r="F187" s="497">
        <v>1</v>
      </c>
      <c r="G187" s="541" t="s">
        <v>30</v>
      </c>
      <c r="H187" s="454"/>
      <c r="I187" s="453">
        <f>H187*E187</f>
        <v>0</v>
      </c>
      <c r="J187" s="454">
        <v>21500</v>
      </c>
      <c r="K187" s="454">
        <f>J187*E187</f>
        <v>21500</v>
      </c>
      <c r="L187" s="454">
        <f t="shared" ref="L187:M188" si="59">J187+H187</f>
        <v>21500</v>
      </c>
      <c r="M187" s="454">
        <f t="shared" si="59"/>
        <v>21500</v>
      </c>
      <c r="N187" s="657"/>
      <c r="O187" s="657"/>
      <c r="P187" s="542"/>
      <c r="Q187" s="447"/>
      <c r="R187" s="716"/>
    </row>
    <row r="188" spans="1:18" s="465" customFormat="1" ht="35.25" customHeight="1" thickBot="1" x14ac:dyDescent="0.25">
      <c r="A188" s="504">
        <v>12.5</v>
      </c>
      <c r="B188" s="757" t="s">
        <v>649</v>
      </c>
      <c r="C188" s="758"/>
      <c r="D188" s="759"/>
      <c r="E188" s="495">
        <v>1</v>
      </c>
      <c r="F188" s="497">
        <v>1</v>
      </c>
      <c r="G188" s="541" t="s">
        <v>30</v>
      </c>
      <c r="H188" s="454"/>
      <c r="I188" s="453">
        <f>H188*E188</f>
        <v>0</v>
      </c>
      <c r="J188" s="454">
        <v>8600</v>
      </c>
      <c r="K188" s="454">
        <f>J188*E188</f>
        <v>8600</v>
      </c>
      <c r="L188" s="454">
        <f t="shared" si="59"/>
        <v>8600</v>
      </c>
      <c r="M188" s="454">
        <f t="shared" si="59"/>
        <v>8600</v>
      </c>
      <c r="N188" s="657"/>
      <c r="O188" s="657"/>
      <c r="P188" s="542"/>
      <c r="Q188" s="447"/>
      <c r="R188" s="716"/>
    </row>
    <row r="189" spans="1:18" s="447" customFormat="1" ht="15" customHeight="1" thickBot="1" x14ac:dyDescent="0.25">
      <c r="A189" s="792" t="s">
        <v>147</v>
      </c>
      <c r="B189" s="793"/>
      <c r="C189" s="793"/>
      <c r="D189" s="793"/>
      <c r="E189" s="793"/>
      <c r="F189" s="794"/>
      <c r="G189" s="795"/>
      <c r="H189" s="466"/>
      <c r="I189" s="467"/>
      <c r="J189" s="468"/>
      <c r="K189" s="467"/>
      <c r="L189" s="468"/>
      <c r="M189" s="469"/>
      <c r="N189" s="658"/>
      <c r="O189" s="658"/>
      <c r="P189" s="469"/>
      <c r="R189" s="716"/>
    </row>
    <row r="190" spans="1:18" s="465" customFormat="1" ht="15" customHeight="1" x14ac:dyDescent="0.2">
      <c r="A190" s="488">
        <v>13</v>
      </c>
      <c r="B190" s="574" t="s">
        <v>54</v>
      </c>
      <c r="C190" s="544"/>
      <c r="D190" s="491"/>
      <c r="E190" s="568"/>
      <c r="F190" s="568"/>
      <c r="G190" s="568"/>
      <c r="H190" s="475"/>
      <c r="I190" s="569"/>
      <c r="J190" s="476"/>
      <c r="K190" s="534"/>
      <c r="L190" s="534"/>
      <c r="M190" s="535"/>
      <c r="N190" s="664"/>
      <c r="O190" s="664"/>
      <c r="P190" s="535"/>
      <c r="Q190" s="447"/>
      <c r="R190" s="716"/>
    </row>
    <row r="191" spans="1:18" s="539" customFormat="1" ht="30" customHeight="1" thickBot="1" x14ac:dyDescent="0.25">
      <c r="A191" s="504">
        <v>13.1</v>
      </c>
      <c r="B191" s="514" t="s">
        <v>760</v>
      </c>
      <c r="C191" s="491"/>
      <c r="D191" s="491"/>
      <c r="E191" s="456">
        <v>1</v>
      </c>
      <c r="F191" s="497">
        <v>1</v>
      </c>
      <c r="G191" s="579" t="s">
        <v>30</v>
      </c>
      <c r="H191" s="454"/>
      <c r="I191" s="453">
        <f>H191*E191</f>
        <v>0</v>
      </c>
      <c r="J191" s="454">
        <v>12900</v>
      </c>
      <c r="K191" s="454">
        <f>J191*E191</f>
        <v>12900</v>
      </c>
      <c r="L191" s="454">
        <f>J191+H191</f>
        <v>12900</v>
      </c>
      <c r="M191" s="454">
        <f>K191+I191</f>
        <v>12900</v>
      </c>
      <c r="N191" s="657"/>
      <c r="O191" s="657"/>
      <c r="P191" s="464"/>
      <c r="Q191" s="447"/>
      <c r="R191" s="716"/>
    </row>
    <row r="192" spans="1:18" s="447" customFormat="1" ht="15" customHeight="1" thickBot="1" x14ac:dyDescent="0.25">
      <c r="A192" s="792" t="s">
        <v>147</v>
      </c>
      <c r="B192" s="793"/>
      <c r="C192" s="793"/>
      <c r="D192" s="793"/>
      <c r="E192" s="793"/>
      <c r="F192" s="794"/>
      <c r="G192" s="795"/>
      <c r="H192" s="466"/>
      <c r="I192" s="467"/>
      <c r="J192" s="468">
        <v>0</v>
      </c>
      <c r="K192" s="467"/>
      <c r="L192" s="468"/>
      <c r="M192" s="469"/>
      <c r="N192" s="658"/>
      <c r="O192" s="658"/>
      <c r="P192" s="469"/>
      <c r="R192" s="716"/>
    </row>
    <row r="193" spans="1:18" s="465" customFormat="1" ht="15" customHeight="1" x14ac:dyDescent="0.2">
      <c r="A193" s="470">
        <v>14</v>
      </c>
      <c r="B193" s="574" t="s">
        <v>55</v>
      </c>
      <c r="C193" s="544"/>
      <c r="D193" s="491"/>
      <c r="E193" s="568"/>
      <c r="F193" s="568"/>
      <c r="G193" s="568"/>
      <c r="H193" s="475"/>
      <c r="I193" s="569"/>
      <c r="J193" s="476">
        <v>0</v>
      </c>
      <c r="K193" s="534"/>
      <c r="L193" s="534"/>
      <c r="M193" s="535"/>
      <c r="N193" s="664"/>
      <c r="O193" s="664"/>
      <c r="P193" s="535"/>
      <c r="Q193" s="447"/>
      <c r="R193" s="716"/>
    </row>
    <row r="194" spans="1:18" s="465" customFormat="1" ht="34.5" customHeight="1" thickBot="1" x14ac:dyDescent="0.25">
      <c r="A194" s="576">
        <v>14.1</v>
      </c>
      <c r="B194" s="642" t="s">
        <v>646</v>
      </c>
      <c r="C194" s="577"/>
      <c r="D194" s="578"/>
      <c r="E194" s="456">
        <v>1</v>
      </c>
      <c r="F194" s="497">
        <v>1</v>
      </c>
      <c r="G194" s="579" t="s">
        <v>30</v>
      </c>
      <c r="H194" s="454">
        <v>8600</v>
      </c>
      <c r="I194" s="453">
        <f>H194*E194</f>
        <v>8600</v>
      </c>
      <c r="J194" s="454">
        <v>8600</v>
      </c>
      <c r="K194" s="454">
        <f>J194*E194</f>
        <v>8600</v>
      </c>
      <c r="L194" s="454">
        <f>J194+H194</f>
        <v>17200</v>
      </c>
      <c r="M194" s="454">
        <f>K194+I194</f>
        <v>17200</v>
      </c>
      <c r="N194" s="657"/>
      <c r="O194" s="657"/>
      <c r="P194" s="464"/>
      <c r="Q194" s="447"/>
      <c r="R194" s="716"/>
    </row>
    <row r="195" spans="1:18" s="447" customFormat="1" ht="15" customHeight="1" thickBot="1" x14ac:dyDescent="0.25">
      <c r="A195" s="792" t="s">
        <v>147</v>
      </c>
      <c r="B195" s="793"/>
      <c r="C195" s="793"/>
      <c r="D195" s="793"/>
      <c r="E195" s="793"/>
      <c r="F195" s="794"/>
      <c r="G195" s="795"/>
      <c r="H195" s="466"/>
      <c r="I195" s="467"/>
      <c r="J195" s="468">
        <v>0</v>
      </c>
      <c r="K195" s="467"/>
      <c r="L195" s="468"/>
      <c r="M195" s="469"/>
      <c r="N195" s="658"/>
      <c r="O195" s="658"/>
      <c r="P195" s="469"/>
      <c r="R195" s="716"/>
    </row>
    <row r="196" spans="1:18" s="465" customFormat="1" ht="15" customHeight="1" x14ac:dyDescent="0.2">
      <c r="A196" s="630">
        <v>15</v>
      </c>
      <c r="B196" s="574" t="s">
        <v>14</v>
      </c>
      <c r="C196" s="575"/>
      <c r="D196" s="491"/>
      <c r="E196" s="492"/>
      <c r="F196" s="492"/>
      <c r="G196" s="492"/>
      <c r="H196" s="475"/>
      <c r="I196" s="568"/>
      <c r="J196" s="476">
        <v>0</v>
      </c>
      <c r="K196" s="534"/>
      <c r="L196" s="534"/>
      <c r="M196" s="535"/>
      <c r="N196" s="664"/>
      <c r="O196" s="664"/>
      <c r="P196" s="535"/>
      <c r="Q196" s="447"/>
      <c r="R196" s="716"/>
    </row>
    <row r="197" spans="1:18" s="465" customFormat="1" ht="43.5" customHeight="1" x14ac:dyDescent="0.2">
      <c r="A197" s="504">
        <v>15.1</v>
      </c>
      <c r="B197" s="540" t="s">
        <v>602</v>
      </c>
      <c r="C197" s="501"/>
      <c r="D197" s="501"/>
      <c r="E197" s="456">
        <v>1</v>
      </c>
      <c r="F197" s="497">
        <v>1</v>
      </c>
      <c r="G197" s="579" t="s">
        <v>30</v>
      </c>
      <c r="H197" s="454">
        <v>4300</v>
      </c>
      <c r="I197" s="453">
        <f>H197*E197</f>
        <v>4300</v>
      </c>
      <c r="J197" s="454">
        <v>4300</v>
      </c>
      <c r="K197" s="454">
        <f>J197*E197</f>
        <v>4300</v>
      </c>
      <c r="L197" s="454">
        <f t="shared" ref="L197:M199" si="60">J197+H197</f>
        <v>8600</v>
      </c>
      <c r="M197" s="454">
        <f t="shared" si="60"/>
        <v>8600</v>
      </c>
      <c r="N197" s="657"/>
      <c r="O197" s="657"/>
      <c r="P197" s="464"/>
      <c r="Q197" s="447"/>
      <c r="R197" s="716"/>
    </row>
    <row r="198" spans="1:18" s="465" customFormat="1" ht="43.5" customHeight="1" x14ac:dyDescent="0.2">
      <c r="A198" s="504">
        <v>15.2</v>
      </c>
      <c r="B198" s="540" t="s">
        <v>647</v>
      </c>
      <c r="C198" s="643"/>
      <c r="D198" s="643"/>
      <c r="E198" s="456">
        <v>1</v>
      </c>
      <c r="F198" s="497">
        <v>1</v>
      </c>
      <c r="G198" s="579" t="s">
        <v>30</v>
      </c>
      <c r="H198" s="454">
        <v>8600</v>
      </c>
      <c r="I198" s="453">
        <f>H198*E198</f>
        <v>8600</v>
      </c>
      <c r="J198" s="454">
        <v>8600</v>
      </c>
      <c r="K198" s="454">
        <f>J198*E198</f>
        <v>8600</v>
      </c>
      <c r="L198" s="454">
        <f t="shared" si="60"/>
        <v>17200</v>
      </c>
      <c r="M198" s="454">
        <f t="shared" si="60"/>
        <v>17200</v>
      </c>
      <c r="N198" s="657"/>
      <c r="O198" s="657"/>
      <c r="P198" s="464"/>
      <c r="Q198" s="447"/>
      <c r="R198" s="716"/>
    </row>
    <row r="199" spans="1:18" s="465" customFormat="1" ht="64.5" customHeight="1" thickBot="1" x14ac:dyDescent="0.25">
      <c r="A199" s="504">
        <v>15.3</v>
      </c>
      <c r="B199" s="757" t="s">
        <v>496</v>
      </c>
      <c r="C199" s="758"/>
      <c r="D199" s="759"/>
      <c r="E199" s="456">
        <v>1</v>
      </c>
      <c r="F199" s="497">
        <v>1</v>
      </c>
      <c r="G199" s="579" t="s">
        <v>30</v>
      </c>
      <c r="H199" s="454">
        <v>8600</v>
      </c>
      <c r="I199" s="453">
        <f>H199*E199</f>
        <v>8600</v>
      </c>
      <c r="J199" s="454">
        <v>8600</v>
      </c>
      <c r="K199" s="454">
        <f>J199*E199</f>
        <v>8600</v>
      </c>
      <c r="L199" s="454">
        <f t="shared" si="60"/>
        <v>17200</v>
      </c>
      <c r="M199" s="454">
        <f t="shared" si="60"/>
        <v>17200</v>
      </c>
      <c r="N199" s="657"/>
      <c r="O199" s="657"/>
      <c r="P199" s="464"/>
      <c r="Q199" s="447"/>
      <c r="R199" s="716"/>
    </row>
    <row r="200" spans="1:18" s="447" customFormat="1" ht="14.25" customHeight="1" thickBot="1" x14ac:dyDescent="0.25">
      <c r="A200" s="806" t="s">
        <v>147</v>
      </c>
      <c r="B200" s="807"/>
      <c r="C200" s="807"/>
      <c r="D200" s="807"/>
      <c r="E200" s="807"/>
      <c r="F200" s="808"/>
      <c r="G200" s="809"/>
      <c r="H200" s="644"/>
      <c r="I200" s="645"/>
      <c r="J200" s="646"/>
      <c r="K200" s="645"/>
      <c r="L200" s="646"/>
      <c r="M200" s="647"/>
      <c r="N200" s="676"/>
      <c r="O200" s="676"/>
      <c r="P200" s="647"/>
      <c r="R200" s="716"/>
    </row>
    <row r="201" spans="1:18" s="447" customFormat="1" ht="39" customHeight="1" thickBot="1" x14ac:dyDescent="0.25">
      <c r="A201" s="806" t="s">
        <v>745</v>
      </c>
      <c r="B201" s="807"/>
      <c r="C201" s="807"/>
      <c r="D201" s="807"/>
      <c r="E201" s="807"/>
      <c r="F201" s="808"/>
      <c r="G201" s="809"/>
      <c r="H201" s="644"/>
      <c r="I201" s="647">
        <f>SUM(I6:I200)</f>
        <v>24893699.32</v>
      </c>
      <c r="J201" s="646"/>
      <c r="K201" s="647">
        <f>SUM(K6:K200)</f>
        <v>3808621.8000000003</v>
      </c>
      <c r="L201" s="646"/>
      <c r="M201" s="647">
        <f>SUM(M6:M200)</f>
        <v>28702321.120000001</v>
      </c>
      <c r="N201" s="676"/>
      <c r="O201" s="676"/>
      <c r="P201" s="647"/>
    </row>
  </sheetData>
  <mergeCells count="101">
    <mergeCell ref="A201:G201"/>
    <mergeCell ref="B169:D169"/>
    <mergeCell ref="B170:D170"/>
    <mergeCell ref="B172:D172"/>
    <mergeCell ref="B176:M176"/>
    <mergeCell ref="B187:D187"/>
    <mergeCell ref="B188:D188"/>
    <mergeCell ref="A189:G189"/>
    <mergeCell ref="A192:G192"/>
    <mergeCell ref="A195:G195"/>
    <mergeCell ref="B199:D199"/>
    <mergeCell ref="A200:G200"/>
    <mergeCell ref="B168:D168"/>
    <mergeCell ref="A113:G113"/>
    <mergeCell ref="A118:G118"/>
    <mergeCell ref="B121:D121"/>
    <mergeCell ref="H121:I121"/>
    <mergeCell ref="B122:D122"/>
    <mergeCell ref="B123:D123"/>
    <mergeCell ref="A129:G129"/>
    <mergeCell ref="B132:D132"/>
    <mergeCell ref="B160:D160"/>
    <mergeCell ref="A161:G161"/>
    <mergeCell ref="B167:D167"/>
    <mergeCell ref="B111:D111"/>
    <mergeCell ref="A15:G15"/>
    <mergeCell ref="B39:D39"/>
    <mergeCell ref="A40:G40"/>
    <mergeCell ref="B56:D56"/>
    <mergeCell ref="A57:G57"/>
    <mergeCell ref="A79:G79"/>
    <mergeCell ref="A96:G96"/>
    <mergeCell ref="B98:D98"/>
    <mergeCell ref="B99:D99"/>
    <mergeCell ref="A108:G108"/>
    <mergeCell ref="B110:D110"/>
    <mergeCell ref="B12:D12"/>
    <mergeCell ref="A1:P1"/>
    <mergeCell ref="A3:A5"/>
    <mergeCell ref="B3:D5"/>
    <mergeCell ref="E3:E5"/>
    <mergeCell ref="F3:F5"/>
    <mergeCell ref="G3:G5"/>
    <mergeCell ref="H3:I3"/>
    <mergeCell ref="J3:K3"/>
    <mergeCell ref="L3:M3"/>
    <mergeCell ref="N3:N5"/>
    <mergeCell ref="O3:O5"/>
    <mergeCell ref="P3:P5"/>
    <mergeCell ref="B7:D7"/>
    <mergeCell ref="B8:D8"/>
    <mergeCell ref="A10:G10"/>
    <mergeCell ref="N43:N46"/>
    <mergeCell ref="O43:O46"/>
    <mergeCell ref="N48:N51"/>
    <mergeCell ref="O48:O51"/>
    <mergeCell ref="N30:N31"/>
    <mergeCell ref="O30:O31"/>
    <mergeCell ref="N33:N35"/>
    <mergeCell ref="O33:O35"/>
    <mergeCell ref="N17:N18"/>
    <mergeCell ref="O17:O18"/>
    <mergeCell ref="N22:N24"/>
    <mergeCell ref="O22:O24"/>
    <mergeCell ref="N26:N28"/>
    <mergeCell ref="O26:O28"/>
    <mergeCell ref="O81:O82"/>
    <mergeCell ref="N84:N85"/>
    <mergeCell ref="O84:O85"/>
    <mergeCell ref="N66:N67"/>
    <mergeCell ref="O66:O67"/>
    <mergeCell ref="N70:N71"/>
    <mergeCell ref="O70:O71"/>
    <mergeCell ref="N53:N55"/>
    <mergeCell ref="O53:O55"/>
    <mergeCell ref="N61:N63"/>
    <mergeCell ref="O61:O63"/>
    <mergeCell ref="P120:P128"/>
    <mergeCell ref="P164:P175"/>
    <mergeCell ref="P43:P56"/>
    <mergeCell ref="N164:N175"/>
    <mergeCell ref="O164:O175"/>
    <mergeCell ref="N185:N186"/>
    <mergeCell ref="O185:O186"/>
    <mergeCell ref="N134:N142"/>
    <mergeCell ref="O134:O142"/>
    <mergeCell ref="N145:N148"/>
    <mergeCell ref="O145:O148"/>
    <mergeCell ref="N150:N153"/>
    <mergeCell ref="O150:O153"/>
    <mergeCell ref="N115:N117"/>
    <mergeCell ref="O115:O117"/>
    <mergeCell ref="N120:N128"/>
    <mergeCell ref="O120:O128"/>
    <mergeCell ref="N89:N90"/>
    <mergeCell ref="O89:O90"/>
    <mergeCell ref="N98:N107"/>
    <mergeCell ref="O98:O107"/>
    <mergeCell ref="N74:N77"/>
    <mergeCell ref="O74:O77"/>
    <mergeCell ref="N81:N82"/>
  </mergeCells>
  <printOptions horizontalCentered="1" gridLinesSet="0"/>
  <pageMargins left="0.51181102362204722" right="0.23622047244094491" top="0.74803149606299213" bottom="0.47244094488188981" header="0.31496062992125984" footer="0.15748031496062992"/>
  <pageSetup paperSize="9" scale="58" firstPageNumber="5" fitToHeight="0" orientation="landscape" useFirstPageNumber="1" r:id="rId1"/>
  <headerFooter alignWithMargins="0">
    <oddHeader>&amp;C250131-FND-1909-TD H-BOQ-001_BOQ HVAC Local Works_Rev00</oddHeader>
    <oddFooter xml:space="preserve">&amp;L&amp;"Arial,Bold"Fahim, Nanji &amp;&amp; deSouza (Pvt.) Ltd.
&amp;"Arial,Regular"Consulting Engineers&amp;R&amp;"Arial,Bold"Page -&amp;P
</oddFooter>
  </headerFooter>
  <rowBreaks count="7" manualBreakCount="7">
    <brk id="38" max="15" man="1"/>
    <brk id="57" max="16383" man="1"/>
    <brk id="96" max="16383" man="1"/>
    <brk id="118" max="16383" man="1"/>
    <brk id="142" max="16383" man="1"/>
    <brk id="161" max="16383" man="1"/>
    <brk id="175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201"/>
  <sheetViews>
    <sheetView showGridLines="0" topLeftCell="B88" zoomScale="130" zoomScaleNormal="130" zoomScaleSheetLayoutView="100" workbookViewId="0">
      <selection activeCell="D17" sqref="D17"/>
    </sheetView>
  </sheetViews>
  <sheetFormatPr defaultColWidth="9.140625" defaultRowHeight="12.75" x14ac:dyDescent="0.2"/>
  <cols>
    <col min="1" max="1" width="8.7109375" style="66" customWidth="1"/>
    <col min="2" max="2" width="20.7109375" style="7" customWidth="1"/>
    <col min="3" max="3" width="25.7109375" style="7" customWidth="1"/>
    <col min="4" max="4" width="47.42578125" style="7" customWidth="1"/>
    <col min="5" max="6" width="11.42578125" style="66" customWidth="1"/>
    <col min="7" max="7" width="5.7109375" style="66" customWidth="1"/>
    <col min="8" max="9" width="11.28515625" style="66" customWidth="1"/>
    <col min="10" max="13" width="11.28515625" style="20" customWidth="1"/>
    <col min="14" max="14" width="18.85546875" style="20" customWidth="1"/>
    <col min="15" max="16" width="11.28515625" style="20" customWidth="1"/>
    <col min="17" max="16384" width="9.140625" style="7"/>
  </cols>
  <sheetData>
    <row r="1" spans="1:18" s="1" customFormat="1" ht="15" x14ac:dyDescent="0.2">
      <c r="A1" s="760" t="s">
        <v>494</v>
      </c>
      <c r="B1" s="760"/>
      <c r="C1" s="760"/>
      <c r="D1" s="760"/>
      <c r="E1" s="760"/>
      <c r="F1" s="760"/>
      <c r="G1" s="760"/>
      <c r="H1" s="760"/>
      <c r="I1" s="760"/>
      <c r="J1" s="760"/>
      <c r="K1" s="760"/>
      <c r="L1" s="760"/>
      <c r="M1" s="760"/>
      <c r="N1" s="760"/>
      <c r="O1" s="760"/>
      <c r="P1" s="760"/>
    </row>
    <row r="2" spans="1:18" s="1" customFormat="1" ht="6.95" customHeight="1" thickBot="1" x14ac:dyDescent="0.25">
      <c r="E2" s="6"/>
      <c r="F2" s="6"/>
      <c r="G2" s="6"/>
      <c r="H2" s="6"/>
      <c r="I2" s="6"/>
      <c r="J2" s="6"/>
    </row>
    <row r="3" spans="1:18" s="98" customFormat="1" ht="13.7" hidden="1" customHeight="1" x14ac:dyDescent="0.2">
      <c r="A3" s="321" t="s">
        <v>104</v>
      </c>
      <c r="B3" s="833" t="s">
        <v>105</v>
      </c>
      <c r="C3" s="834"/>
      <c r="D3" s="834"/>
      <c r="E3" s="322" t="s">
        <v>106</v>
      </c>
      <c r="F3" s="329"/>
      <c r="G3" s="323" t="s">
        <v>107</v>
      </c>
      <c r="H3" s="324" t="s">
        <v>108</v>
      </c>
      <c r="I3" s="325" t="s">
        <v>109</v>
      </c>
      <c r="J3" s="326" t="s">
        <v>110</v>
      </c>
      <c r="K3" s="327" t="s">
        <v>135</v>
      </c>
      <c r="L3" s="328" t="s">
        <v>136</v>
      </c>
      <c r="M3" s="327" t="s">
        <v>137</v>
      </c>
      <c r="N3" s="327"/>
      <c r="O3" s="327"/>
      <c r="P3" s="327"/>
    </row>
    <row r="4" spans="1:18" s="98" customFormat="1" ht="13.7" customHeight="1" x14ac:dyDescent="0.2">
      <c r="A4" s="835" t="s">
        <v>27</v>
      </c>
      <c r="B4" s="844" t="s">
        <v>28</v>
      </c>
      <c r="C4" s="845"/>
      <c r="D4" s="846"/>
      <c r="E4" s="776" t="s">
        <v>695</v>
      </c>
      <c r="F4" s="776" t="s">
        <v>808</v>
      </c>
      <c r="G4" s="835" t="s">
        <v>26</v>
      </c>
      <c r="H4" s="840" t="s">
        <v>139</v>
      </c>
      <c r="I4" s="841"/>
      <c r="J4" s="840" t="s">
        <v>512</v>
      </c>
      <c r="K4" s="841"/>
      <c r="L4" s="840" t="s">
        <v>141</v>
      </c>
      <c r="M4" s="841"/>
      <c r="N4" s="835" t="s">
        <v>651</v>
      </c>
      <c r="O4" s="835" t="s">
        <v>652</v>
      </c>
      <c r="P4" s="835" t="s">
        <v>653</v>
      </c>
    </row>
    <row r="5" spans="1:18" s="98" customFormat="1" ht="13.7" customHeight="1" x14ac:dyDescent="0.2">
      <c r="A5" s="836"/>
      <c r="B5" s="847"/>
      <c r="C5" s="848"/>
      <c r="D5" s="849"/>
      <c r="E5" s="777"/>
      <c r="F5" s="777"/>
      <c r="G5" s="836"/>
      <c r="H5" s="330" t="s">
        <v>24</v>
      </c>
      <c r="I5" s="330" t="s">
        <v>25</v>
      </c>
      <c r="J5" s="330" t="s">
        <v>24</v>
      </c>
      <c r="K5" s="330" t="s">
        <v>25</v>
      </c>
      <c r="L5" s="330" t="s">
        <v>24</v>
      </c>
      <c r="M5" s="330" t="s">
        <v>25</v>
      </c>
      <c r="N5" s="836"/>
      <c r="O5" s="836"/>
      <c r="P5" s="836"/>
    </row>
    <row r="6" spans="1:18" s="98" customFormat="1" ht="13.7" customHeight="1" thickBot="1" x14ac:dyDescent="0.25">
      <c r="A6" s="837"/>
      <c r="B6" s="850"/>
      <c r="C6" s="851"/>
      <c r="D6" s="852"/>
      <c r="E6" s="778"/>
      <c r="F6" s="778"/>
      <c r="G6" s="837"/>
      <c r="H6" s="331" t="s">
        <v>23</v>
      </c>
      <c r="I6" s="331" t="s">
        <v>23</v>
      </c>
      <c r="J6" s="331" t="s">
        <v>23</v>
      </c>
      <c r="K6" s="331" t="s">
        <v>23</v>
      </c>
      <c r="L6" s="331" t="s">
        <v>23</v>
      </c>
      <c r="M6" s="331" t="s">
        <v>23</v>
      </c>
      <c r="N6" s="837"/>
      <c r="O6" s="837"/>
      <c r="P6" s="837"/>
    </row>
    <row r="7" spans="1:18" s="98" customFormat="1" ht="15" customHeight="1" x14ac:dyDescent="0.2">
      <c r="A7" s="275">
        <v>1</v>
      </c>
      <c r="B7" s="276" t="s">
        <v>637</v>
      </c>
      <c r="C7" s="277"/>
      <c r="D7" s="277"/>
      <c r="E7" s="277"/>
      <c r="F7" s="277"/>
      <c r="G7" s="277"/>
      <c r="H7" s="277"/>
      <c r="I7" s="278"/>
      <c r="J7" s="277"/>
      <c r="K7" s="277"/>
      <c r="L7" s="277"/>
      <c r="M7" s="279"/>
      <c r="N7" s="279"/>
      <c r="O7" s="279"/>
      <c r="P7" s="279"/>
    </row>
    <row r="8" spans="1:18" s="98" customFormat="1" ht="60.75" customHeight="1" x14ac:dyDescent="0.2">
      <c r="A8" s="280">
        <v>1.1000000000000001</v>
      </c>
      <c r="B8" s="838" t="s">
        <v>632</v>
      </c>
      <c r="C8" s="823"/>
      <c r="D8" s="839"/>
      <c r="E8" s="282">
        <v>2</v>
      </c>
      <c r="F8" s="282">
        <v>2</v>
      </c>
      <c r="G8" s="283" t="s">
        <v>29</v>
      </c>
      <c r="H8" s="408">
        <v>731000</v>
      </c>
      <c r="I8" s="409">
        <f>H8*E8</f>
        <v>1462000</v>
      </c>
      <c r="J8" s="408">
        <v>17200</v>
      </c>
      <c r="K8" s="408">
        <f>J8*E8</f>
        <v>34400</v>
      </c>
      <c r="L8" s="408">
        <f t="shared" ref="L8:M10" si="0">J8+H8</f>
        <v>748200</v>
      </c>
      <c r="M8" s="408">
        <f t="shared" si="0"/>
        <v>1496400</v>
      </c>
      <c r="N8" s="656" t="s">
        <v>793</v>
      </c>
      <c r="O8" s="656" t="s">
        <v>772</v>
      </c>
      <c r="P8" s="455" t="s">
        <v>795</v>
      </c>
      <c r="R8" s="717"/>
    </row>
    <row r="9" spans="1:18" s="67" customFormat="1" ht="25.5" customHeight="1" x14ac:dyDescent="0.2">
      <c r="A9" s="280">
        <v>1.2</v>
      </c>
      <c r="B9" s="822" t="s">
        <v>654</v>
      </c>
      <c r="C9" s="823"/>
      <c r="D9" s="824"/>
      <c r="E9" s="203">
        <v>1</v>
      </c>
      <c r="F9" s="332">
        <v>1</v>
      </c>
      <c r="G9" s="21" t="s">
        <v>30</v>
      </c>
      <c r="H9" s="408">
        <v>8600</v>
      </c>
      <c r="I9" s="409">
        <f>H9*E9</f>
        <v>8600</v>
      </c>
      <c r="J9" s="408">
        <v>4300</v>
      </c>
      <c r="K9" s="408">
        <f>J9*E9</f>
        <v>4300</v>
      </c>
      <c r="L9" s="408">
        <f t="shared" si="0"/>
        <v>12900</v>
      </c>
      <c r="M9" s="408">
        <f t="shared" si="0"/>
        <v>12900</v>
      </c>
      <c r="N9" s="656" t="s">
        <v>792</v>
      </c>
      <c r="O9" s="656" t="s">
        <v>788</v>
      </c>
      <c r="P9" s="51"/>
      <c r="Q9" s="98"/>
      <c r="R9" s="717"/>
    </row>
    <row r="10" spans="1:18" s="98" customFormat="1" ht="15" customHeight="1" thickBot="1" x14ac:dyDescent="0.25">
      <c r="A10" s="280">
        <v>1.3</v>
      </c>
      <c r="B10" s="285" t="s">
        <v>4</v>
      </c>
      <c r="C10" s="257"/>
      <c r="D10" s="286"/>
      <c r="E10" s="282">
        <v>2</v>
      </c>
      <c r="F10" s="255">
        <v>2</v>
      </c>
      <c r="G10" s="283" t="s">
        <v>29</v>
      </c>
      <c r="H10" s="408">
        <v>0</v>
      </c>
      <c r="I10" s="409">
        <f>H10*E10</f>
        <v>0</v>
      </c>
      <c r="J10" s="408">
        <v>8600</v>
      </c>
      <c r="K10" s="408">
        <f>J10*E10</f>
        <v>17200</v>
      </c>
      <c r="L10" s="408">
        <f t="shared" si="0"/>
        <v>8600</v>
      </c>
      <c r="M10" s="408">
        <f t="shared" si="0"/>
        <v>17200</v>
      </c>
      <c r="N10" s="657"/>
      <c r="O10" s="657"/>
      <c r="P10" s="287"/>
      <c r="R10" s="717"/>
    </row>
    <row r="11" spans="1:18" s="98" customFormat="1" ht="15" customHeight="1" thickBot="1" x14ac:dyDescent="0.25">
      <c r="A11" s="818" t="s">
        <v>147</v>
      </c>
      <c r="B11" s="819"/>
      <c r="C11" s="819"/>
      <c r="D11" s="819"/>
      <c r="E11" s="819"/>
      <c r="F11" s="820"/>
      <c r="G11" s="821"/>
      <c r="H11" s="288">
        <v>0</v>
      </c>
      <c r="I11" s="289"/>
      <c r="J11" s="290">
        <v>0</v>
      </c>
      <c r="K11" s="289"/>
      <c r="L11" s="290"/>
      <c r="M11" s="291"/>
      <c r="N11" s="658"/>
      <c r="O11" s="658"/>
      <c r="P11" s="291"/>
      <c r="R11" s="717"/>
    </row>
    <row r="12" spans="1:18" s="4" customFormat="1" ht="15" customHeight="1" x14ac:dyDescent="0.2">
      <c r="A12" s="61">
        <v>2</v>
      </c>
      <c r="B12" s="222" t="s">
        <v>635</v>
      </c>
      <c r="C12" s="214"/>
      <c r="D12" s="215"/>
      <c r="E12" s="216"/>
      <c r="F12" s="216"/>
      <c r="G12" s="216"/>
      <c r="H12" s="245">
        <v>0</v>
      </c>
      <c r="I12" s="216"/>
      <c r="J12" s="246">
        <v>0</v>
      </c>
      <c r="K12" s="217"/>
      <c r="L12" s="217"/>
      <c r="M12" s="242"/>
      <c r="N12" s="659"/>
      <c r="O12" s="659"/>
      <c r="P12" s="242"/>
      <c r="Q12" s="98"/>
      <c r="R12" s="717"/>
    </row>
    <row r="13" spans="1:18" s="67" customFormat="1" ht="36" customHeight="1" x14ac:dyDescent="0.2">
      <c r="A13" s="164">
        <v>2.1</v>
      </c>
      <c r="B13" s="822" t="s">
        <v>655</v>
      </c>
      <c r="C13" s="823"/>
      <c r="D13" s="824"/>
      <c r="E13" s="203">
        <v>12</v>
      </c>
      <c r="F13" s="332">
        <v>12</v>
      </c>
      <c r="G13" s="21" t="s">
        <v>29</v>
      </c>
      <c r="H13" s="408">
        <v>193500</v>
      </c>
      <c r="I13" s="409">
        <f t="shared" ref="I13:I15" si="1">H13*E13</f>
        <v>2322000</v>
      </c>
      <c r="J13" s="408">
        <v>4128</v>
      </c>
      <c r="K13" s="408">
        <f t="shared" ref="K13:K15" si="2">J13*E13</f>
        <v>49536</v>
      </c>
      <c r="L13" s="408">
        <f t="shared" ref="L13:L15" si="3">J13+H13</f>
        <v>197628</v>
      </c>
      <c r="M13" s="408">
        <f t="shared" ref="M13:M15" si="4">K13+I13</f>
        <v>2371536</v>
      </c>
      <c r="N13" s="656" t="s">
        <v>794</v>
      </c>
      <c r="O13" s="656" t="s">
        <v>773</v>
      </c>
      <c r="P13" s="455" t="s">
        <v>795</v>
      </c>
      <c r="Q13" s="98"/>
      <c r="R13" s="717"/>
    </row>
    <row r="14" spans="1:18" s="67" customFormat="1" ht="15" customHeight="1" x14ac:dyDescent="0.2">
      <c r="A14" s="164">
        <v>2.2000000000000002</v>
      </c>
      <c r="B14" s="3" t="s">
        <v>644</v>
      </c>
      <c r="C14" s="251"/>
      <c r="D14" s="251"/>
      <c r="E14" s="203">
        <v>1</v>
      </c>
      <c r="F14" s="332">
        <v>1</v>
      </c>
      <c r="G14" s="21" t="s">
        <v>30</v>
      </c>
      <c r="H14" s="408">
        <v>21500</v>
      </c>
      <c r="I14" s="409">
        <f t="shared" si="1"/>
        <v>21500</v>
      </c>
      <c r="J14" s="408">
        <v>4300</v>
      </c>
      <c r="K14" s="408">
        <f t="shared" si="2"/>
        <v>4300</v>
      </c>
      <c r="L14" s="408">
        <f t="shared" si="3"/>
        <v>25800</v>
      </c>
      <c r="M14" s="408">
        <f t="shared" si="4"/>
        <v>25800</v>
      </c>
      <c r="N14" s="660"/>
      <c r="O14" s="660"/>
      <c r="P14" s="51"/>
      <c r="Q14" s="98"/>
      <c r="R14" s="717"/>
    </row>
    <row r="15" spans="1:18" s="67" customFormat="1" ht="15" customHeight="1" thickBot="1" x14ac:dyDescent="0.25">
      <c r="A15" s="164">
        <v>2.2999999999999998</v>
      </c>
      <c r="B15" s="3" t="s">
        <v>573</v>
      </c>
      <c r="C15" s="251"/>
      <c r="D15" s="251"/>
      <c r="E15" s="203">
        <v>1</v>
      </c>
      <c r="F15" s="332">
        <v>1</v>
      </c>
      <c r="G15" s="21" t="s">
        <v>30</v>
      </c>
      <c r="H15" s="408">
        <v>0</v>
      </c>
      <c r="I15" s="409">
        <f t="shared" si="1"/>
        <v>0</v>
      </c>
      <c r="J15" s="408">
        <v>43000</v>
      </c>
      <c r="K15" s="408">
        <f t="shared" si="2"/>
        <v>43000</v>
      </c>
      <c r="L15" s="408">
        <f t="shared" si="3"/>
        <v>43000</v>
      </c>
      <c r="M15" s="408">
        <f t="shared" si="4"/>
        <v>43000</v>
      </c>
      <c r="N15" s="660"/>
      <c r="O15" s="660"/>
      <c r="P15" s="51"/>
      <c r="Q15" s="98"/>
      <c r="R15" s="717"/>
    </row>
    <row r="16" spans="1:18" s="98" customFormat="1" ht="15" customHeight="1" thickBot="1" x14ac:dyDescent="0.25">
      <c r="A16" s="818" t="s">
        <v>147</v>
      </c>
      <c r="B16" s="819"/>
      <c r="C16" s="819"/>
      <c r="D16" s="819"/>
      <c r="E16" s="819"/>
      <c r="F16" s="820"/>
      <c r="G16" s="821"/>
      <c r="H16" s="288">
        <v>0</v>
      </c>
      <c r="I16" s="289"/>
      <c r="J16" s="290">
        <v>0</v>
      </c>
      <c r="K16" s="289"/>
      <c r="L16" s="290"/>
      <c r="M16" s="291"/>
      <c r="N16" s="658"/>
      <c r="O16" s="658"/>
      <c r="P16" s="291"/>
      <c r="R16" s="717"/>
    </row>
    <row r="17" spans="1:18" s="23" customFormat="1" ht="15" customHeight="1" x14ac:dyDescent="0.2">
      <c r="A17" s="221">
        <v>3</v>
      </c>
      <c r="B17" s="41" t="s">
        <v>50</v>
      </c>
      <c r="C17" s="15"/>
      <c r="D17" s="11"/>
      <c r="E17" s="14"/>
      <c r="F17" s="14"/>
      <c r="G17" s="14"/>
      <c r="H17" s="245">
        <v>0</v>
      </c>
      <c r="I17" s="70"/>
      <c r="J17" s="246">
        <v>0</v>
      </c>
      <c r="K17" s="70"/>
      <c r="L17" s="70"/>
      <c r="M17" s="80"/>
      <c r="N17" s="463"/>
      <c r="O17" s="463"/>
      <c r="P17" s="80"/>
      <c r="Q17" s="98"/>
      <c r="R17" s="717"/>
    </row>
    <row r="18" spans="1:18" s="67" customFormat="1" ht="15" customHeight="1" x14ac:dyDescent="0.2">
      <c r="A18" s="164">
        <v>3.1</v>
      </c>
      <c r="B18" s="3" t="s">
        <v>514</v>
      </c>
      <c r="C18" s="251"/>
      <c r="D18" s="251"/>
      <c r="E18" s="711">
        <v>11360</v>
      </c>
      <c r="F18" s="332">
        <v>10900</v>
      </c>
      <c r="G18" s="21" t="s">
        <v>606</v>
      </c>
      <c r="H18" s="408">
        <v>425.7</v>
      </c>
      <c r="I18" s="409">
        <f t="shared" ref="I18:I21" si="5">H18*E18</f>
        <v>4835952</v>
      </c>
      <c r="J18" s="408">
        <v>86</v>
      </c>
      <c r="K18" s="408">
        <f t="shared" ref="K18:K21" si="6">J18*E18</f>
        <v>976960</v>
      </c>
      <c r="L18" s="408">
        <f t="shared" ref="L18:L21" si="7">J18+H18</f>
        <v>511.7</v>
      </c>
      <c r="M18" s="408">
        <f t="shared" ref="M18:M21" si="8">K18+I18</f>
        <v>5812912</v>
      </c>
      <c r="N18" s="753" t="s">
        <v>775</v>
      </c>
      <c r="O18" s="746" t="s">
        <v>774</v>
      </c>
      <c r="P18" s="51"/>
      <c r="Q18" s="98"/>
      <c r="R18" s="717"/>
    </row>
    <row r="19" spans="1:18" s="67" customFormat="1" ht="15" customHeight="1" x14ac:dyDescent="0.2">
      <c r="A19" s="164">
        <v>3.2</v>
      </c>
      <c r="B19" s="3" t="s">
        <v>515</v>
      </c>
      <c r="C19" s="251"/>
      <c r="D19" s="251"/>
      <c r="E19" s="711">
        <v>220</v>
      </c>
      <c r="F19" s="332">
        <v>200</v>
      </c>
      <c r="G19" s="21" t="s">
        <v>606</v>
      </c>
      <c r="H19" s="408">
        <v>425.7</v>
      </c>
      <c r="I19" s="409">
        <f t="shared" si="5"/>
        <v>93654</v>
      </c>
      <c r="J19" s="408">
        <v>86</v>
      </c>
      <c r="K19" s="408">
        <f t="shared" si="6"/>
        <v>18920</v>
      </c>
      <c r="L19" s="408">
        <f t="shared" si="7"/>
        <v>511.7</v>
      </c>
      <c r="M19" s="408">
        <f t="shared" si="8"/>
        <v>112574</v>
      </c>
      <c r="N19" s="756"/>
      <c r="O19" s="748"/>
      <c r="P19" s="51"/>
      <c r="Q19" s="98"/>
      <c r="R19" s="717"/>
    </row>
    <row r="20" spans="1:18" s="67" customFormat="1" ht="15" customHeight="1" x14ac:dyDescent="0.2">
      <c r="A20" s="164">
        <v>3.3</v>
      </c>
      <c r="B20" s="3" t="s">
        <v>516</v>
      </c>
      <c r="C20" s="251"/>
      <c r="D20" s="251"/>
      <c r="E20" s="711">
        <v>640</v>
      </c>
      <c r="F20" s="332">
        <v>600</v>
      </c>
      <c r="G20" s="21" t="s">
        <v>606</v>
      </c>
      <c r="H20" s="408">
        <v>425.7</v>
      </c>
      <c r="I20" s="409">
        <f t="shared" si="5"/>
        <v>272448</v>
      </c>
      <c r="J20" s="408">
        <v>86</v>
      </c>
      <c r="K20" s="408">
        <f t="shared" si="6"/>
        <v>55040</v>
      </c>
      <c r="L20" s="408">
        <f t="shared" si="7"/>
        <v>511.7</v>
      </c>
      <c r="M20" s="408">
        <f t="shared" si="8"/>
        <v>327488</v>
      </c>
      <c r="N20" s="660"/>
      <c r="O20" s="660"/>
      <c r="P20" s="51"/>
      <c r="Q20" s="98"/>
      <c r="R20" s="717"/>
    </row>
    <row r="21" spans="1:18" s="67" customFormat="1" ht="15" customHeight="1" x14ac:dyDescent="0.2">
      <c r="A21" s="164">
        <v>3.4</v>
      </c>
      <c r="B21" s="3" t="s">
        <v>521</v>
      </c>
      <c r="C21" s="251"/>
      <c r="D21" s="251"/>
      <c r="E21" s="204">
        <v>160</v>
      </c>
      <c r="F21" s="333">
        <v>160</v>
      </c>
      <c r="G21" s="21" t="s">
        <v>606</v>
      </c>
      <c r="H21" s="408">
        <v>387</v>
      </c>
      <c r="I21" s="409">
        <f t="shared" si="5"/>
        <v>61920</v>
      </c>
      <c r="J21" s="408">
        <v>172</v>
      </c>
      <c r="K21" s="408">
        <f t="shared" si="6"/>
        <v>27520</v>
      </c>
      <c r="L21" s="408">
        <f t="shared" si="7"/>
        <v>559</v>
      </c>
      <c r="M21" s="408">
        <f t="shared" si="8"/>
        <v>89440</v>
      </c>
      <c r="N21" s="661"/>
      <c r="O21" s="661"/>
      <c r="P21" s="150"/>
      <c r="Q21" s="98"/>
      <c r="R21" s="717"/>
    </row>
    <row r="22" spans="1:18" s="23" customFormat="1" ht="15" customHeight="1" x14ac:dyDescent="0.2">
      <c r="A22" s="62">
        <v>3.5</v>
      </c>
      <c r="B22" s="169" t="s">
        <v>513</v>
      </c>
      <c r="C22" s="115"/>
      <c r="D22" s="115"/>
      <c r="E22" s="27"/>
      <c r="F22" s="27"/>
      <c r="G22" s="27"/>
      <c r="H22" s="245">
        <v>0</v>
      </c>
      <c r="I22" s="74"/>
      <c r="J22" s="246">
        <v>0</v>
      </c>
      <c r="K22" s="48"/>
      <c r="L22" s="185"/>
      <c r="M22" s="150"/>
      <c r="N22" s="661"/>
      <c r="O22" s="661"/>
      <c r="P22" s="150"/>
      <c r="Q22" s="98"/>
      <c r="R22" s="717"/>
    </row>
    <row r="23" spans="1:18" s="23" customFormat="1" ht="15" customHeight="1" x14ac:dyDescent="0.2">
      <c r="A23" s="55" t="s">
        <v>529</v>
      </c>
      <c r="B23" s="17" t="s">
        <v>504</v>
      </c>
      <c r="C23" s="16"/>
      <c r="D23" s="16"/>
      <c r="E23" s="206" t="s">
        <v>198</v>
      </c>
      <c r="F23" s="334" t="s">
        <v>198</v>
      </c>
      <c r="G23" s="84" t="s">
        <v>22</v>
      </c>
      <c r="H23" s="245">
        <v>0</v>
      </c>
      <c r="I23" s="236" t="s">
        <v>228</v>
      </c>
      <c r="J23" s="246">
        <v>0</v>
      </c>
      <c r="K23" s="235" t="s">
        <v>228</v>
      </c>
      <c r="L23" s="247"/>
      <c r="M23" s="235" t="s">
        <v>228</v>
      </c>
      <c r="N23" s="743" t="s">
        <v>801</v>
      </c>
      <c r="O23" s="746" t="s">
        <v>776</v>
      </c>
      <c r="P23" s="235"/>
      <c r="Q23" s="98"/>
      <c r="R23" s="717"/>
    </row>
    <row r="24" spans="1:18" s="23" customFormat="1" ht="15" customHeight="1" x14ac:dyDescent="0.2">
      <c r="A24" s="55" t="s">
        <v>530</v>
      </c>
      <c r="B24" s="17" t="s">
        <v>12</v>
      </c>
      <c r="C24" s="16"/>
      <c r="D24" s="109"/>
      <c r="E24" s="206" t="s">
        <v>198</v>
      </c>
      <c r="F24" s="334" t="s">
        <v>198</v>
      </c>
      <c r="G24" s="84" t="s">
        <v>22</v>
      </c>
      <c r="H24" s="245">
        <v>0</v>
      </c>
      <c r="I24" s="236" t="s">
        <v>228</v>
      </c>
      <c r="J24" s="246">
        <v>0</v>
      </c>
      <c r="K24" s="235" t="s">
        <v>228</v>
      </c>
      <c r="L24" s="247"/>
      <c r="M24" s="235" t="s">
        <v>228</v>
      </c>
      <c r="N24" s="744"/>
      <c r="O24" s="747"/>
      <c r="P24" s="235"/>
      <c r="Q24" s="98"/>
      <c r="R24" s="717"/>
    </row>
    <row r="25" spans="1:18" s="23" customFormat="1" ht="15" customHeight="1" x14ac:dyDescent="0.2">
      <c r="A25" s="55" t="s">
        <v>531</v>
      </c>
      <c r="B25" s="17" t="s">
        <v>13</v>
      </c>
      <c r="C25" s="16"/>
      <c r="D25" s="109"/>
      <c r="E25" s="714">
        <v>96</v>
      </c>
      <c r="F25" s="333">
        <v>96</v>
      </c>
      <c r="G25" s="84" t="s">
        <v>22</v>
      </c>
      <c r="H25" s="408">
        <v>421.4</v>
      </c>
      <c r="I25" s="409">
        <f>H25*E25</f>
        <v>40454.399999999994</v>
      </c>
      <c r="J25" s="408">
        <v>86</v>
      </c>
      <c r="K25" s="408">
        <f>J25*E25</f>
        <v>8256</v>
      </c>
      <c r="L25" s="408">
        <f>J25+H25</f>
        <v>507.4</v>
      </c>
      <c r="M25" s="408">
        <f>K25+I25</f>
        <v>48710.399999999994</v>
      </c>
      <c r="N25" s="745"/>
      <c r="O25" s="748"/>
      <c r="P25" s="235"/>
      <c r="Q25" s="98"/>
      <c r="R25" s="717"/>
    </row>
    <row r="26" spans="1:18" s="23" customFormat="1" ht="15" customHeight="1" x14ac:dyDescent="0.2">
      <c r="A26" s="211">
        <v>3.6</v>
      </c>
      <c r="B26" s="169" t="s">
        <v>42</v>
      </c>
      <c r="C26" s="115"/>
      <c r="D26" s="115"/>
      <c r="E26" s="27"/>
      <c r="F26" s="27"/>
      <c r="G26" s="27"/>
      <c r="H26" s="245">
        <v>0</v>
      </c>
      <c r="I26" s="74"/>
      <c r="J26" s="246">
        <v>0</v>
      </c>
      <c r="K26" s="48"/>
      <c r="L26" s="185"/>
      <c r="M26" s="150"/>
      <c r="N26" s="661"/>
      <c r="O26" s="661"/>
      <c r="P26" s="150"/>
      <c r="Q26" s="98"/>
      <c r="R26" s="717"/>
    </row>
    <row r="27" spans="1:18" s="23" customFormat="1" ht="15" customHeight="1" x14ac:dyDescent="0.2">
      <c r="A27" s="55" t="s">
        <v>532</v>
      </c>
      <c r="B27" s="18" t="s">
        <v>39</v>
      </c>
      <c r="C27" s="8"/>
      <c r="D27" s="16"/>
      <c r="E27" s="206" t="s">
        <v>198</v>
      </c>
      <c r="F27" s="334" t="s">
        <v>198</v>
      </c>
      <c r="G27" s="84" t="s">
        <v>83</v>
      </c>
      <c r="H27" s="245">
        <v>6450</v>
      </c>
      <c r="I27" s="236" t="s">
        <v>228</v>
      </c>
      <c r="J27" s="246">
        <v>860</v>
      </c>
      <c r="K27" s="235" t="s">
        <v>228</v>
      </c>
      <c r="L27" s="247"/>
      <c r="M27" s="235" t="s">
        <v>228</v>
      </c>
      <c r="N27" s="743" t="s">
        <v>805</v>
      </c>
      <c r="O27" s="746" t="s">
        <v>776</v>
      </c>
      <c r="P27" s="235"/>
      <c r="Q27" s="98"/>
      <c r="R27" s="717"/>
    </row>
    <row r="28" spans="1:18" s="23" customFormat="1" ht="15" customHeight="1" x14ac:dyDescent="0.2">
      <c r="A28" s="55" t="s">
        <v>533</v>
      </c>
      <c r="B28" s="18" t="s">
        <v>12</v>
      </c>
      <c r="C28" s="8"/>
      <c r="D28" s="16"/>
      <c r="E28" s="206" t="s">
        <v>198</v>
      </c>
      <c r="F28" s="334" t="s">
        <v>198</v>
      </c>
      <c r="G28" s="84" t="s">
        <v>83</v>
      </c>
      <c r="H28" s="245">
        <v>4730</v>
      </c>
      <c r="I28" s="236" t="s">
        <v>228</v>
      </c>
      <c r="J28" s="246">
        <v>860</v>
      </c>
      <c r="K28" s="235" t="s">
        <v>228</v>
      </c>
      <c r="L28" s="247"/>
      <c r="M28" s="235" t="s">
        <v>228</v>
      </c>
      <c r="N28" s="744"/>
      <c r="O28" s="747"/>
      <c r="P28" s="235"/>
      <c r="Q28" s="98"/>
      <c r="R28" s="717"/>
    </row>
    <row r="29" spans="1:18" s="23" customFormat="1" ht="15" customHeight="1" x14ac:dyDescent="0.2">
      <c r="A29" s="55" t="s">
        <v>534</v>
      </c>
      <c r="B29" s="156" t="s">
        <v>13</v>
      </c>
      <c r="C29" s="157"/>
      <c r="D29" s="16"/>
      <c r="E29" s="714">
        <v>48</v>
      </c>
      <c r="F29" s="333">
        <v>48</v>
      </c>
      <c r="G29" s="84" t="s">
        <v>29</v>
      </c>
      <c r="H29" s="408">
        <v>4472</v>
      </c>
      <c r="I29" s="409">
        <f>H29*E29</f>
        <v>214656</v>
      </c>
      <c r="J29" s="408">
        <v>860</v>
      </c>
      <c r="K29" s="408">
        <f>J29*E29</f>
        <v>41280</v>
      </c>
      <c r="L29" s="408">
        <f>J29+H29</f>
        <v>5332</v>
      </c>
      <c r="M29" s="408">
        <f>K29+I29</f>
        <v>255936</v>
      </c>
      <c r="N29" s="745"/>
      <c r="O29" s="748"/>
      <c r="P29" s="235"/>
      <c r="Q29" s="98"/>
      <c r="R29" s="717"/>
    </row>
    <row r="30" spans="1:18" s="23" customFormat="1" ht="15" customHeight="1" x14ac:dyDescent="0.2">
      <c r="A30" s="62">
        <v>3.7</v>
      </c>
      <c r="B30" s="301" t="s">
        <v>608</v>
      </c>
      <c r="C30" s="218"/>
      <c r="D30" s="218"/>
      <c r="E30" s="27"/>
      <c r="F30" s="27"/>
      <c r="G30" s="27"/>
      <c r="H30" s="302">
        <v>0</v>
      </c>
      <c r="I30" s="74"/>
      <c r="J30" s="240">
        <v>0</v>
      </c>
      <c r="K30" s="48"/>
      <c r="L30" s="185"/>
      <c r="M30" s="150"/>
      <c r="N30" s="661"/>
      <c r="O30" s="661"/>
      <c r="P30" s="150"/>
      <c r="Q30" s="98"/>
      <c r="R30" s="717"/>
    </row>
    <row r="31" spans="1:18" s="23" customFormat="1" ht="15" customHeight="1" x14ac:dyDescent="0.2">
      <c r="A31" s="55" t="s">
        <v>535</v>
      </c>
      <c r="B31" s="38" t="s">
        <v>623</v>
      </c>
      <c r="C31" s="85"/>
      <c r="D31" s="123"/>
      <c r="E31" s="206">
        <v>2</v>
      </c>
      <c r="F31" s="334">
        <v>2</v>
      </c>
      <c r="G31" s="84" t="s">
        <v>29</v>
      </c>
      <c r="H31" s="408">
        <v>30100</v>
      </c>
      <c r="I31" s="409">
        <f t="shared" ref="I31:I32" si="9">H31*E31</f>
        <v>60200</v>
      </c>
      <c r="J31" s="408">
        <v>2580</v>
      </c>
      <c r="K31" s="408">
        <f t="shared" ref="K31:K32" si="10">J31*E31</f>
        <v>5160</v>
      </c>
      <c r="L31" s="408">
        <f t="shared" ref="L31:L32" si="11">J31+H31</f>
        <v>32680</v>
      </c>
      <c r="M31" s="408">
        <f t="shared" ref="M31:M32" si="12">K31+I31</f>
        <v>65360</v>
      </c>
      <c r="N31" s="743" t="s">
        <v>805</v>
      </c>
      <c r="O31" s="746" t="s">
        <v>773</v>
      </c>
      <c r="P31" s="235"/>
      <c r="Q31" s="98"/>
      <c r="R31" s="717"/>
    </row>
    <row r="32" spans="1:18" s="23" customFormat="1" ht="15" customHeight="1" x14ac:dyDescent="0.2">
      <c r="A32" s="55" t="s">
        <v>536</v>
      </c>
      <c r="B32" s="38" t="s">
        <v>624</v>
      </c>
      <c r="C32" s="85"/>
      <c r="D32" s="123"/>
      <c r="E32" s="206">
        <v>2</v>
      </c>
      <c r="F32" s="334">
        <v>2</v>
      </c>
      <c r="G32" s="84" t="s">
        <v>29</v>
      </c>
      <c r="H32" s="408">
        <v>27520</v>
      </c>
      <c r="I32" s="409">
        <f t="shared" si="9"/>
        <v>55040</v>
      </c>
      <c r="J32" s="408">
        <v>2580</v>
      </c>
      <c r="K32" s="408">
        <f t="shared" si="10"/>
        <v>5160</v>
      </c>
      <c r="L32" s="408">
        <f t="shared" si="11"/>
        <v>30100</v>
      </c>
      <c r="M32" s="408">
        <f t="shared" si="12"/>
        <v>60200</v>
      </c>
      <c r="N32" s="744"/>
      <c r="O32" s="747"/>
      <c r="P32" s="235"/>
      <c r="Q32" s="98"/>
      <c r="R32" s="717"/>
    </row>
    <row r="33" spans="1:18" s="23" customFormat="1" ht="15" customHeight="1" x14ac:dyDescent="0.2">
      <c r="A33" s="62">
        <v>3.8</v>
      </c>
      <c r="B33" s="301" t="s">
        <v>607</v>
      </c>
      <c r="C33" s="218"/>
      <c r="D33" s="218"/>
      <c r="E33" s="27"/>
      <c r="F33" s="27"/>
      <c r="G33" s="27"/>
      <c r="H33" s="302">
        <v>0</v>
      </c>
      <c r="I33" s="74"/>
      <c r="J33" s="240">
        <v>0</v>
      </c>
      <c r="K33" s="48"/>
      <c r="L33" s="185"/>
      <c r="M33" s="150"/>
      <c r="N33" s="745"/>
      <c r="O33" s="680"/>
      <c r="P33" s="150"/>
      <c r="Q33" s="98"/>
      <c r="R33" s="717"/>
    </row>
    <row r="34" spans="1:18" s="23" customFormat="1" ht="15" customHeight="1" x14ac:dyDescent="0.2">
      <c r="A34" s="55" t="s">
        <v>581</v>
      </c>
      <c r="B34" s="38" t="s">
        <v>626</v>
      </c>
      <c r="C34" s="85"/>
      <c r="D34" s="123"/>
      <c r="E34" s="206">
        <v>2</v>
      </c>
      <c r="F34" s="334">
        <v>2</v>
      </c>
      <c r="G34" s="84" t="s">
        <v>29</v>
      </c>
      <c r="H34" s="408">
        <v>16340</v>
      </c>
      <c r="I34" s="409">
        <f t="shared" ref="I34:I40" si="13">H34*E34</f>
        <v>32680</v>
      </c>
      <c r="J34" s="408">
        <v>1720</v>
      </c>
      <c r="K34" s="408">
        <f t="shared" ref="K34:K40" si="14">J34*E34</f>
        <v>3440</v>
      </c>
      <c r="L34" s="408">
        <f t="shared" ref="L34:L40" si="15">J34+H34</f>
        <v>18060</v>
      </c>
      <c r="M34" s="408">
        <f t="shared" ref="M34:M40" si="16">K34+I34</f>
        <v>36120</v>
      </c>
      <c r="N34" s="743" t="s">
        <v>805</v>
      </c>
      <c r="O34" s="746" t="s">
        <v>776</v>
      </c>
      <c r="P34" s="235"/>
      <c r="Q34" s="98"/>
      <c r="R34" s="717"/>
    </row>
    <row r="35" spans="1:18" s="23" customFormat="1" ht="15" customHeight="1" x14ac:dyDescent="0.2">
      <c r="A35" s="55" t="s">
        <v>609</v>
      </c>
      <c r="B35" s="38" t="s">
        <v>625</v>
      </c>
      <c r="C35" s="85"/>
      <c r="D35" s="123"/>
      <c r="E35" s="206">
        <v>2</v>
      </c>
      <c r="F35" s="334">
        <v>2</v>
      </c>
      <c r="G35" s="84" t="s">
        <v>29</v>
      </c>
      <c r="H35" s="408">
        <v>6020</v>
      </c>
      <c r="I35" s="409">
        <f t="shared" si="13"/>
        <v>12040</v>
      </c>
      <c r="J35" s="408">
        <v>860</v>
      </c>
      <c r="K35" s="408">
        <f t="shared" si="14"/>
        <v>1720</v>
      </c>
      <c r="L35" s="408">
        <f t="shared" si="15"/>
        <v>6880</v>
      </c>
      <c r="M35" s="408">
        <f t="shared" si="16"/>
        <v>13760</v>
      </c>
      <c r="N35" s="744"/>
      <c r="O35" s="747"/>
      <c r="P35" s="235"/>
      <c r="Q35" s="98"/>
      <c r="R35" s="717"/>
    </row>
    <row r="36" spans="1:18" s="23" customFormat="1" ht="15" customHeight="1" x14ac:dyDescent="0.2">
      <c r="A36" s="60">
        <v>3.9</v>
      </c>
      <c r="B36" s="318" t="s">
        <v>633</v>
      </c>
      <c r="C36" s="85"/>
      <c r="D36" s="317"/>
      <c r="E36" s="204">
        <v>14</v>
      </c>
      <c r="F36" s="333">
        <v>14</v>
      </c>
      <c r="G36" s="84" t="s">
        <v>163</v>
      </c>
      <c r="H36" s="408">
        <v>7310</v>
      </c>
      <c r="I36" s="409">
        <f t="shared" si="13"/>
        <v>102340</v>
      </c>
      <c r="J36" s="408">
        <v>1720</v>
      </c>
      <c r="K36" s="408">
        <f t="shared" si="14"/>
        <v>24080</v>
      </c>
      <c r="L36" s="408">
        <f t="shared" si="15"/>
        <v>9030</v>
      </c>
      <c r="M36" s="408">
        <f t="shared" si="16"/>
        <v>126420</v>
      </c>
      <c r="N36" s="745"/>
      <c r="O36" s="748"/>
      <c r="P36" s="51"/>
      <c r="Q36" s="98"/>
      <c r="R36" s="717"/>
    </row>
    <row r="37" spans="1:18" s="23" customFormat="1" ht="15" customHeight="1" x14ac:dyDescent="0.2">
      <c r="A37" s="79">
        <v>3.1</v>
      </c>
      <c r="B37" s="18" t="s">
        <v>610</v>
      </c>
      <c r="C37" s="8"/>
      <c r="D37" s="8"/>
      <c r="E37" s="206">
        <v>1</v>
      </c>
      <c r="F37" s="334">
        <v>1</v>
      </c>
      <c r="G37" s="21" t="s">
        <v>30</v>
      </c>
      <c r="H37" s="408">
        <v>0</v>
      </c>
      <c r="I37" s="409">
        <f t="shared" si="13"/>
        <v>0</v>
      </c>
      <c r="J37" s="408">
        <v>21500</v>
      </c>
      <c r="K37" s="408">
        <f t="shared" si="14"/>
        <v>21500</v>
      </c>
      <c r="L37" s="408">
        <f t="shared" si="15"/>
        <v>21500</v>
      </c>
      <c r="M37" s="408">
        <f t="shared" si="16"/>
        <v>21500</v>
      </c>
      <c r="N37" s="660"/>
      <c r="O37" s="660"/>
      <c r="P37" s="51"/>
      <c r="Q37" s="98"/>
      <c r="R37" s="717"/>
    </row>
    <row r="38" spans="1:18" s="23" customFormat="1" ht="15" customHeight="1" x14ac:dyDescent="0.2">
      <c r="A38" s="79">
        <v>3.11</v>
      </c>
      <c r="B38" s="3" t="s">
        <v>517</v>
      </c>
      <c r="C38" s="16"/>
      <c r="D38" s="109"/>
      <c r="E38" s="206">
        <v>1</v>
      </c>
      <c r="F38" s="334">
        <v>1</v>
      </c>
      <c r="G38" s="21" t="s">
        <v>30</v>
      </c>
      <c r="H38" s="408">
        <v>12900</v>
      </c>
      <c r="I38" s="409">
        <f t="shared" si="13"/>
        <v>12900</v>
      </c>
      <c r="J38" s="408">
        <v>6020</v>
      </c>
      <c r="K38" s="408">
        <f t="shared" si="14"/>
        <v>6020</v>
      </c>
      <c r="L38" s="408">
        <f t="shared" si="15"/>
        <v>18920</v>
      </c>
      <c r="M38" s="408">
        <f t="shared" si="16"/>
        <v>18920</v>
      </c>
      <c r="N38" s="662"/>
      <c r="O38" s="662"/>
      <c r="P38" s="51"/>
      <c r="Q38" s="98"/>
      <c r="R38" s="717"/>
    </row>
    <row r="39" spans="1:18" ht="15" customHeight="1" x14ac:dyDescent="0.2">
      <c r="A39" s="79">
        <v>3.12</v>
      </c>
      <c r="B39" s="3" t="s">
        <v>88</v>
      </c>
      <c r="C39" s="16"/>
      <c r="D39" s="109"/>
      <c r="E39" s="206">
        <v>1</v>
      </c>
      <c r="F39" s="334">
        <v>1</v>
      </c>
      <c r="G39" s="21" t="s">
        <v>30</v>
      </c>
      <c r="H39" s="408">
        <v>21500</v>
      </c>
      <c r="I39" s="409">
        <f t="shared" si="13"/>
        <v>21500</v>
      </c>
      <c r="J39" s="408">
        <v>4300</v>
      </c>
      <c r="K39" s="408">
        <f t="shared" si="14"/>
        <v>4300</v>
      </c>
      <c r="L39" s="408">
        <f t="shared" si="15"/>
        <v>25800</v>
      </c>
      <c r="M39" s="408">
        <f t="shared" si="16"/>
        <v>25800</v>
      </c>
      <c r="N39" s="663"/>
      <c r="O39" s="663"/>
      <c r="P39" s="51"/>
      <c r="Q39" s="98"/>
      <c r="R39" s="717"/>
    </row>
    <row r="40" spans="1:18" s="23" customFormat="1" ht="25.5" customHeight="1" thickBot="1" x14ac:dyDescent="0.25">
      <c r="A40" s="79">
        <v>3.13</v>
      </c>
      <c r="B40" s="855" t="s">
        <v>648</v>
      </c>
      <c r="C40" s="856"/>
      <c r="D40" s="857"/>
      <c r="E40" s="206">
        <v>1</v>
      </c>
      <c r="F40" s="334">
        <v>1</v>
      </c>
      <c r="G40" s="21" t="s">
        <v>30</v>
      </c>
      <c r="H40" s="408">
        <v>150500</v>
      </c>
      <c r="I40" s="409">
        <f t="shared" si="13"/>
        <v>150500</v>
      </c>
      <c r="J40" s="408">
        <v>21500</v>
      </c>
      <c r="K40" s="408">
        <f t="shared" si="14"/>
        <v>21500</v>
      </c>
      <c r="L40" s="408">
        <f t="shared" si="15"/>
        <v>172000</v>
      </c>
      <c r="M40" s="408">
        <f t="shared" si="16"/>
        <v>172000</v>
      </c>
      <c r="N40" s="663"/>
      <c r="O40" s="663"/>
      <c r="P40" s="51"/>
      <c r="Q40" s="98"/>
      <c r="R40" s="717"/>
    </row>
    <row r="41" spans="1:18" s="98" customFormat="1" ht="15" customHeight="1" thickBot="1" x14ac:dyDescent="0.25">
      <c r="A41" s="818" t="s">
        <v>147</v>
      </c>
      <c r="B41" s="819"/>
      <c r="C41" s="819"/>
      <c r="D41" s="819"/>
      <c r="E41" s="819"/>
      <c r="F41" s="820"/>
      <c r="G41" s="821"/>
      <c r="H41" s="288"/>
      <c r="I41" s="289"/>
      <c r="J41" s="290">
        <v>0</v>
      </c>
      <c r="K41" s="289"/>
      <c r="L41" s="290"/>
      <c r="M41" s="291"/>
      <c r="N41" s="658"/>
      <c r="O41" s="658"/>
      <c r="P41" s="291"/>
      <c r="R41" s="717"/>
    </row>
    <row r="42" spans="1:18" ht="15" customHeight="1" x14ac:dyDescent="0.2">
      <c r="A42" s="61">
        <v>4</v>
      </c>
      <c r="B42" s="37" t="s">
        <v>582</v>
      </c>
      <c r="C42" s="78"/>
      <c r="D42" s="78"/>
      <c r="E42" s="171"/>
      <c r="F42" s="171"/>
      <c r="G42" s="171"/>
      <c r="H42" s="245"/>
      <c r="I42" s="171"/>
      <c r="J42" s="246">
        <v>0</v>
      </c>
      <c r="K42" s="172"/>
      <c r="L42" s="172"/>
      <c r="M42" s="173"/>
      <c r="N42" s="664"/>
      <c r="O42" s="664"/>
      <c r="P42" s="173"/>
      <c r="Q42" s="98"/>
      <c r="R42" s="717"/>
    </row>
    <row r="43" spans="1:18" s="24" customFormat="1" ht="15" customHeight="1" x14ac:dyDescent="0.2">
      <c r="A43" s="62">
        <v>4.0999999999999996</v>
      </c>
      <c r="B43" s="25" t="s">
        <v>519</v>
      </c>
      <c r="C43" s="8"/>
      <c r="D43" s="26"/>
      <c r="E43" s="174"/>
      <c r="F43" s="174"/>
      <c r="G43" s="27"/>
      <c r="H43" s="245"/>
      <c r="I43" s="27"/>
      <c r="J43" s="246">
        <v>0</v>
      </c>
      <c r="K43" s="47"/>
      <c r="L43" s="47"/>
      <c r="M43" s="53"/>
      <c r="N43" s="664"/>
      <c r="O43" s="664"/>
      <c r="P43" s="53"/>
      <c r="Q43" s="98"/>
      <c r="R43" s="717"/>
    </row>
    <row r="44" spans="1:18" s="23" customFormat="1" ht="15" customHeight="1" x14ac:dyDescent="0.2">
      <c r="A44" s="55" t="s">
        <v>537</v>
      </c>
      <c r="B44" s="17" t="s">
        <v>20</v>
      </c>
      <c r="C44" s="16"/>
      <c r="D44" s="26"/>
      <c r="E44" s="206" t="s">
        <v>198</v>
      </c>
      <c r="F44" s="334" t="s">
        <v>198</v>
      </c>
      <c r="G44" s="84" t="s">
        <v>22</v>
      </c>
      <c r="H44" s="245">
        <v>1281.4000000000001</v>
      </c>
      <c r="I44" s="236" t="s">
        <v>228</v>
      </c>
      <c r="J44" s="246">
        <v>258</v>
      </c>
      <c r="K44" s="235" t="s">
        <v>228</v>
      </c>
      <c r="L44" s="247"/>
      <c r="M44" s="235" t="s">
        <v>228</v>
      </c>
      <c r="N44" s="743" t="s">
        <v>777</v>
      </c>
      <c r="O44" s="746" t="s">
        <v>773</v>
      </c>
      <c r="P44" s="731" t="s">
        <v>798</v>
      </c>
      <c r="Q44" s="98"/>
      <c r="R44" s="717"/>
    </row>
    <row r="45" spans="1:18" s="23" customFormat="1" ht="15" customHeight="1" x14ac:dyDescent="0.2">
      <c r="A45" s="55" t="s">
        <v>538</v>
      </c>
      <c r="B45" s="17" t="s">
        <v>603</v>
      </c>
      <c r="C45" s="16"/>
      <c r="D45" s="26"/>
      <c r="E45" s="206" t="s">
        <v>198</v>
      </c>
      <c r="F45" s="334" t="s">
        <v>198</v>
      </c>
      <c r="G45" s="84" t="s">
        <v>22</v>
      </c>
      <c r="H45" s="245">
        <v>1032</v>
      </c>
      <c r="I45" s="236" t="s">
        <v>228</v>
      </c>
      <c r="J45" s="246">
        <v>258</v>
      </c>
      <c r="K45" s="235" t="s">
        <v>228</v>
      </c>
      <c r="L45" s="247"/>
      <c r="M45" s="235" t="s">
        <v>228</v>
      </c>
      <c r="N45" s="744"/>
      <c r="O45" s="747"/>
      <c r="P45" s="732"/>
      <c r="Q45" s="98"/>
      <c r="R45" s="717"/>
    </row>
    <row r="46" spans="1:18" s="23" customFormat="1" ht="15" customHeight="1" x14ac:dyDescent="0.2">
      <c r="A46" s="55" t="s">
        <v>539</v>
      </c>
      <c r="B46" s="17" t="s">
        <v>604</v>
      </c>
      <c r="C46" s="16"/>
      <c r="D46" s="26"/>
      <c r="E46" s="712">
        <v>120</v>
      </c>
      <c r="F46" s="334">
        <v>105</v>
      </c>
      <c r="G46" s="84" t="s">
        <v>22</v>
      </c>
      <c r="H46" s="408">
        <v>688</v>
      </c>
      <c r="I46" s="409">
        <f>H46*E46</f>
        <v>82560</v>
      </c>
      <c r="J46" s="408">
        <v>189.2</v>
      </c>
      <c r="K46" s="408">
        <f>J46*E46</f>
        <v>22704</v>
      </c>
      <c r="L46" s="408">
        <f>J46+H46</f>
        <v>877.2</v>
      </c>
      <c r="M46" s="408">
        <f>K46+I46</f>
        <v>105264</v>
      </c>
      <c r="N46" s="744"/>
      <c r="O46" s="747"/>
      <c r="P46" s="732"/>
      <c r="Q46" s="98"/>
      <c r="R46" s="717"/>
    </row>
    <row r="47" spans="1:18" s="23" customFormat="1" ht="15" customHeight="1" x14ac:dyDescent="0.2">
      <c r="A47" s="55" t="s">
        <v>540</v>
      </c>
      <c r="B47" s="17" t="s">
        <v>10</v>
      </c>
      <c r="C47" s="16"/>
      <c r="D47" s="8"/>
      <c r="E47" s="206" t="s">
        <v>198</v>
      </c>
      <c r="F47" s="334" t="s">
        <v>198</v>
      </c>
      <c r="G47" s="84" t="s">
        <v>22</v>
      </c>
      <c r="H47" s="245">
        <v>602</v>
      </c>
      <c r="I47" s="236" t="s">
        <v>228</v>
      </c>
      <c r="J47" s="246">
        <v>172</v>
      </c>
      <c r="K47" s="235" t="s">
        <v>228</v>
      </c>
      <c r="L47" s="247"/>
      <c r="M47" s="235" t="s">
        <v>228</v>
      </c>
      <c r="N47" s="745"/>
      <c r="O47" s="748"/>
      <c r="P47" s="732"/>
      <c r="Q47" s="98"/>
      <c r="R47" s="717"/>
    </row>
    <row r="48" spans="1:18" s="24" customFormat="1" ht="15" customHeight="1" x14ac:dyDescent="0.2">
      <c r="A48" s="62">
        <v>4.2</v>
      </c>
      <c r="B48" s="25" t="s">
        <v>518</v>
      </c>
      <c r="C48" s="8"/>
      <c r="D48" s="26"/>
      <c r="E48" s="174"/>
      <c r="F48" s="174"/>
      <c r="G48" s="27"/>
      <c r="H48" s="245">
        <v>0</v>
      </c>
      <c r="I48" s="27"/>
      <c r="J48" s="246">
        <v>0</v>
      </c>
      <c r="K48" s="47"/>
      <c r="L48" s="47"/>
      <c r="M48" s="53"/>
      <c r="N48" s="664"/>
      <c r="O48" s="664"/>
      <c r="P48" s="732"/>
      <c r="Q48" s="98"/>
      <c r="R48" s="717"/>
    </row>
    <row r="49" spans="1:18" s="23" customFormat="1" ht="15" customHeight="1" x14ac:dyDescent="0.2">
      <c r="A49" s="55" t="s">
        <v>541</v>
      </c>
      <c r="B49" s="17" t="s">
        <v>20</v>
      </c>
      <c r="C49" s="16"/>
      <c r="D49" s="26"/>
      <c r="E49" s="206" t="s">
        <v>198</v>
      </c>
      <c r="F49" s="334" t="s">
        <v>198</v>
      </c>
      <c r="G49" s="84" t="s">
        <v>22</v>
      </c>
      <c r="H49" s="245">
        <v>1711.4</v>
      </c>
      <c r="I49" s="236" t="s">
        <v>228</v>
      </c>
      <c r="J49" s="246">
        <v>189.2</v>
      </c>
      <c r="K49" s="235" t="s">
        <v>228</v>
      </c>
      <c r="L49" s="247"/>
      <c r="M49" s="235" t="s">
        <v>228</v>
      </c>
      <c r="N49" s="743" t="s">
        <v>778</v>
      </c>
      <c r="O49" s="746" t="s">
        <v>773</v>
      </c>
      <c r="P49" s="732"/>
      <c r="Q49" s="98"/>
      <c r="R49" s="717"/>
    </row>
    <row r="50" spans="1:18" s="23" customFormat="1" ht="15" customHeight="1" x14ac:dyDescent="0.2">
      <c r="A50" s="55" t="s">
        <v>543</v>
      </c>
      <c r="B50" s="17" t="s">
        <v>603</v>
      </c>
      <c r="C50" s="16"/>
      <c r="D50" s="26"/>
      <c r="E50" s="712">
        <v>76</v>
      </c>
      <c r="F50" s="334">
        <v>65</v>
      </c>
      <c r="G50" s="84" t="s">
        <v>22</v>
      </c>
      <c r="H50" s="408">
        <v>1376</v>
      </c>
      <c r="I50" s="409">
        <f>H50*E50</f>
        <v>104576</v>
      </c>
      <c r="J50" s="408">
        <v>154.80000000000001</v>
      </c>
      <c r="K50" s="408">
        <f>J50*E50</f>
        <v>11764.800000000001</v>
      </c>
      <c r="L50" s="408">
        <f>J50+H50</f>
        <v>1530.8</v>
      </c>
      <c r="M50" s="408">
        <f>K50+I50</f>
        <v>116340.8</v>
      </c>
      <c r="N50" s="744"/>
      <c r="O50" s="747"/>
      <c r="P50" s="732"/>
      <c r="Q50" s="98"/>
      <c r="R50" s="717"/>
    </row>
    <row r="51" spans="1:18" s="23" customFormat="1" ht="15" customHeight="1" x14ac:dyDescent="0.2">
      <c r="A51" s="55" t="s">
        <v>544</v>
      </c>
      <c r="B51" s="17" t="s">
        <v>604</v>
      </c>
      <c r="C51" s="16"/>
      <c r="D51" s="26"/>
      <c r="E51" s="206" t="s">
        <v>198</v>
      </c>
      <c r="F51" s="334" t="s">
        <v>198</v>
      </c>
      <c r="G51" s="84" t="s">
        <v>22</v>
      </c>
      <c r="H51" s="245">
        <v>1204</v>
      </c>
      <c r="I51" s="236" t="s">
        <v>228</v>
      </c>
      <c r="J51" s="408">
        <v>154.80000000000001</v>
      </c>
      <c r="K51" s="235" t="s">
        <v>228</v>
      </c>
      <c r="L51" s="247"/>
      <c r="M51" s="235" t="s">
        <v>228</v>
      </c>
      <c r="N51" s="744"/>
      <c r="O51" s="747"/>
      <c r="P51" s="732"/>
      <c r="Q51" s="98"/>
      <c r="R51" s="717"/>
    </row>
    <row r="52" spans="1:18" s="23" customFormat="1" ht="15" customHeight="1" x14ac:dyDescent="0.2">
      <c r="A52" s="55" t="s">
        <v>545</v>
      </c>
      <c r="B52" s="17" t="s">
        <v>10</v>
      </c>
      <c r="C52" s="16"/>
      <c r="D52" s="8"/>
      <c r="E52" s="206" t="s">
        <v>198</v>
      </c>
      <c r="F52" s="334" t="s">
        <v>198</v>
      </c>
      <c r="G52" s="84" t="s">
        <v>22</v>
      </c>
      <c r="H52" s="245">
        <v>1032</v>
      </c>
      <c r="I52" s="236" t="s">
        <v>228</v>
      </c>
      <c r="J52" s="408">
        <v>154.80000000000001</v>
      </c>
      <c r="K52" s="235" t="s">
        <v>228</v>
      </c>
      <c r="L52" s="247"/>
      <c r="M52" s="235" t="s">
        <v>228</v>
      </c>
      <c r="N52" s="745"/>
      <c r="O52" s="748"/>
      <c r="P52" s="732"/>
      <c r="Q52" s="98"/>
      <c r="R52" s="717"/>
    </row>
    <row r="53" spans="1:18" s="24" customFormat="1" ht="15" customHeight="1" x14ac:dyDescent="0.2">
      <c r="A53" s="62">
        <v>4.3</v>
      </c>
      <c r="B53" s="25" t="s">
        <v>507</v>
      </c>
      <c r="C53" s="8"/>
      <c r="D53" s="26"/>
      <c r="E53" s="174"/>
      <c r="F53" s="174"/>
      <c r="G53" s="27"/>
      <c r="H53" s="245">
        <v>0</v>
      </c>
      <c r="I53" s="27"/>
      <c r="J53" s="246">
        <v>0</v>
      </c>
      <c r="K53" s="47"/>
      <c r="L53" s="47"/>
      <c r="M53" s="53"/>
      <c r="N53" s="664"/>
      <c r="O53" s="664"/>
      <c r="P53" s="732"/>
      <c r="Q53" s="98"/>
      <c r="R53" s="717"/>
    </row>
    <row r="54" spans="1:18" s="23" customFormat="1" ht="15" customHeight="1" x14ac:dyDescent="0.2">
      <c r="A54" s="55" t="s">
        <v>546</v>
      </c>
      <c r="B54" s="17" t="s">
        <v>604</v>
      </c>
      <c r="C54" s="16"/>
      <c r="D54" s="109"/>
      <c r="E54" s="712">
        <v>80</v>
      </c>
      <c r="F54" s="334">
        <v>70</v>
      </c>
      <c r="G54" s="84" t="s">
        <v>22</v>
      </c>
      <c r="H54" s="408">
        <v>275.2</v>
      </c>
      <c r="I54" s="409">
        <f>H54*E54</f>
        <v>22016</v>
      </c>
      <c r="J54" s="408">
        <v>154.80000000000001</v>
      </c>
      <c r="K54" s="408">
        <f>J54*E54</f>
        <v>12384</v>
      </c>
      <c r="L54" s="408">
        <f>J54+H54</f>
        <v>430</v>
      </c>
      <c r="M54" s="408">
        <f>K54+I54</f>
        <v>34400</v>
      </c>
      <c r="N54" s="755" t="s">
        <v>797</v>
      </c>
      <c r="O54" s="746" t="s">
        <v>774</v>
      </c>
      <c r="P54" s="732"/>
      <c r="Q54" s="98"/>
      <c r="R54" s="717"/>
    </row>
    <row r="55" spans="1:18" s="23" customFormat="1" ht="15" customHeight="1" x14ac:dyDescent="0.2">
      <c r="A55" s="55" t="s">
        <v>547</v>
      </c>
      <c r="B55" s="17" t="s">
        <v>10</v>
      </c>
      <c r="C55" s="16"/>
      <c r="D55" s="109"/>
      <c r="E55" s="206" t="s">
        <v>198</v>
      </c>
      <c r="F55" s="334" t="s">
        <v>198</v>
      </c>
      <c r="G55" s="84" t="s">
        <v>22</v>
      </c>
      <c r="H55" s="245">
        <v>215</v>
      </c>
      <c r="I55" s="236" t="s">
        <v>228</v>
      </c>
      <c r="J55" s="408">
        <v>154.80000000000001</v>
      </c>
      <c r="K55" s="235" t="s">
        <v>228</v>
      </c>
      <c r="L55" s="247"/>
      <c r="M55" s="235" t="s">
        <v>228</v>
      </c>
      <c r="N55" s="755"/>
      <c r="O55" s="747"/>
      <c r="P55" s="732"/>
      <c r="Q55" s="98"/>
      <c r="R55" s="717"/>
    </row>
    <row r="56" spans="1:18" s="23" customFormat="1" ht="15" customHeight="1" x14ac:dyDescent="0.2">
      <c r="A56" s="55">
        <v>4.4000000000000004</v>
      </c>
      <c r="B56" s="114" t="s">
        <v>45</v>
      </c>
      <c r="C56" s="115"/>
      <c r="D56" s="115"/>
      <c r="E56" s="252">
        <v>1</v>
      </c>
      <c r="F56" s="335">
        <v>1</v>
      </c>
      <c r="G56" s="209" t="s">
        <v>30</v>
      </c>
      <c r="H56" s="408">
        <v>0</v>
      </c>
      <c r="I56" s="409">
        <f t="shared" ref="I56:I57" si="17">H56*E56</f>
        <v>0</v>
      </c>
      <c r="J56" s="408">
        <v>21500</v>
      </c>
      <c r="K56" s="408">
        <f t="shared" ref="K56:K57" si="18">J56*E56</f>
        <v>21500</v>
      </c>
      <c r="L56" s="408">
        <f t="shared" ref="L56:L57" si="19">J56+H56</f>
        <v>21500</v>
      </c>
      <c r="M56" s="408">
        <f t="shared" ref="M56:M57" si="20">K56+I56</f>
        <v>21500</v>
      </c>
      <c r="N56" s="755"/>
      <c r="O56" s="747"/>
      <c r="P56" s="738"/>
      <c r="Q56" s="98"/>
      <c r="R56" s="717"/>
    </row>
    <row r="57" spans="1:18" s="23" customFormat="1" ht="15" customHeight="1" thickBot="1" x14ac:dyDescent="0.25">
      <c r="A57" s="55">
        <v>4.5</v>
      </c>
      <c r="B57" s="122" t="s">
        <v>649</v>
      </c>
      <c r="C57" s="123"/>
      <c r="D57" s="299"/>
      <c r="E57" s="252">
        <v>1</v>
      </c>
      <c r="F57" s="335">
        <v>1</v>
      </c>
      <c r="G57" s="209" t="s">
        <v>30</v>
      </c>
      <c r="H57" s="408">
        <v>12900</v>
      </c>
      <c r="I57" s="409">
        <f t="shared" si="17"/>
        <v>12900</v>
      </c>
      <c r="J57" s="408">
        <v>6020</v>
      </c>
      <c r="K57" s="408">
        <f t="shared" si="18"/>
        <v>6020</v>
      </c>
      <c r="L57" s="408">
        <f t="shared" si="19"/>
        <v>18920</v>
      </c>
      <c r="M57" s="408">
        <f t="shared" si="20"/>
        <v>18920</v>
      </c>
      <c r="N57" s="677"/>
      <c r="O57" s="680"/>
      <c r="P57" s="253"/>
      <c r="Q57" s="98"/>
      <c r="R57" s="717"/>
    </row>
    <row r="58" spans="1:18" s="98" customFormat="1" ht="15" customHeight="1" thickBot="1" x14ac:dyDescent="0.25">
      <c r="A58" s="818" t="s">
        <v>147</v>
      </c>
      <c r="B58" s="819"/>
      <c r="C58" s="819"/>
      <c r="D58" s="819"/>
      <c r="E58" s="819"/>
      <c r="F58" s="820"/>
      <c r="G58" s="821"/>
      <c r="H58" s="288"/>
      <c r="I58" s="289"/>
      <c r="J58" s="290"/>
      <c r="K58" s="289"/>
      <c r="L58" s="290"/>
      <c r="M58" s="291"/>
      <c r="N58" s="658"/>
      <c r="O58" s="658"/>
      <c r="P58" s="291"/>
      <c r="R58" s="717"/>
    </row>
    <row r="59" spans="1:18" s="12" customFormat="1" ht="15" customHeight="1" x14ac:dyDescent="0.2">
      <c r="A59" s="64">
        <v>5</v>
      </c>
      <c r="B59" s="37" t="s">
        <v>124</v>
      </c>
      <c r="C59" s="5"/>
      <c r="D59" s="5"/>
      <c r="E59" s="13"/>
      <c r="F59" s="13"/>
      <c r="G59" s="13"/>
      <c r="H59" s="245"/>
      <c r="I59" s="13"/>
      <c r="J59" s="246"/>
      <c r="K59" s="142"/>
      <c r="L59" s="142"/>
      <c r="M59" s="52"/>
      <c r="N59" s="665"/>
      <c r="O59" s="665"/>
      <c r="P59" s="52"/>
      <c r="Q59" s="98"/>
      <c r="R59" s="717"/>
    </row>
    <row r="60" spans="1:18" s="12" customFormat="1" ht="15" customHeight="1" x14ac:dyDescent="0.2">
      <c r="A60" s="62">
        <v>5.0999999999999996</v>
      </c>
      <c r="B60" s="234" t="s">
        <v>627</v>
      </c>
      <c r="C60" s="8"/>
      <c r="D60" s="26"/>
      <c r="E60" s="174"/>
      <c r="F60" s="174"/>
      <c r="G60" s="174"/>
      <c r="H60" s="245"/>
      <c r="I60" s="27"/>
      <c r="J60" s="246"/>
      <c r="K60" s="47"/>
      <c r="L60" s="47"/>
      <c r="M60" s="53"/>
      <c r="N60" s="664"/>
      <c r="O60" s="664"/>
      <c r="P60" s="53"/>
      <c r="Q60" s="98"/>
      <c r="R60" s="717"/>
    </row>
    <row r="61" spans="1:18" s="23" customFormat="1" ht="15" customHeight="1" x14ac:dyDescent="0.2">
      <c r="A61" s="55" t="s">
        <v>542</v>
      </c>
      <c r="B61" s="17" t="s">
        <v>20</v>
      </c>
      <c r="C61" s="16"/>
      <c r="D61" s="109"/>
      <c r="E61" s="206" t="s">
        <v>198</v>
      </c>
      <c r="F61" s="334" t="s">
        <v>198</v>
      </c>
      <c r="G61" s="84" t="s">
        <v>83</v>
      </c>
      <c r="H61" s="245">
        <v>12040</v>
      </c>
      <c r="I61" s="236" t="s">
        <v>228</v>
      </c>
      <c r="J61" s="246">
        <v>860</v>
      </c>
      <c r="K61" s="235" t="s">
        <v>228</v>
      </c>
      <c r="L61" s="247"/>
      <c r="M61" s="235" t="s">
        <v>228</v>
      </c>
      <c r="N61" s="657"/>
      <c r="O61" s="657"/>
      <c r="P61" s="235"/>
      <c r="Q61" s="98"/>
      <c r="R61" s="717"/>
    </row>
    <row r="62" spans="1:18" s="23" customFormat="1" ht="15" customHeight="1" x14ac:dyDescent="0.2">
      <c r="A62" s="55" t="s">
        <v>548</v>
      </c>
      <c r="B62" s="17" t="s">
        <v>603</v>
      </c>
      <c r="C62" s="16"/>
      <c r="D62" s="109"/>
      <c r="E62" s="206">
        <v>2</v>
      </c>
      <c r="F62" s="334">
        <v>2</v>
      </c>
      <c r="G62" s="84" t="s">
        <v>29</v>
      </c>
      <c r="H62" s="408">
        <v>9890</v>
      </c>
      <c r="I62" s="409">
        <f t="shared" ref="I62:I63" si="21">H62*E62</f>
        <v>19780</v>
      </c>
      <c r="J62" s="246">
        <v>860</v>
      </c>
      <c r="K62" s="408">
        <f t="shared" ref="K62:K63" si="22">J62*E62</f>
        <v>1720</v>
      </c>
      <c r="L62" s="408">
        <f t="shared" ref="L62:L63" si="23">J62+H62</f>
        <v>10750</v>
      </c>
      <c r="M62" s="408">
        <f t="shared" ref="M62:M63" si="24">K62+I62</f>
        <v>21500</v>
      </c>
      <c r="N62" s="743" t="s">
        <v>802</v>
      </c>
      <c r="O62" s="746" t="s">
        <v>773</v>
      </c>
      <c r="P62" s="235"/>
      <c r="Q62" s="98"/>
      <c r="R62" s="717"/>
    </row>
    <row r="63" spans="1:18" s="23" customFormat="1" ht="15" customHeight="1" x14ac:dyDescent="0.2">
      <c r="A63" s="55" t="s">
        <v>549</v>
      </c>
      <c r="B63" s="17" t="s">
        <v>604</v>
      </c>
      <c r="C63" s="16"/>
      <c r="D63" s="109"/>
      <c r="E63" s="206">
        <v>6</v>
      </c>
      <c r="F63" s="334">
        <v>6</v>
      </c>
      <c r="G63" s="84" t="s">
        <v>29</v>
      </c>
      <c r="H63" s="408">
        <v>6794</v>
      </c>
      <c r="I63" s="409">
        <f t="shared" si="21"/>
        <v>40764</v>
      </c>
      <c r="J63" s="246">
        <v>860</v>
      </c>
      <c r="K63" s="408">
        <f t="shared" si="22"/>
        <v>5160</v>
      </c>
      <c r="L63" s="408">
        <f t="shared" si="23"/>
        <v>7654</v>
      </c>
      <c r="M63" s="408">
        <f t="shared" si="24"/>
        <v>45924</v>
      </c>
      <c r="N63" s="744"/>
      <c r="O63" s="747"/>
      <c r="P63" s="235"/>
      <c r="Q63" s="98"/>
      <c r="R63" s="717"/>
    </row>
    <row r="64" spans="1:18" s="23" customFormat="1" ht="15" customHeight="1" x14ac:dyDescent="0.2">
      <c r="A64" s="55" t="s">
        <v>550</v>
      </c>
      <c r="B64" s="17" t="s">
        <v>10</v>
      </c>
      <c r="C64" s="16"/>
      <c r="D64" s="109"/>
      <c r="E64" s="206" t="s">
        <v>198</v>
      </c>
      <c r="F64" s="334" t="s">
        <v>198</v>
      </c>
      <c r="G64" s="84" t="s">
        <v>83</v>
      </c>
      <c r="H64" s="245">
        <v>5848</v>
      </c>
      <c r="I64" s="236" t="s">
        <v>228</v>
      </c>
      <c r="J64" s="246">
        <v>860</v>
      </c>
      <c r="K64" s="235" t="s">
        <v>228</v>
      </c>
      <c r="L64" s="247"/>
      <c r="M64" s="235" t="s">
        <v>228</v>
      </c>
      <c r="N64" s="744"/>
      <c r="O64" s="747"/>
      <c r="P64" s="235"/>
      <c r="Q64" s="98"/>
      <c r="R64" s="717"/>
    </row>
    <row r="65" spans="1:18" s="23" customFormat="1" ht="15" customHeight="1" x14ac:dyDescent="0.2">
      <c r="A65" s="55" t="s">
        <v>570</v>
      </c>
      <c r="B65" s="17" t="s">
        <v>11</v>
      </c>
      <c r="C65" s="16"/>
      <c r="D65" s="109"/>
      <c r="E65" s="206" t="s">
        <v>198</v>
      </c>
      <c r="F65" s="334" t="s">
        <v>198</v>
      </c>
      <c r="G65" s="84" t="s">
        <v>83</v>
      </c>
      <c r="H65" s="245">
        <v>3440</v>
      </c>
      <c r="I65" s="236" t="s">
        <v>228</v>
      </c>
      <c r="J65" s="246">
        <v>860</v>
      </c>
      <c r="K65" s="235" t="s">
        <v>228</v>
      </c>
      <c r="L65" s="247"/>
      <c r="M65" s="235" t="s">
        <v>228</v>
      </c>
      <c r="N65" s="657"/>
      <c r="O65" s="657"/>
      <c r="P65" s="235"/>
      <c r="Q65" s="98"/>
      <c r="R65" s="717"/>
    </row>
    <row r="66" spans="1:18" s="24" customFormat="1" ht="15" customHeight="1" x14ac:dyDescent="0.2">
      <c r="A66" s="62">
        <v>5.2</v>
      </c>
      <c r="B66" s="40" t="s">
        <v>628</v>
      </c>
      <c r="C66" s="8"/>
      <c r="D66" s="26"/>
      <c r="E66" s="174"/>
      <c r="F66" s="174"/>
      <c r="G66" s="174"/>
      <c r="H66" s="245">
        <v>0</v>
      </c>
      <c r="I66" s="174"/>
      <c r="J66" s="246">
        <v>0</v>
      </c>
      <c r="K66" s="174"/>
      <c r="L66" s="174"/>
      <c r="M66" s="223"/>
      <c r="N66" s="550"/>
      <c r="O66" s="550"/>
      <c r="P66" s="223"/>
      <c r="Q66" s="98"/>
      <c r="R66" s="717"/>
    </row>
    <row r="67" spans="1:18" s="23" customFormat="1" ht="15" customHeight="1" x14ac:dyDescent="0.2">
      <c r="A67" s="55" t="s">
        <v>551</v>
      </c>
      <c r="B67" s="17" t="s">
        <v>10</v>
      </c>
      <c r="C67" s="16"/>
      <c r="D67" s="109"/>
      <c r="E67" s="206" t="s">
        <v>198</v>
      </c>
      <c r="F67" s="334" t="s">
        <v>198</v>
      </c>
      <c r="G67" s="84" t="s">
        <v>83</v>
      </c>
      <c r="H67" s="245">
        <v>5590</v>
      </c>
      <c r="I67" s="236" t="s">
        <v>228</v>
      </c>
      <c r="J67" s="246">
        <v>860</v>
      </c>
      <c r="K67" s="235" t="s">
        <v>228</v>
      </c>
      <c r="L67" s="247"/>
      <c r="M67" s="235" t="s">
        <v>228</v>
      </c>
      <c r="N67" s="746" t="s">
        <v>802</v>
      </c>
      <c r="O67" s="746" t="s">
        <v>773</v>
      </c>
      <c r="P67" s="235"/>
      <c r="Q67" s="98"/>
      <c r="R67" s="717"/>
    </row>
    <row r="68" spans="1:18" s="23" customFormat="1" ht="15" customHeight="1" x14ac:dyDescent="0.2">
      <c r="A68" s="55" t="s">
        <v>552</v>
      </c>
      <c r="B68" s="17" t="s">
        <v>11</v>
      </c>
      <c r="C68" s="16"/>
      <c r="D68" s="109"/>
      <c r="E68" s="206" t="s">
        <v>198</v>
      </c>
      <c r="F68" s="334" t="s">
        <v>198</v>
      </c>
      <c r="G68" s="84" t="s">
        <v>29</v>
      </c>
      <c r="H68" s="245">
        <v>4730</v>
      </c>
      <c r="I68" s="236" t="s">
        <v>228</v>
      </c>
      <c r="J68" s="246">
        <v>860</v>
      </c>
      <c r="K68" s="235" t="s">
        <v>228</v>
      </c>
      <c r="L68" s="247"/>
      <c r="M68" s="235" t="s">
        <v>228</v>
      </c>
      <c r="N68" s="747"/>
      <c r="O68" s="747"/>
      <c r="P68" s="235"/>
      <c r="Q68" s="98"/>
      <c r="R68" s="717"/>
    </row>
    <row r="69" spans="1:18" s="24" customFormat="1" ht="15" customHeight="1" x14ac:dyDescent="0.2">
      <c r="A69" s="62">
        <v>5.3</v>
      </c>
      <c r="B69" s="40" t="s">
        <v>629</v>
      </c>
      <c r="C69" s="8"/>
      <c r="D69" s="8"/>
      <c r="E69" s="183"/>
      <c r="F69" s="183"/>
      <c r="G69" s="249"/>
      <c r="H69" s="245">
        <v>0</v>
      </c>
      <c r="I69" s="27"/>
      <c r="J69" s="246">
        <v>0</v>
      </c>
      <c r="K69" s="47"/>
      <c r="L69" s="47"/>
      <c r="M69" s="53"/>
      <c r="N69" s="657"/>
      <c r="O69" s="657"/>
      <c r="P69" s="53"/>
      <c r="Q69" s="98"/>
      <c r="R69" s="717"/>
    </row>
    <row r="70" spans="1:18" s="23" customFormat="1" ht="15" customHeight="1" x14ac:dyDescent="0.2">
      <c r="A70" s="55" t="s">
        <v>553</v>
      </c>
      <c r="B70" s="17" t="s">
        <v>20</v>
      </c>
      <c r="C70" s="16"/>
      <c r="D70" s="16"/>
      <c r="E70" s="206" t="s">
        <v>198</v>
      </c>
      <c r="F70" s="334" t="s">
        <v>198</v>
      </c>
      <c r="G70" s="84" t="s">
        <v>83</v>
      </c>
      <c r="H70" s="245">
        <v>12040</v>
      </c>
      <c r="I70" s="236" t="s">
        <v>228</v>
      </c>
      <c r="J70" s="246">
        <v>860</v>
      </c>
      <c r="K70" s="235" t="s">
        <v>228</v>
      </c>
      <c r="L70" s="247"/>
      <c r="M70" s="235" t="s">
        <v>228</v>
      </c>
      <c r="N70" s="657"/>
      <c r="O70" s="657"/>
      <c r="P70" s="235"/>
      <c r="Q70" s="98"/>
      <c r="R70" s="717"/>
    </row>
    <row r="71" spans="1:18" s="23" customFormat="1" ht="15" customHeight="1" x14ac:dyDescent="0.2">
      <c r="A71" s="55" t="s">
        <v>554</v>
      </c>
      <c r="B71" s="17" t="s">
        <v>603</v>
      </c>
      <c r="C71" s="16"/>
      <c r="D71" s="16"/>
      <c r="E71" s="206">
        <v>1</v>
      </c>
      <c r="F71" s="334">
        <v>1</v>
      </c>
      <c r="G71" s="84" t="s">
        <v>83</v>
      </c>
      <c r="H71" s="408">
        <v>8514</v>
      </c>
      <c r="I71" s="409">
        <f t="shared" ref="I71:I72" si="25">H71*E71</f>
        <v>8514</v>
      </c>
      <c r="J71" s="246">
        <v>860</v>
      </c>
      <c r="K71" s="408">
        <f t="shared" ref="K71:K72" si="26">J71*E71</f>
        <v>860</v>
      </c>
      <c r="L71" s="408">
        <f t="shared" ref="L71:L72" si="27">J71+H71</f>
        <v>9374</v>
      </c>
      <c r="M71" s="408">
        <f t="shared" ref="M71:M72" si="28">K71+I71</f>
        <v>9374</v>
      </c>
      <c r="N71" s="746" t="s">
        <v>802</v>
      </c>
      <c r="O71" s="746" t="s">
        <v>773</v>
      </c>
      <c r="P71" s="235"/>
      <c r="Q71" s="98"/>
      <c r="R71" s="717"/>
    </row>
    <row r="72" spans="1:18" s="23" customFormat="1" ht="15" customHeight="1" x14ac:dyDescent="0.2">
      <c r="A72" s="55" t="s">
        <v>555</v>
      </c>
      <c r="B72" s="17" t="s">
        <v>604</v>
      </c>
      <c r="C72" s="16"/>
      <c r="D72" s="16"/>
      <c r="E72" s="206">
        <v>2</v>
      </c>
      <c r="F72" s="334">
        <v>2</v>
      </c>
      <c r="G72" s="84" t="s">
        <v>29</v>
      </c>
      <c r="H72" s="408">
        <v>6020</v>
      </c>
      <c r="I72" s="409">
        <f t="shared" si="25"/>
        <v>12040</v>
      </c>
      <c r="J72" s="246">
        <v>860</v>
      </c>
      <c r="K72" s="408">
        <f t="shared" si="26"/>
        <v>1720</v>
      </c>
      <c r="L72" s="408">
        <f t="shared" si="27"/>
        <v>6880</v>
      </c>
      <c r="M72" s="408">
        <f t="shared" si="28"/>
        <v>13760</v>
      </c>
      <c r="N72" s="747"/>
      <c r="O72" s="747"/>
      <c r="P72" s="235"/>
      <c r="Q72" s="98"/>
      <c r="R72" s="717"/>
    </row>
    <row r="73" spans="1:18" s="23" customFormat="1" ht="15" customHeight="1" x14ac:dyDescent="0.2">
      <c r="A73" s="55" t="s">
        <v>556</v>
      </c>
      <c r="B73" s="17" t="s">
        <v>10</v>
      </c>
      <c r="C73" s="16"/>
      <c r="D73" s="109"/>
      <c r="E73" s="206" t="s">
        <v>198</v>
      </c>
      <c r="F73" s="334" t="s">
        <v>198</v>
      </c>
      <c r="G73" s="84" t="s">
        <v>83</v>
      </c>
      <c r="H73" s="245">
        <v>4730</v>
      </c>
      <c r="I73" s="236" t="s">
        <v>228</v>
      </c>
      <c r="J73" s="246">
        <v>860</v>
      </c>
      <c r="K73" s="235" t="s">
        <v>228</v>
      </c>
      <c r="L73" s="247"/>
      <c r="M73" s="235" t="s">
        <v>228</v>
      </c>
      <c r="N73" s="657"/>
      <c r="O73" s="657"/>
      <c r="P73" s="235"/>
      <c r="Q73" s="98"/>
      <c r="R73" s="717"/>
    </row>
    <row r="74" spans="1:18" s="24" customFormat="1" ht="15" customHeight="1" x14ac:dyDescent="0.2">
      <c r="A74" s="62">
        <v>5.4</v>
      </c>
      <c r="B74" s="40" t="s">
        <v>523</v>
      </c>
      <c r="C74" s="8"/>
      <c r="D74" s="26"/>
      <c r="E74" s="183"/>
      <c r="F74" s="183"/>
      <c r="G74" s="183"/>
      <c r="H74" s="245">
        <v>0</v>
      </c>
      <c r="I74" s="174"/>
      <c r="J74" s="246">
        <v>0</v>
      </c>
      <c r="K74" s="174"/>
      <c r="L74" s="174"/>
      <c r="M74" s="223"/>
      <c r="N74" s="550"/>
      <c r="O74" s="550"/>
      <c r="P74" s="223"/>
      <c r="Q74" s="98"/>
      <c r="R74" s="717"/>
    </row>
    <row r="75" spans="1:18" s="24" customFormat="1" ht="15" customHeight="1" x14ac:dyDescent="0.2">
      <c r="A75" s="55" t="s">
        <v>557</v>
      </c>
      <c r="B75" s="17" t="s">
        <v>603</v>
      </c>
      <c r="C75" s="16"/>
      <c r="D75" s="109"/>
      <c r="E75" s="206">
        <v>1</v>
      </c>
      <c r="F75" s="334">
        <v>1</v>
      </c>
      <c r="G75" s="84" t="s">
        <v>83</v>
      </c>
      <c r="H75" s="245">
        <v>70520</v>
      </c>
      <c r="I75" s="236" t="s">
        <v>228</v>
      </c>
      <c r="J75" s="246">
        <v>860</v>
      </c>
      <c r="K75" s="235" t="s">
        <v>228</v>
      </c>
      <c r="L75" s="247"/>
      <c r="M75" s="235" t="s">
        <v>228</v>
      </c>
      <c r="N75" s="743" t="s">
        <v>802</v>
      </c>
      <c r="O75" s="746" t="s">
        <v>773</v>
      </c>
      <c r="P75" s="235"/>
      <c r="Q75" s="98"/>
      <c r="R75" s="717"/>
    </row>
    <row r="76" spans="1:18" s="23" customFormat="1" ht="15" customHeight="1" x14ac:dyDescent="0.2">
      <c r="A76" s="55" t="s">
        <v>558</v>
      </c>
      <c r="B76" s="17" t="s">
        <v>604</v>
      </c>
      <c r="C76" s="16"/>
      <c r="D76" s="109"/>
      <c r="E76" s="206" t="s">
        <v>198</v>
      </c>
      <c r="F76" s="334" t="s">
        <v>198</v>
      </c>
      <c r="G76" s="84" t="s">
        <v>83</v>
      </c>
      <c r="H76" s="245">
        <v>55900</v>
      </c>
      <c r="I76" s="236" t="s">
        <v>228</v>
      </c>
      <c r="J76" s="246">
        <v>860</v>
      </c>
      <c r="K76" s="235" t="s">
        <v>228</v>
      </c>
      <c r="L76" s="247"/>
      <c r="M76" s="235" t="s">
        <v>228</v>
      </c>
      <c r="N76" s="744"/>
      <c r="O76" s="747"/>
      <c r="P76" s="235"/>
      <c r="Q76" s="98"/>
      <c r="R76" s="717"/>
    </row>
    <row r="77" spans="1:18" s="24" customFormat="1" ht="15" customHeight="1" x14ac:dyDescent="0.2">
      <c r="A77" s="55" t="s">
        <v>559</v>
      </c>
      <c r="B77" s="17" t="s">
        <v>10</v>
      </c>
      <c r="C77" s="16"/>
      <c r="D77" s="109"/>
      <c r="E77" s="206" t="s">
        <v>198</v>
      </c>
      <c r="F77" s="334" t="s">
        <v>198</v>
      </c>
      <c r="G77" s="84" t="s">
        <v>83</v>
      </c>
      <c r="H77" s="245">
        <v>47300</v>
      </c>
      <c r="I77" s="236" t="s">
        <v>228</v>
      </c>
      <c r="J77" s="246">
        <v>860</v>
      </c>
      <c r="K77" s="235" t="s">
        <v>228</v>
      </c>
      <c r="L77" s="247"/>
      <c r="M77" s="235" t="s">
        <v>228</v>
      </c>
      <c r="N77" s="744"/>
      <c r="O77" s="747"/>
      <c r="P77" s="235"/>
      <c r="Q77" s="98"/>
      <c r="R77" s="717"/>
    </row>
    <row r="78" spans="1:18" s="98" customFormat="1" ht="15" customHeight="1" x14ac:dyDescent="0.2">
      <c r="A78" s="280">
        <v>5.5</v>
      </c>
      <c r="B78" s="38" t="s">
        <v>630</v>
      </c>
      <c r="C78" s="8"/>
      <c r="D78" s="281"/>
      <c r="E78" s="206">
        <v>2</v>
      </c>
      <c r="F78" s="334">
        <v>2</v>
      </c>
      <c r="G78" s="84" t="s">
        <v>29</v>
      </c>
      <c r="H78" s="408">
        <v>4730</v>
      </c>
      <c r="I78" s="409">
        <f t="shared" ref="I78:I79" si="29">H78*E78</f>
        <v>9460</v>
      </c>
      <c r="J78" s="246">
        <v>860</v>
      </c>
      <c r="K78" s="408">
        <f t="shared" ref="K78:K79" si="30">J78*E78</f>
        <v>1720</v>
      </c>
      <c r="L78" s="408">
        <f t="shared" ref="L78:L79" si="31">J78+H78</f>
        <v>5590</v>
      </c>
      <c r="M78" s="408">
        <f t="shared" ref="M78:M79" si="32">K78+I78</f>
        <v>11180</v>
      </c>
      <c r="N78" s="745"/>
      <c r="O78" s="748"/>
      <c r="P78" s="284"/>
      <c r="R78" s="717"/>
    </row>
    <row r="79" spans="1:18" s="23" customFormat="1" ht="15" customHeight="1" thickBot="1" x14ac:dyDescent="0.25">
      <c r="A79" s="280">
        <v>5.6</v>
      </c>
      <c r="B79" s="38" t="s">
        <v>508</v>
      </c>
      <c r="C79" s="151"/>
      <c r="D79" s="28"/>
      <c r="E79" s="206">
        <v>4</v>
      </c>
      <c r="F79" s="334">
        <v>4</v>
      </c>
      <c r="G79" s="84" t="s">
        <v>29</v>
      </c>
      <c r="H79" s="408">
        <v>3010</v>
      </c>
      <c r="I79" s="409">
        <f t="shared" si="29"/>
        <v>12040</v>
      </c>
      <c r="J79" s="246">
        <v>860</v>
      </c>
      <c r="K79" s="408">
        <f t="shared" si="30"/>
        <v>3440</v>
      </c>
      <c r="L79" s="408">
        <f t="shared" si="31"/>
        <v>3870</v>
      </c>
      <c r="M79" s="408">
        <f t="shared" si="32"/>
        <v>15480</v>
      </c>
      <c r="N79" s="657"/>
      <c r="O79" s="657"/>
      <c r="P79" s="235"/>
      <c r="Q79" s="98"/>
      <c r="R79" s="717"/>
    </row>
    <row r="80" spans="1:18" s="98" customFormat="1" ht="15" customHeight="1" thickBot="1" x14ac:dyDescent="0.25">
      <c r="A80" s="818" t="s">
        <v>147</v>
      </c>
      <c r="B80" s="819"/>
      <c r="C80" s="819"/>
      <c r="D80" s="819"/>
      <c r="E80" s="819"/>
      <c r="F80" s="820"/>
      <c r="G80" s="821"/>
      <c r="H80" s="288"/>
      <c r="I80" s="289"/>
      <c r="J80" s="290">
        <v>0</v>
      </c>
      <c r="K80" s="289"/>
      <c r="L80" s="290"/>
      <c r="M80" s="291"/>
      <c r="N80" s="658"/>
      <c r="O80" s="658"/>
      <c r="P80" s="291"/>
      <c r="R80" s="717"/>
    </row>
    <row r="81" spans="1:18" s="23" customFormat="1" ht="15" customHeight="1" x14ac:dyDescent="0.2">
      <c r="A81" s="61">
        <v>6</v>
      </c>
      <c r="B81" s="39" t="s">
        <v>583</v>
      </c>
      <c r="C81" s="2"/>
      <c r="D81" s="9"/>
      <c r="E81" s="43"/>
      <c r="F81" s="43"/>
      <c r="G81" s="43"/>
      <c r="H81" s="245"/>
      <c r="I81" s="187"/>
      <c r="J81" s="246">
        <v>0</v>
      </c>
      <c r="K81" s="187"/>
      <c r="L81" s="187"/>
      <c r="M81" s="81"/>
      <c r="N81" s="666"/>
      <c r="O81" s="666"/>
      <c r="P81" s="81"/>
      <c r="Q81" s="98"/>
      <c r="R81" s="717"/>
    </row>
    <row r="82" spans="1:18" s="23" customFormat="1" ht="15" customHeight="1" x14ac:dyDescent="0.2">
      <c r="A82" s="55">
        <v>6.1</v>
      </c>
      <c r="B82" s="237" t="s">
        <v>505</v>
      </c>
      <c r="C82" s="237"/>
      <c r="D82" s="237"/>
      <c r="E82" s="711">
        <v>11360</v>
      </c>
      <c r="F82" s="332">
        <v>10900</v>
      </c>
      <c r="G82" s="21" t="s">
        <v>606</v>
      </c>
      <c r="H82" s="408">
        <v>395.6</v>
      </c>
      <c r="I82" s="409">
        <f t="shared" ref="I82:I83" si="33">H82*E82</f>
        <v>4494016</v>
      </c>
      <c r="J82" s="408">
        <v>81.7</v>
      </c>
      <c r="K82" s="408">
        <f t="shared" ref="K82:K83" si="34">J82*E82</f>
        <v>928112</v>
      </c>
      <c r="L82" s="408">
        <f t="shared" ref="L82:L83" si="35">J82+H82</f>
        <v>477.3</v>
      </c>
      <c r="M82" s="408">
        <f t="shared" ref="M82:M83" si="36">K82+I82</f>
        <v>5422128</v>
      </c>
      <c r="N82" s="753" t="s">
        <v>779</v>
      </c>
      <c r="O82" s="746" t="s">
        <v>773</v>
      </c>
      <c r="P82" s="235"/>
      <c r="Q82" s="98"/>
      <c r="R82" s="717"/>
    </row>
    <row r="83" spans="1:18" s="23" customFormat="1" ht="24.75" customHeight="1" x14ac:dyDescent="0.2">
      <c r="A83" s="55">
        <v>6.2</v>
      </c>
      <c r="B83" s="237" t="s">
        <v>506</v>
      </c>
      <c r="C83" s="237"/>
      <c r="D83" s="237"/>
      <c r="E83" s="711">
        <v>220</v>
      </c>
      <c r="F83" s="334">
        <v>200</v>
      </c>
      <c r="G83" s="21" t="s">
        <v>606</v>
      </c>
      <c r="H83" s="408">
        <v>326.8</v>
      </c>
      <c r="I83" s="409">
        <f t="shared" si="33"/>
        <v>71896</v>
      </c>
      <c r="J83" s="408">
        <v>77.400000000000006</v>
      </c>
      <c r="K83" s="408">
        <f t="shared" si="34"/>
        <v>17028</v>
      </c>
      <c r="L83" s="408">
        <f t="shared" si="35"/>
        <v>404.20000000000005</v>
      </c>
      <c r="M83" s="408">
        <f t="shared" si="36"/>
        <v>88924</v>
      </c>
      <c r="N83" s="754"/>
      <c r="O83" s="747"/>
      <c r="P83" s="235"/>
      <c r="Q83" s="98"/>
      <c r="R83" s="717"/>
    </row>
    <row r="84" spans="1:18" s="24" customFormat="1" ht="15" customHeight="1" x14ac:dyDescent="0.2">
      <c r="A84" s="62">
        <v>6.3</v>
      </c>
      <c r="B84" s="25" t="s">
        <v>584</v>
      </c>
      <c r="C84" s="8"/>
      <c r="D84" s="26"/>
      <c r="E84" s="174"/>
      <c r="F84" s="174"/>
      <c r="G84" s="27"/>
      <c r="H84" s="245">
        <v>0</v>
      </c>
      <c r="I84" s="27"/>
      <c r="J84" s="246">
        <v>0</v>
      </c>
      <c r="K84" s="47"/>
      <c r="L84" s="47"/>
      <c r="M84" s="53"/>
      <c r="N84" s="657"/>
      <c r="O84" s="657"/>
      <c r="P84" s="53"/>
      <c r="Q84" s="98"/>
      <c r="R84" s="717"/>
    </row>
    <row r="85" spans="1:18" s="23" customFormat="1" ht="15" customHeight="1" x14ac:dyDescent="0.2">
      <c r="A85" s="55" t="s">
        <v>560</v>
      </c>
      <c r="B85" s="17" t="s">
        <v>20</v>
      </c>
      <c r="C85" s="16"/>
      <c r="D85" s="26"/>
      <c r="E85" s="206" t="s">
        <v>198</v>
      </c>
      <c r="F85" s="334" t="s">
        <v>198</v>
      </c>
      <c r="G85" s="84" t="s">
        <v>22</v>
      </c>
      <c r="H85" s="245">
        <v>1032</v>
      </c>
      <c r="I85" s="236" t="s">
        <v>228</v>
      </c>
      <c r="J85" s="246">
        <v>223.6</v>
      </c>
      <c r="K85" s="235" t="s">
        <v>228</v>
      </c>
      <c r="L85" s="247"/>
      <c r="M85" s="235" t="s">
        <v>228</v>
      </c>
      <c r="N85" s="753" t="s">
        <v>779</v>
      </c>
      <c r="O85" s="746" t="s">
        <v>773</v>
      </c>
      <c r="P85" s="235"/>
      <c r="Q85" s="98"/>
      <c r="R85" s="717"/>
    </row>
    <row r="86" spans="1:18" s="23" customFormat="1" ht="15" customHeight="1" x14ac:dyDescent="0.2">
      <c r="A86" s="55" t="s">
        <v>561</v>
      </c>
      <c r="B86" s="17" t="s">
        <v>603</v>
      </c>
      <c r="C86" s="16"/>
      <c r="D86" s="26"/>
      <c r="E86" s="206" t="s">
        <v>198</v>
      </c>
      <c r="F86" s="334" t="s">
        <v>198</v>
      </c>
      <c r="G86" s="84" t="s">
        <v>22</v>
      </c>
      <c r="H86" s="245">
        <v>817</v>
      </c>
      <c r="I86" s="236" t="s">
        <v>228</v>
      </c>
      <c r="J86" s="246">
        <v>189.2</v>
      </c>
      <c r="K86" s="235" t="s">
        <v>228</v>
      </c>
      <c r="L86" s="247"/>
      <c r="M86" s="235" t="s">
        <v>228</v>
      </c>
      <c r="N86" s="754"/>
      <c r="O86" s="747"/>
      <c r="P86" s="235"/>
      <c r="Q86" s="98"/>
      <c r="R86" s="717"/>
    </row>
    <row r="87" spans="1:18" s="23" customFormat="1" ht="15" customHeight="1" x14ac:dyDescent="0.2">
      <c r="A87" s="55" t="s">
        <v>562</v>
      </c>
      <c r="B87" s="17" t="s">
        <v>604</v>
      </c>
      <c r="C87" s="16"/>
      <c r="D87" s="26"/>
      <c r="E87" s="712">
        <v>120</v>
      </c>
      <c r="F87" s="334">
        <v>105</v>
      </c>
      <c r="G87" s="84" t="s">
        <v>22</v>
      </c>
      <c r="H87" s="408">
        <v>683.7</v>
      </c>
      <c r="I87" s="409">
        <f>H87*E87</f>
        <v>82044</v>
      </c>
      <c r="J87" s="246">
        <v>189.2</v>
      </c>
      <c r="K87" s="408">
        <f>J87*E87</f>
        <v>22704</v>
      </c>
      <c r="L87" s="408">
        <f>J87+H87</f>
        <v>872.90000000000009</v>
      </c>
      <c r="M87" s="408">
        <f>K87+I87</f>
        <v>104748</v>
      </c>
      <c r="N87" s="657"/>
      <c r="O87" s="657"/>
      <c r="P87" s="235"/>
      <c r="Q87" s="98"/>
      <c r="R87" s="717"/>
    </row>
    <row r="88" spans="1:18" s="23" customFormat="1" ht="15" customHeight="1" x14ac:dyDescent="0.2">
      <c r="A88" s="55" t="s">
        <v>563</v>
      </c>
      <c r="B88" s="17" t="s">
        <v>10</v>
      </c>
      <c r="C88" s="16"/>
      <c r="D88" s="8"/>
      <c r="E88" s="206" t="s">
        <v>198</v>
      </c>
      <c r="F88" s="334" t="s">
        <v>198</v>
      </c>
      <c r="G88" s="84" t="s">
        <v>22</v>
      </c>
      <c r="H88" s="245">
        <v>593.4</v>
      </c>
      <c r="I88" s="236" t="s">
        <v>228</v>
      </c>
      <c r="J88" s="246">
        <v>189.2</v>
      </c>
      <c r="K88" s="235" t="s">
        <v>228</v>
      </c>
      <c r="L88" s="247"/>
      <c r="M88" s="235" t="s">
        <v>228</v>
      </c>
      <c r="N88" s="657"/>
      <c r="O88" s="657"/>
      <c r="P88" s="235"/>
      <c r="Q88" s="98"/>
      <c r="R88" s="717"/>
    </row>
    <row r="89" spans="1:18" s="23" customFormat="1" ht="15" customHeight="1" x14ac:dyDescent="0.2">
      <c r="A89" s="62">
        <v>6.4</v>
      </c>
      <c r="B89" s="25" t="s">
        <v>585</v>
      </c>
      <c r="C89" s="8"/>
      <c r="D89" s="239"/>
      <c r="E89" s="27"/>
      <c r="F89" s="27"/>
      <c r="G89" s="27"/>
      <c r="H89" s="245">
        <v>0</v>
      </c>
      <c r="I89" s="74"/>
      <c r="J89" s="246">
        <v>0</v>
      </c>
      <c r="K89" s="74"/>
      <c r="L89" s="240"/>
      <c r="M89" s="82"/>
      <c r="N89" s="463"/>
      <c r="O89" s="463"/>
      <c r="P89" s="82"/>
      <c r="Q89" s="98"/>
      <c r="R89" s="717"/>
    </row>
    <row r="90" spans="1:18" s="23" customFormat="1" ht="15" customHeight="1" x14ac:dyDescent="0.2">
      <c r="A90" s="55" t="s">
        <v>564</v>
      </c>
      <c r="B90" s="17" t="s">
        <v>604</v>
      </c>
      <c r="C90" s="16"/>
      <c r="D90" s="239"/>
      <c r="E90" s="712">
        <v>80</v>
      </c>
      <c r="F90" s="334">
        <v>70</v>
      </c>
      <c r="G90" s="84" t="s">
        <v>22</v>
      </c>
      <c r="H90" s="408">
        <v>584.79999999999995</v>
      </c>
      <c r="I90" s="409">
        <f>H90*E90</f>
        <v>46784</v>
      </c>
      <c r="J90" s="408">
        <v>86</v>
      </c>
      <c r="K90" s="408">
        <f>J90*E90</f>
        <v>6880</v>
      </c>
      <c r="L90" s="408">
        <f>J90+H90</f>
        <v>670.8</v>
      </c>
      <c r="M90" s="408">
        <f>K90+I90</f>
        <v>53664</v>
      </c>
      <c r="N90" s="753" t="s">
        <v>779</v>
      </c>
      <c r="O90" s="746" t="s">
        <v>773</v>
      </c>
      <c r="P90" s="235"/>
      <c r="Q90" s="98"/>
      <c r="R90" s="717"/>
    </row>
    <row r="91" spans="1:18" s="23" customFormat="1" ht="15" customHeight="1" x14ac:dyDescent="0.2">
      <c r="A91" s="55" t="s">
        <v>565</v>
      </c>
      <c r="B91" s="17" t="s">
        <v>10</v>
      </c>
      <c r="C91" s="16"/>
      <c r="D91" s="239"/>
      <c r="E91" s="206" t="s">
        <v>198</v>
      </c>
      <c r="F91" s="334" t="s">
        <v>198</v>
      </c>
      <c r="G91" s="84" t="s">
        <v>22</v>
      </c>
      <c r="H91" s="245">
        <v>498.8</v>
      </c>
      <c r="I91" s="236" t="s">
        <v>228</v>
      </c>
      <c r="J91" s="408">
        <v>86</v>
      </c>
      <c r="K91" s="235" t="s">
        <v>228</v>
      </c>
      <c r="L91" s="247"/>
      <c r="M91" s="235" t="s">
        <v>228</v>
      </c>
      <c r="N91" s="754"/>
      <c r="O91" s="747"/>
      <c r="P91" s="235"/>
      <c r="Q91" s="98"/>
      <c r="R91" s="717"/>
    </row>
    <row r="92" spans="1:18" s="4" customFormat="1" ht="15" customHeight="1" x14ac:dyDescent="0.2">
      <c r="A92" s="254">
        <v>6.5</v>
      </c>
      <c r="B92" s="40" t="s">
        <v>89</v>
      </c>
      <c r="C92" s="255"/>
      <c r="D92" s="27"/>
      <c r="E92" s="185"/>
      <c r="F92" s="185"/>
      <c r="G92" s="48"/>
      <c r="H92" s="185">
        <v>0</v>
      </c>
      <c r="I92" s="48"/>
      <c r="J92" s="256">
        <v>0</v>
      </c>
      <c r="K92" s="150"/>
      <c r="M92" s="295"/>
      <c r="N92" s="667"/>
      <c r="O92" s="667"/>
      <c r="P92" s="295"/>
      <c r="Q92" s="98"/>
      <c r="R92" s="717"/>
    </row>
    <row r="93" spans="1:18" s="23" customFormat="1" ht="15" customHeight="1" x14ac:dyDescent="0.2">
      <c r="A93" s="55" t="s">
        <v>566</v>
      </c>
      <c r="B93" s="17" t="s">
        <v>20</v>
      </c>
      <c r="C93" s="16"/>
      <c r="D93" s="239"/>
      <c r="E93" s="206" t="s">
        <v>198</v>
      </c>
      <c r="F93" s="334" t="s">
        <v>198</v>
      </c>
      <c r="G93" s="84" t="s">
        <v>83</v>
      </c>
      <c r="H93" s="245">
        <v>0</v>
      </c>
      <c r="I93" s="236" t="s">
        <v>228</v>
      </c>
      <c r="J93" s="246">
        <v>0</v>
      </c>
      <c r="K93" s="235" t="s">
        <v>228</v>
      </c>
      <c r="L93" s="247"/>
      <c r="M93" s="235" t="s">
        <v>228</v>
      </c>
      <c r="N93" s="657"/>
      <c r="O93" s="657"/>
      <c r="P93" s="235"/>
      <c r="Q93" s="98"/>
      <c r="R93" s="717"/>
    </row>
    <row r="94" spans="1:18" s="23" customFormat="1" ht="15" customHeight="1" x14ac:dyDescent="0.2">
      <c r="A94" s="55" t="s">
        <v>567</v>
      </c>
      <c r="B94" s="17" t="s">
        <v>603</v>
      </c>
      <c r="C94" s="16"/>
      <c r="D94" s="239"/>
      <c r="E94" s="206" t="s">
        <v>198</v>
      </c>
      <c r="F94" s="334" t="s">
        <v>198</v>
      </c>
      <c r="G94" s="84" t="s">
        <v>83</v>
      </c>
      <c r="H94" s="245">
        <v>2580</v>
      </c>
      <c r="I94" s="236" t="s">
        <v>228</v>
      </c>
      <c r="J94" s="246">
        <v>1720</v>
      </c>
      <c r="K94" s="235" t="s">
        <v>228</v>
      </c>
      <c r="L94" s="247"/>
      <c r="M94" s="235" t="s">
        <v>228</v>
      </c>
      <c r="N94" s="657"/>
      <c r="O94" s="657"/>
      <c r="P94" s="235"/>
      <c r="Q94" s="98"/>
      <c r="R94" s="717"/>
    </row>
    <row r="95" spans="1:18" s="23" customFormat="1" ht="15" customHeight="1" x14ac:dyDescent="0.2">
      <c r="A95" s="55" t="s">
        <v>568</v>
      </c>
      <c r="B95" s="17" t="s">
        <v>604</v>
      </c>
      <c r="C95" s="16"/>
      <c r="D95" s="239"/>
      <c r="E95" s="206">
        <v>10</v>
      </c>
      <c r="F95" s="334">
        <v>10</v>
      </c>
      <c r="G95" s="84" t="s">
        <v>29</v>
      </c>
      <c r="H95" s="408">
        <v>1290</v>
      </c>
      <c r="I95" s="409">
        <f>H95*E95</f>
        <v>12900</v>
      </c>
      <c r="J95" s="408">
        <v>860</v>
      </c>
      <c r="K95" s="408">
        <f>J95*E95</f>
        <v>8600</v>
      </c>
      <c r="L95" s="408">
        <f>J95+H95</f>
        <v>2150</v>
      </c>
      <c r="M95" s="408">
        <f>K95+I95</f>
        <v>21500</v>
      </c>
      <c r="N95" s="657"/>
      <c r="O95" s="657"/>
      <c r="P95" s="235"/>
      <c r="Q95" s="98"/>
      <c r="R95" s="717"/>
    </row>
    <row r="96" spans="1:18" s="23" customFormat="1" ht="15" customHeight="1" thickBot="1" x14ac:dyDescent="0.25">
      <c r="A96" s="55" t="s">
        <v>569</v>
      </c>
      <c r="B96" s="17" t="s">
        <v>10</v>
      </c>
      <c r="C96" s="16"/>
      <c r="D96" s="239"/>
      <c r="E96" s="206" t="s">
        <v>198</v>
      </c>
      <c r="F96" s="334" t="s">
        <v>198</v>
      </c>
      <c r="G96" s="84" t="s">
        <v>83</v>
      </c>
      <c r="H96" s="408">
        <v>1290</v>
      </c>
      <c r="I96" s="236" t="s">
        <v>228</v>
      </c>
      <c r="J96" s="408">
        <v>860</v>
      </c>
      <c r="K96" s="235" t="s">
        <v>228</v>
      </c>
      <c r="L96" s="247"/>
      <c r="M96" s="235" t="s">
        <v>228</v>
      </c>
      <c r="N96" s="657"/>
      <c r="O96" s="657"/>
      <c r="P96" s="235"/>
      <c r="Q96" s="98"/>
      <c r="R96" s="717"/>
    </row>
    <row r="97" spans="1:18" s="98" customFormat="1" ht="15" customHeight="1" thickBot="1" x14ac:dyDescent="0.25">
      <c r="A97" s="818" t="s">
        <v>147</v>
      </c>
      <c r="B97" s="819"/>
      <c r="C97" s="819"/>
      <c r="D97" s="819"/>
      <c r="E97" s="819"/>
      <c r="F97" s="820"/>
      <c r="G97" s="821"/>
      <c r="H97" s="288"/>
      <c r="I97" s="289"/>
      <c r="J97" s="290"/>
      <c r="K97" s="289"/>
      <c r="L97" s="290"/>
      <c r="M97" s="291"/>
      <c r="N97" s="658"/>
      <c r="O97" s="658"/>
      <c r="P97" s="291"/>
      <c r="R97" s="717"/>
    </row>
    <row r="98" spans="1:18" s="23" customFormat="1" ht="15" customHeight="1" x14ac:dyDescent="0.2">
      <c r="A98" s="61">
        <v>7</v>
      </c>
      <c r="B98" s="19" t="s">
        <v>53</v>
      </c>
      <c r="C98" s="188"/>
      <c r="D98" s="9"/>
      <c r="E98" s="44"/>
      <c r="F98" s="44"/>
      <c r="G98" s="44"/>
      <c r="H98" s="245"/>
      <c r="I98" s="189"/>
      <c r="J98" s="246"/>
      <c r="K98" s="189"/>
      <c r="L98" s="189"/>
      <c r="M98" s="80"/>
      <c r="N98" s="463"/>
      <c r="O98" s="463"/>
      <c r="P98" s="80"/>
      <c r="Q98" s="98"/>
      <c r="R98" s="717"/>
    </row>
    <row r="99" spans="1:18" s="23" customFormat="1" ht="23.25" customHeight="1" x14ac:dyDescent="0.2">
      <c r="A99" s="164">
        <v>7.1</v>
      </c>
      <c r="B99" s="825" t="s">
        <v>611</v>
      </c>
      <c r="C99" s="826"/>
      <c r="D99" s="827"/>
      <c r="E99" s="206">
        <v>160</v>
      </c>
      <c r="F99" s="334">
        <v>160</v>
      </c>
      <c r="G99" s="84" t="s">
        <v>22</v>
      </c>
      <c r="H99" s="408">
        <v>1290</v>
      </c>
      <c r="I99" s="409">
        <f t="shared" ref="I99:I104" si="37">H99*E99</f>
        <v>206400</v>
      </c>
      <c r="J99" s="408">
        <v>154.80000000000001</v>
      </c>
      <c r="K99" s="408">
        <f t="shared" ref="K99:K104" si="38">J99*E99</f>
        <v>24768</v>
      </c>
      <c r="L99" s="408">
        <f t="shared" ref="L99:L105" si="39">J99+H99</f>
        <v>1444.8</v>
      </c>
      <c r="M99" s="408">
        <f t="shared" ref="M99:M104" si="40">K99+I99</f>
        <v>231168</v>
      </c>
      <c r="N99" s="743" t="s">
        <v>805</v>
      </c>
      <c r="O99" s="746" t="s">
        <v>773</v>
      </c>
      <c r="P99" s="235"/>
      <c r="Q99" s="98"/>
      <c r="R99" s="717"/>
    </row>
    <row r="100" spans="1:18" s="23" customFormat="1" ht="21.75" customHeight="1" x14ac:dyDescent="0.2">
      <c r="A100" s="164">
        <v>7.2</v>
      </c>
      <c r="B100" s="825" t="s">
        <v>612</v>
      </c>
      <c r="C100" s="826"/>
      <c r="D100" s="827"/>
      <c r="E100" s="206">
        <v>160</v>
      </c>
      <c r="F100" s="334">
        <v>160</v>
      </c>
      <c r="G100" s="84" t="s">
        <v>22</v>
      </c>
      <c r="H100" s="408">
        <v>1290</v>
      </c>
      <c r="I100" s="409">
        <f t="shared" si="37"/>
        <v>206400</v>
      </c>
      <c r="J100" s="408">
        <v>154.80000000000001</v>
      </c>
      <c r="K100" s="408">
        <f t="shared" si="38"/>
        <v>24768</v>
      </c>
      <c r="L100" s="408">
        <f t="shared" si="39"/>
        <v>1444.8</v>
      </c>
      <c r="M100" s="408">
        <f t="shared" si="40"/>
        <v>231168</v>
      </c>
      <c r="N100" s="744"/>
      <c r="O100" s="747"/>
      <c r="P100" s="235"/>
      <c r="Q100" s="98"/>
      <c r="R100" s="717"/>
    </row>
    <row r="101" spans="1:18" s="23" customFormat="1" ht="15" customHeight="1" x14ac:dyDescent="0.2">
      <c r="A101" s="164">
        <v>7.3</v>
      </c>
      <c r="B101" s="38" t="s">
        <v>638</v>
      </c>
      <c r="C101" s="8"/>
      <c r="D101" s="26"/>
      <c r="E101" s="206">
        <v>2</v>
      </c>
      <c r="F101" s="334">
        <v>2</v>
      </c>
      <c r="G101" s="84" t="s">
        <v>29</v>
      </c>
      <c r="H101" s="408">
        <v>12470</v>
      </c>
      <c r="I101" s="409">
        <f t="shared" si="37"/>
        <v>24940</v>
      </c>
      <c r="J101" s="408">
        <v>860</v>
      </c>
      <c r="K101" s="408">
        <f t="shared" si="38"/>
        <v>1720</v>
      </c>
      <c r="L101" s="408">
        <f t="shared" si="39"/>
        <v>13330</v>
      </c>
      <c r="M101" s="408">
        <f t="shared" si="40"/>
        <v>26660</v>
      </c>
      <c r="N101" s="744"/>
      <c r="O101" s="747"/>
      <c r="P101" s="235"/>
      <c r="Q101" s="98"/>
      <c r="R101" s="717"/>
    </row>
    <row r="102" spans="1:18" s="23" customFormat="1" ht="15" customHeight="1" x14ac:dyDescent="0.2">
      <c r="A102" s="164">
        <v>7.4</v>
      </c>
      <c r="B102" s="3" t="s">
        <v>639</v>
      </c>
      <c r="C102" s="16"/>
      <c r="D102" s="109"/>
      <c r="E102" s="206">
        <v>1</v>
      </c>
      <c r="F102" s="334">
        <v>1</v>
      </c>
      <c r="G102" s="84" t="s">
        <v>83</v>
      </c>
      <c r="H102" s="408">
        <v>81700</v>
      </c>
      <c r="I102" s="409">
        <f t="shared" si="37"/>
        <v>81700</v>
      </c>
      <c r="J102" s="408">
        <v>2580</v>
      </c>
      <c r="K102" s="408">
        <f t="shared" si="38"/>
        <v>2580</v>
      </c>
      <c r="L102" s="408">
        <f t="shared" si="39"/>
        <v>84280</v>
      </c>
      <c r="M102" s="408">
        <f t="shared" si="40"/>
        <v>84280</v>
      </c>
      <c r="N102" s="744"/>
      <c r="O102" s="747"/>
      <c r="P102" s="235"/>
      <c r="Q102" s="98"/>
      <c r="R102" s="717"/>
    </row>
    <row r="103" spans="1:18" s="23" customFormat="1" ht="15" customHeight="1" x14ac:dyDescent="0.2">
      <c r="A103" s="164">
        <v>7.5</v>
      </c>
      <c r="B103" s="17" t="s">
        <v>640</v>
      </c>
      <c r="C103" s="16"/>
      <c r="D103" s="109"/>
      <c r="E103" s="206">
        <v>118</v>
      </c>
      <c r="F103" s="334">
        <v>118</v>
      </c>
      <c r="G103" s="84" t="s">
        <v>29</v>
      </c>
      <c r="H103" s="408">
        <v>10320</v>
      </c>
      <c r="I103" s="409">
        <f t="shared" si="37"/>
        <v>1217760</v>
      </c>
      <c r="J103" s="408">
        <v>860</v>
      </c>
      <c r="K103" s="408">
        <f t="shared" si="38"/>
        <v>101480</v>
      </c>
      <c r="L103" s="408">
        <f t="shared" si="39"/>
        <v>11180</v>
      </c>
      <c r="M103" s="408">
        <f t="shared" si="40"/>
        <v>1319240</v>
      </c>
      <c r="N103" s="744"/>
      <c r="O103" s="747"/>
      <c r="P103" s="235"/>
      <c r="Q103" s="98"/>
      <c r="R103" s="717"/>
    </row>
    <row r="104" spans="1:18" s="23" customFormat="1" ht="15" customHeight="1" x14ac:dyDescent="0.2">
      <c r="A104" s="164">
        <v>7.6</v>
      </c>
      <c r="B104" s="17" t="s">
        <v>641</v>
      </c>
      <c r="C104" s="16"/>
      <c r="D104" s="109"/>
      <c r="E104" s="206">
        <v>7</v>
      </c>
      <c r="F104" s="334">
        <v>7</v>
      </c>
      <c r="G104" s="84" t="s">
        <v>29</v>
      </c>
      <c r="H104" s="408">
        <v>10320</v>
      </c>
      <c r="I104" s="409">
        <f t="shared" si="37"/>
        <v>72240</v>
      </c>
      <c r="J104" s="408">
        <v>860</v>
      </c>
      <c r="K104" s="408">
        <f t="shared" si="38"/>
        <v>6020</v>
      </c>
      <c r="L104" s="408">
        <f t="shared" si="39"/>
        <v>11180</v>
      </c>
      <c r="M104" s="408">
        <f t="shared" si="40"/>
        <v>78260</v>
      </c>
      <c r="N104" s="744"/>
      <c r="O104" s="747"/>
      <c r="P104" s="235"/>
      <c r="Q104" s="98"/>
      <c r="R104" s="717"/>
    </row>
    <row r="105" spans="1:18" s="23" customFormat="1" ht="15" customHeight="1" x14ac:dyDescent="0.2">
      <c r="A105" s="164">
        <v>7.7</v>
      </c>
      <c r="B105" s="17" t="s">
        <v>642</v>
      </c>
      <c r="C105" s="16"/>
      <c r="D105" s="109"/>
      <c r="E105" s="206" t="s">
        <v>198</v>
      </c>
      <c r="F105" s="334" t="s">
        <v>198</v>
      </c>
      <c r="G105" s="84" t="s">
        <v>83</v>
      </c>
      <c r="H105" s="245">
        <v>8600</v>
      </c>
      <c r="I105" s="236" t="s">
        <v>228</v>
      </c>
      <c r="J105" s="408">
        <v>860</v>
      </c>
      <c r="K105" s="235" t="s">
        <v>228</v>
      </c>
      <c r="L105" s="247">
        <f t="shared" si="39"/>
        <v>9460</v>
      </c>
      <c r="M105" s="235" t="s">
        <v>228</v>
      </c>
      <c r="N105" s="744"/>
      <c r="O105" s="747"/>
      <c r="P105" s="235"/>
      <c r="Q105" s="98"/>
      <c r="R105" s="717"/>
    </row>
    <row r="106" spans="1:18" s="23" customFormat="1" ht="15" customHeight="1" x14ac:dyDescent="0.2">
      <c r="A106" s="164">
        <v>7.8</v>
      </c>
      <c r="B106" s="17" t="s">
        <v>643</v>
      </c>
      <c r="C106" s="16"/>
      <c r="D106" s="109"/>
      <c r="E106" s="206">
        <v>13</v>
      </c>
      <c r="F106" s="334">
        <v>13</v>
      </c>
      <c r="G106" s="84" t="s">
        <v>29</v>
      </c>
      <c r="H106" s="408">
        <v>9460</v>
      </c>
      <c r="I106" s="409">
        <f t="shared" ref="I106:I107" si="41">H106*E106</f>
        <v>122980</v>
      </c>
      <c r="J106" s="408">
        <v>860</v>
      </c>
      <c r="K106" s="408">
        <f t="shared" ref="K106:K107" si="42">J106*E106</f>
        <v>11180</v>
      </c>
      <c r="L106" s="408">
        <f t="shared" ref="L106:L107" si="43">J106+H106</f>
        <v>10320</v>
      </c>
      <c r="M106" s="408">
        <f t="shared" ref="M106:M107" si="44">K106+I106</f>
        <v>134160</v>
      </c>
      <c r="N106" s="744"/>
      <c r="O106" s="747"/>
      <c r="P106" s="235"/>
      <c r="Q106" s="98"/>
      <c r="R106" s="717"/>
    </row>
    <row r="107" spans="1:18" s="23" customFormat="1" ht="15" customHeight="1" thickBot="1" x14ac:dyDescent="0.25">
      <c r="A107" s="164">
        <v>7.9</v>
      </c>
      <c r="B107" s="17" t="s">
        <v>497</v>
      </c>
      <c r="C107" s="16"/>
      <c r="D107" s="109"/>
      <c r="E107" s="206">
        <v>24</v>
      </c>
      <c r="F107" s="334">
        <v>24</v>
      </c>
      <c r="G107" s="84" t="s">
        <v>29</v>
      </c>
      <c r="H107" s="408">
        <v>3268</v>
      </c>
      <c r="I107" s="409">
        <f t="shared" si="41"/>
        <v>78432</v>
      </c>
      <c r="J107" s="408">
        <v>860</v>
      </c>
      <c r="K107" s="408">
        <f t="shared" si="42"/>
        <v>20640</v>
      </c>
      <c r="L107" s="408">
        <f t="shared" si="43"/>
        <v>4128</v>
      </c>
      <c r="M107" s="408">
        <f t="shared" si="44"/>
        <v>99072</v>
      </c>
      <c r="N107" s="744"/>
      <c r="O107" s="747"/>
      <c r="P107" s="235"/>
      <c r="Q107" s="98"/>
      <c r="R107" s="717"/>
    </row>
    <row r="108" spans="1:18" s="98" customFormat="1" ht="15" customHeight="1" thickBot="1" x14ac:dyDescent="0.25">
      <c r="A108" s="818" t="s">
        <v>147</v>
      </c>
      <c r="B108" s="819"/>
      <c r="C108" s="819"/>
      <c r="D108" s="819"/>
      <c r="E108" s="819"/>
      <c r="F108" s="820"/>
      <c r="G108" s="821"/>
      <c r="H108" s="288"/>
      <c r="I108" s="289"/>
      <c r="J108" s="290"/>
      <c r="K108" s="289"/>
      <c r="L108" s="290"/>
      <c r="M108" s="291"/>
      <c r="N108" s="752"/>
      <c r="O108" s="751"/>
      <c r="P108" s="291"/>
      <c r="R108" s="717"/>
    </row>
    <row r="109" spans="1:18" ht="15" customHeight="1" thickBot="1" x14ac:dyDescent="0.25">
      <c r="A109" s="61">
        <v>8</v>
      </c>
      <c r="B109" s="37" t="s">
        <v>656</v>
      </c>
      <c r="C109" s="78"/>
      <c r="D109" s="78"/>
      <c r="E109" s="171"/>
      <c r="F109" s="171"/>
      <c r="G109" s="171"/>
      <c r="H109" s="245"/>
      <c r="I109" s="171"/>
      <c r="J109" s="246"/>
      <c r="K109" s="172"/>
      <c r="L109" s="172"/>
      <c r="M109" s="173"/>
      <c r="N109" s="658"/>
      <c r="O109" s="658"/>
      <c r="P109" s="173"/>
      <c r="Q109" s="98"/>
      <c r="R109" s="717"/>
    </row>
    <row r="110" spans="1:18" s="23" customFormat="1" ht="48" customHeight="1" x14ac:dyDescent="0.2">
      <c r="A110" s="56">
        <v>8.1</v>
      </c>
      <c r="B110" s="822" t="s">
        <v>634</v>
      </c>
      <c r="C110" s="823"/>
      <c r="D110" s="824"/>
      <c r="E110" s="206">
        <v>2</v>
      </c>
      <c r="F110" s="334">
        <v>2</v>
      </c>
      <c r="G110" s="84" t="s">
        <v>29</v>
      </c>
      <c r="H110" s="408">
        <v>2386500</v>
      </c>
      <c r="I110" s="409">
        <f t="shared" ref="I110:I112" si="45">H110*E110</f>
        <v>4773000</v>
      </c>
      <c r="J110" s="408">
        <v>107500</v>
      </c>
      <c r="K110" s="408">
        <f t="shared" ref="K110:K112" si="46">J110*E110</f>
        <v>215000</v>
      </c>
      <c r="L110" s="408">
        <f t="shared" ref="L110:L112" si="47">J110+H110</f>
        <v>2494000</v>
      </c>
      <c r="M110" s="408">
        <f t="shared" ref="M110:M112" si="48">K110+I110</f>
        <v>4988000</v>
      </c>
      <c r="N110" s="701" t="s">
        <v>807</v>
      </c>
      <c r="O110" s="700" t="s">
        <v>780</v>
      </c>
      <c r="P110" s="683" t="s">
        <v>796</v>
      </c>
      <c r="Q110" s="98"/>
      <c r="R110" s="717"/>
    </row>
    <row r="111" spans="1:18" s="23" customFormat="1" ht="44.25" customHeight="1" x14ac:dyDescent="0.2">
      <c r="A111" s="56">
        <v>8.1999999999999993</v>
      </c>
      <c r="B111" s="822" t="s">
        <v>650</v>
      </c>
      <c r="C111" s="823"/>
      <c r="D111" s="824"/>
      <c r="E111" s="206">
        <v>1</v>
      </c>
      <c r="F111" s="334">
        <v>1</v>
      </c>
      <c r="G111" s="84" t="s">
        <v>520</v>
      </c>
      <c r="H111" s="408">
        <v>8600</v>
      </c>
      <c r="I111" s="409">
        <f t="shared" si="45"/>
        <v>8600</v>
      </c>
      <c r="J111" s="408">
        <v>4300</v>
      </c>
      <c r="K111" s="408">
        <f t="shared" si="46"/>
        <v>4300</v>
      </c>
      <c r="L111" s="408">
        <f t="shared" si="47"/>
        <v>12900</v>
      </c>
      <c r="M111" s="408">
        <f t="shared" si="48"/>
        <v>12900</v>
      </c>
      <c r="N111" s="681"/>
      <c r="O111" s="678"/>
      <c r="P111" s="235"/>
      <c r="Q111" s="98"/>
      <c r="R111" s="717"/>
    </row>
    <row r="112" spans="1:18" s="23" customFormat="1" ht="15" customHeight="1" thickBot="1" x14ac:dyDescent="0.25">
      <c r="A112" s="56">
        <v>8.3000000000000007</v>
      </c>
      <c r="B112" s="38" t="s">
        <v>522</v>
      </c>
      <c r="C112" s="151"/>
      <c r="D112" s="28"/>
      <c r="E112" s="206">
        <v>2</v>
      </c>
      <c r="F112" s="334">
        <v>2</v>
      </c>
      <c r="G112" s="84" t="s">
        <v>29</v>
      </c>
      <c r="H112" s="408">
        <v>17200</v>
      </c>
      <c r="I112" s="409">
        <f t="shared" si="45"/>
        <v>34400</v>
      </c>
      <c r="J112" s="408">
        <v>2580</v>
      </c>
      <c r="K112" s="408">
        <f t="shared" si="46"/>
        <v>5160</v>
      </c>
      <c r="L112" s="408">
        <f t="shared" si="47"/>
        <v>19780</v>
      </c>
      <c r="M112" s="408">
        <f t="shared" si="48"/>
        <v>39560</v>
      </c>
      <c r="N112" s="682"/>
      <c r="O112" s="679"/>
      <c r="P112" s="235"/>
      <c r="Q112" s="98"/>
      <c r="R112" s="717"/>
    </row>
    <row r="113" spans="1:18" s="98" customFormat="1" ht="15" customHeight="1" thickBot="1" x14ac:dyDescent="0.25">
      <c r="A113" s="818" t="s">
        <v>147</v>
      </c>
      <c r="B113" s="819"/>
      <c r="C113" s="819"/>
      <c r="D113" s="819"/>
      <c r="E113" s="819"/>
      <c r="F113" s="820"/>
      <c r="G113" s="821"/>
      <c r="H113" s="288">
        <v>0</v>
      </c>
      <c r="I113" s="289"/>
      <c r="J113" s="408">
        <v>0</v>
      </c>
      <c r="K113" s="408"/>
      <c r="L113" s="408"/>
      <c r="M113" s="408"/>
      <c r="N113" s="657"/>
      <c r="O113" s="657"/>
      <c r="P113" s="291"/>
      <c r="R113" s="717"/>
    </row>
    <row r="114" spans="1:18" s="23" customFormat="1" ht="15" customHeight="1" thickBot="1" x14ac:dyDescent="0.25">
      <c r="A114" s="64">
        <v>9</v>
      </c>
      <c r="B114" s="219" t="s">
        <v>48</v>
      </c>
      <c r="C114" s="5"/>
      <c r="D114" s="220"/>
      <c r="E114" s="44"/>
      <c r="F114" s="44"/>
      <c r="G114" s="44"/>
      <c r="H114" s="245">
        <v>0</v>
      </c>
      <c r="I114" s="44"/>
      <c r="J114" s="246">
        <v>0</v>
      </c>
      <c r="K114" s="142"/>
      <c r="L114" s="142"/>
      <c r="M114" s="54"/>
      <c r="N114" s="658"/>
      <c r="O114" s="658"/>
      <c r="P114" s="54"/>
      <c r="Q114" s="98"/>
      <c r="R114" s="717"/>
    </row>
    <row r="115" spans="1:18" s="24" customFormat="1" ht="15" customHeight="1" x14ac:dyDescent="0.2">
      <c r="A115" s="56">
        <v>9.1</v>
      </c>
      <c r="B115" s="38" t="s">
        <v>115</v>
      </c>
      <c r="C115" s="8"/>
      <c r="D115" s="8"/>
      <c r="E115" s="206">
        <v>8</v>
      </c>
      <c r="F115" s="334">
        <v>8</v>
      </c>
      <c r="G115" s="243" t="s">
        <v>163</v>
      </c>
      <c r="H115" s="408">
        <v>9460</v>
      </c>
      <c r="I115" s="409">
        <f t="shared" ref="I115:I117" si="49">H115*E115</f>
        <v>75680</v>
      </c>
      <c r="J115" s="408">
        <v>430</v>
      </c>
      <c r="K115" s="408">
        <f t="shared" ref="K115:K117" si="50">J115*E115</f>
        <v>3440</v>
      </c>
      <c r="L115" s="408">
        <f t="shared" ref="L115:L117" si="51">J115+H115</f>
        <v>9890</v>
      </c>
      <c r="M115" s="408">
        <f t="shared" ref="M115:M117" si="52">K115+I115</f>
        <v>79120</v>
      </c>
      <c r="N115" s="664"/>
      <c r="O115" s="664"/>
      <c r="P115" s="235"/>
      <c r="Q115" s="98"/>
      <c r="R115" s="717"/>
    </row>
    <row r="116" spans="1:18" s="24" customFormat="1" ht="15" customHeight="1" x14ac:dyDescent="0.2">
      <c r="A116" s="56">
        <v>9.1999999999999993</v>
      </c>
      <c r="B116" s="38" t="s">
        <v>116</v>
      </c>
      <c r="C116" s="8"/>
      <c r="D116" s="8"/>
      <c r="E116" s="206">
        <v>8</v>
      </c>
      <c r="F116" s="334">
        <v>8</v>
      </c>
      <c r="G116" s="243" t="s">
        <v>163</v>
      </c>
      <c r="H116" s="408">
        <v>9460</v>
      </c>
      <c r="I116" s="409">
        <f t="shared" si="49"/>
        <v>75680</v>
      </c>
      <c r="J116" s="408">
        <v>860</v>
      </c>
      <c r="K116" s="408">
        <f t="shared" si="50"/>
        <v>6880</v>
      </c>
      <c r="L116" s="408">
        <f t="shared" si="51"/>
        <v>10320</v>
      </c>
      <c r="M116" s="408">
        <f t="shared" si="52"/>
        <v>82560</v>
      </c>
      <c r="N116" s="749" t="s">
        <v>781</v>
      </c>
      <c r="O116" s="746" t="s">
        <v>774</v>
      </c>
      <c r="P116" s="235"/>
      <c r="Q116" s="98"/>
      <c r="R116" s="717"/>
    </row>
    <row r="117" spans="1:18" s="24" customFormat="1" ht="15" customHeight="1" thickBot="1" x14ac:dyDescent="0.25">
      <c r="A117" s="56">
        <v>9.3000000000000007</v>
      </c>
      <c r="B117" s="38" t="s">
        <v>117</v>
      </c>
      <c r="C117" s="8"/>
      <c r="D117" s="8"/>
      <c r="E117" s="206">
        <v>8</v>
      </c>
      <c r="F117" s="334">
        <v>8</v>
      </c>
      <c r="G117" s="243" t="s">
        <v>163</v>
      </c>
      <c r="H117" s="408">
        <v>1720</v>
      </c>
      <c r="I117" s="409">
        <f t="shared" si="49"/>
        <v>13760</v>
      </c>
      <c r="J117" s="408">
        <v>860</v>
      </c>
      <c r="K117" s="408">
        <f t="shared" si="50"/>
        <v>6880</v>
      </c>
      <c r="L117" s="408">
        <f t="shared" si="51"/>
        <v>2580</v>
      </c>
      <c r="M117" s="408">
        <f t="shared" si="52"/>
        <v>20640</v>
      </c>
      <c r="N117" s="729"/>
      <c r="O117" s="747"/>
      <c r="P117" s="235"/>
      <c r="Q117" s="98"/>
      <c r="R117" s="717"/>
    </row>
    <row r="118" spans="1:18" s="98" customFormat="1" ht="15" customHeight="1" thickBot="1" x14ac:dyDescent="0.25">
      <c r="A118" s="818" t="s">
        <v>147</v>
      </c>
      <c r="B118" s="819"/>
      <c r="C118" s="819"/>
      <c r="D118" s="819"/>
      <c r="E118" s="819"/>
      <c r="F118" s="820"/>
      <c r="G118" s="821"/>
      <c r="H118" s="288"/>
      <c r="I118" s="289"/>
      <c r="J118" s="290">
        <v>0</v>
      </c>
      <c r="K118" s="289"/>
      <c r="L118" s="290"/>
      <c r="M118" s="291"/>
      <c r="N118" s="750"/>
      <c r="O118" s="751"/>
      <c r="P118" s="291"/>
      <c r="R118" s="717"/>
    </row>
    <row r="119" spans="1:18" s="23" customFormat="1" ht="15" customHeight="1" thickBot="1" x14ac:dyDescent="0.25">
      <c r="A119" s="64">
        <v>10</v>
      </c>
      <c r="B119" s="319" t="s">
        <v>636</v>
      </c>
      <c r="C119" s="312"/>
      <c r="D119" s="14"/>
      <c r="E119" s="189"/>
      <c r="F119" s="189"/>
      <c r="G119" s="189"/>
      <c r="H119" s="302"/>
      <c r="I119" s="189"/>
      <c r="J119" s="240">
        <v>0</v>
      </c>
      <c r="K119" s="70"/>
      <c r="L119" s="313"/>
      <c r="M119" s="314"/>
      <c r="N119" s="658"/>
      <c r="O119" s="658"/>
      <c r="P119" s="314"/>
      <c r="Q119" s="98"/>
      <c r="R119" s="717"/>
    </row>
    <row r="120" spans="1:18" s="298" customFormat="1" ht="15" customHeight="1" x14ac:dyDescent="0.2">
      <c r="A120" s="316">
        <v>10.1</v>
      </c>
      <c r="B120" s="315" t="s">
        <v>617</v>
      </c>
      <c r="C120" s="115"/>
      <c r="D120" s="307"/>
      <c r="E120" s="308">
        <v>1</v>
      </c>
      <c r="F120" s="334">
        <v>1</v>
      </c>
      <c r="G120" s="309" t="s">
        <v>83</v>
      </c>
      <c r="H120" s="408">
        <v>341420</v>
      </c>
      <c r="I120" s="409">
        <f>H120*E120</f>
        <v>341420</v>
      </c>
      <c r="J120" s="408">
        <v>12900</v>
      </c>
      <c r="K120" s="408">
        <f>J120*E120</f>
        <v>12900</v>
      </c>
      <c r="L120" s="408">
        <f>J120+H120</f>
        <v>354320</v>
      </c>
      <c r="M120" s="408">
        <f>K120+I120</f>
        <v>354320</v>
      </c>
      <c r="N120" s="668"/>
      <c r="O120" s="668"/>
      <c r="P120" s="310"/>
      <c r="Q120" s="98"/>
      <c r="R120" s="717"/>
    </row>
    <row r="121" spans="1:18" s="23" customFormat="1" ht="18" customHeight="1" x14ac:dyDescent="0.2">
      <c r="A121" s="164">
        <v>10.199999999999999</v>
      </c>
      <c r="B121" s="825" t="s">
        <v>622</v>
      </c>
      <c r="C121" s="826"/>
      <c r="D121" s="827"/>
      <c r="E121" s="206">
        <v>2</v>
      </c>
      <c r="F121" s="334">
        <v>2</v>
      </c>
      <c r="G121" s="84" t="s">
        <v>163</v>
      </c>
      <c r="H121" s="853" t="s">
        <v>657</v>
      </c>
      <c r="I121" s="854"/>
      <c r="J121" s="240">
        <v>2150</v>
      </c>
      <c r="K121" s="408">
        <f>J121*E121</f>
        <v>4300</v>
      </c>
      <c r="L121" s="247"/>
      <c r="M121" s="408">
        <f>K121+I121</f>
        <v>4300</v>
      </c>
      <c r="N121" s="743" t="s">
        <v>794</v>
      </c>
      <c r="O121" s="746" t="s">
        <v>782</v>
      </c>
      <c r="P121" s="725" t="s">
        <v>795</v>
      </c>
      <c r="Q121" s="98"/>
      <c r="R121" s="717"/>
    </row>
    <row r="122" spans="1:18" s="298" customFormat="1" ht="25.5" customHeight="1" x14ac:dyDescent="0.2">
      <c r="A122" s="316">
        <v>10.3</v>
      </c>
      <c r="B122" s="828" t="s">
        <v>613</v>
      </c>
      <c r="C122" s="829"/>
      <c r="D122" s="830"/>
      <c r="E122" s="206">
        <v>2</v>
      </c>
      <c r="F122" s="334">
        <v>2</v>
      </c>
      <c r="G122" s="84" t="s">
        <v>29</v>
      </c>
      <c r="H122" s="408">
        <v>129000</v>
      </c>
      <c r="I122" s="409">
        <f t="shared" ref="I122:I123" si="53">H122*E122</f>
        <v>258000</v>
      </c>
      <c r="J122" s="408">
        <v>4300</v>
      </c>
      <c r="K122" s="408">
        <f t="shared" ref="K122:K123" si="54">J122*E122</f>
        <v>8600</v>
      </c>
      <c r="L122" s="408">
        <f t="shared" ref="L122:L123" si="55">J122+H122</f>
        <v>133300</v>
      </c>
      <c r="M122" s="408">
        <f t="shared" ref="M122:M123" si="56">K122+I122</f>
        <v>266600</v>
      </c>
      <c r="N122" s="744"/>
      <c r="O122" s="747"/>
      <c r="P122" s="726"/>
      <c r="Q122" s="98"/>
      <c r="R122" s="717"/>
    </row>
    <row r="123" spans="1:18" s="298" customFormat="1" ht="15" customHeight="1" x14ac:dyDescent="0.2">
      <c r="A123" s="164">
        <v>10.4</v>
      </c>
      <c r="B123" s="38" t="s">
        <v>614</v>
      </c>
      <c r="C123" s="8"/>
      <c r="D123" s="8"/>
      <c r="E123" s="206">
        <v>1</v>
      </c>
      <c r="F123" s="334">
        <v>1</v>
      </c>
      <c r="G123" s="84" t="s">
        <v>83</v>
      </c>
      <c r="H123" s="408">
        <v>184900</v>
      </c>
      <c r="I123" s="409">
        <f t="shared" si="53"/>
        <v>184900</v>
      </c>
      <c r="J123" s="408">
        <v>8600</v>
      </c>
      <c r="K123" s="408">
        <f t="shared" si="54"/>
        <v>8600</v>
      </c>
      <c r="L123" s="408">
        <f t="shared" si="55"/>
        <v>193500</v>
      </c>
      <c r="M123" s="408">
        <f t="shared" si="56"/>
        <v>193500</v>
      </c>
      <c r="N123" s="744"/>
      <c r="O123" s="747"/>
      <c r="P123" s="726"/>
      <c r="Q123" s="98"/>
      <c r="R123" s="717"/>
    </row>
    <row r="124" spans="1:18" s="298" customFormat="1" ht="15" customHeight="1" x14ac:dyDescent="0.2">
      <c r="A124" s="316">
        <v>10.5</v>
      </c>
      <c r="B124" s="38" t="s">
        <v>615</v>
      </c>
      <c r="C124" s="8"/>
      <c r="D124" s="8"/>
      <c r="E124" s="206">
        <v>2</v>
      </c>
      <c r="F124" s="334">
        <v>2</v>
      </c>
      <c r="G124" s="84" t="s">
        <v>29</v>
      </c>
      <c r="H124" s="311">
        <v>172000</v>
      </c>
      <c r="I124" s="236" t="s">
        <v>228</v>
      </c>
      <c r="J124" s="240">
        <v>21500</v>
      </c>
      <c r="K124" s="236" t="s">
        <v>228</v>
      </c>
      <c r="L124" s="247"/>
      <c r="M124" s="236" t="s">
        <v>228</v>
      </c>
      <c r="N124" s="744"/>
      <c r="O124" s="747"/>
      <c r="P124" s="726"/>
      <c r="Q124" s="98"/>
      <c r="R124" s="717"/>
    </row>
    <row r="125" spans="1:18" s="298" customFormat="1" ht="15" customHeight="1" x14ac:dyDescent="0.2">
      <c r="A125" s="164">
        <v>10.6</v>
      </c>
      <c r="B125" s="38" t="s">
        <v>616</v>
      </c>
      <c r="C125" s="8"/>
      <c r="D125" s="8"/>
      <c r="E125" s="206">
        <v>2</v>
      </c>
      <c r="F125" s="334">
        <v>2</v>
      </c>
      <c r="G125" s="84" t="s">
        <v>29</v>
      </c>
      <c r="H125" s="311">
        <v>172000</v>
      </c>
      <c r="I125" s="236" t="s">
        <v>228</v>
      </c>
      <c r="J125" s="240">
        <v>21500</v>
      </c>
      <c r="K125" s="236" t="s">
        <v>228</v>
      </c>
      <c r="L125" s="247"/>
      <c r="M125" s="236" t="s">
        <v>228</v>
      </c>
      <c r="N125" s="744"/>
      <c r="O125" s="747"/>
      <c r="P125" s="726"/>
      <c r="Q125" s="98"/>
      <c r="R125" s="717"/>
    </row>
    <row r="126" spans="1:18" s="298" customFormat="1" ht="15" customHeight="1" x14ac:dyDescent="0.2">
      <c r="A126" s="316">
        <v>10.7</v>
      </c>
      <c r="B126" s="38" t="s">
        <v>631</v>
      </c>
      <c r="C126" s="8"/>
      <c r="D126" s="8"/>
      <c r="E126" s="206">
        <v>4</v>
      </c>
      <c r="F126" s="334">
        <v>4</v>
      </c>
      <c r="G126" s="84" t="s">
        <v>29</v>
      </c>
      <c r="H126" s="311">
        <v>180600</v>
      </c>
      <c r="I126" s="236" t="s">
        <v>228</v>
      </c>
      <c r="J126" s="240">
        <v>21500</v>
      </c>
      <c r="K126" s="236" t="s">
        <v>228</v>
      </c>
      <c r="L126" s="247"/>
      <c r="M126" s="236" t="s">
        <v>228</v>
      </c>
      <c r="N126" s="744"/>
      <c r="O126" s="747"/>
      <c r="P126" s="726"/>
      <c r="Q126" s="98"/>
      <c r="R126" s="717"/>
    </row>
    <row r="127" spans="1:18" s="298" customFormat="1" ht="15" customHeight="1" x14ac:dyDescent="0.2">
      <c r="A127" s="164">
        <v>10.8</v>
      </c>
      <c r="B127" s="38" t="s">
        <v>618</v>
      </c>
      <c r="C127" s="8"/>
      <c r="D127" s="8"/>
      <c r="E127" s="206">
        <v>1</v>
      </c>
      <c r="F127" s="334">
        <v>1</v>
      </c>
      <c r="G127" s="84" t="s">
        <v>30</v>
      </c>
      <c r="H127" s="311">
        <v>1032000</v>
      </c>
      <c r="I127" s="236" t="s">
        <v>228</v>
      </c>
      <c r="J127" s="240">
        <v>215000</v>
      </c>
      <c r="K127" s="236" t="s">
        <v>228</v>
      </c>
      <c r="L127" s="247"/>
      <c r="M127" s="236" t="s">
        <v>228</v>
      </c>
      <c r="N127" s="744"/>
      <c r="O127" s="747"/>
      <c r="P127" s="726"/>
      <c r="Q127" s="98"/>
      <c r="R127" s="717"/>
    </row>
    <row r="128" spans="1:18" s="298" customFormat="1" ht="15" customHeight="1" thickBot="1" x14ac:dyDescent="0.25">
      <c r="A128" s="316">
        <v>10.9</v>
      </c>
      <c r="B128" s="38" t="s">
        <v>619</v>
      </c>
      <c r="C128" s="8"/>
      <c r="D128" s="8"/>
      <c r="E128" s="206">
        <v>1</v>
      </c>
      <c r="F128" s="334">
        <v>1</v>
      </c>
      <c r="G128" s="84" t="s">
        <v>30</v>
      </c>
      <c r="H128" s="408">
        <v>64500</v>
      </c>
      <c r="I128" s="409">
        <f>H128*E128</f>
        <v>64500</v>
      </c>
      <c r="J128" s="408">
        <v>64500</v>
      </c>
      <c r="K128" s="408">
        <f>J128*E128</f>
        <v>64500</v>
      </c>
      <c r="L128" s="408">
        <f>J128+H128</f>
        <v>129000</v>
      </c>
      <c r="M128" s="408">
        <f>K128+I128</f>
        <v>129000</v>
      </c>
      <c r="N128" s="744"/>
      <c r="O128" s="747"/>
      <c r="P128" s="726"/>
      <c r="Q128" s="98"/>
      <c r="R128" s="717"/>
    </row>
    <row r="129" spans="1:18" s="98" customFormat="1" ht="15" customHeight="1" thickBot="1" x14ac:dyDescent="0.25">
      <c r="A129" s="818" t="s">
        <v>147</v>
      </c>
      <c r="B129" s="819"/>
      <c r="C129" s="819"/>
      <c r="D129" s="819"/>
      <c r="E129" s="819"/>
      <c r="F129" s="820"/>
      <c r="G129" s="821"/>
      <c r="H129" s="288"/>
      <c r="I129" s="289"/>
      <c r="J129" s="290"/>
      <c r="K129" s="289"/>
      <c r="L129" s="290"/>
      <c r="M129" s="291"/>
      <c r="N129" s="752"/>
      <c r="O129" s="751"/>
      <c r="P129" s="727"/>
      <c r="R129" s="717"/>
    </row>
    <row r="130" spans="1:18" s="263" customFormat="1" ht="15" customHeight="1" thickBot="1" x14ac:dyDescent="0.25">
      <c r="A130" s="296">
        <v>11</v>
      </c>
      <c r="B130" s="258" t="s">
        <v>524</v>
      </c>
      <c r="C130" s="259"/>
      <c r="D130" s="260"/>
      <c r="E130" s="261"/>
      <c r="F130" s="261"/>
      <c r="G130" s="261"/>
      <c r="H130" s="261"/>
      <c r="I130" s="261"/>
      <c r="J130" s="261"/>
      <c r="K130" s="262"/>
      <c r="M130" s="297"/>
      <c r="N130" s="658"/>
      <c r="O130" s="658"/>
      <c r="P130" s="297"/>
      <c r="Q130" s="98"/>
      <c r="R130" s="717"/>
    </row>
    <row r="131" spans="1:18" s="23" customFormat="1" ht="15" customHeight="1" x14ac:dyDescent="0.2">
      <c r="A131" s="231">
        <v>11.1</v>
      </c>
      <c r="B131" s="232" t="s">
        <v>586</v>
      </c>
      <c r="C131" s="233"/>
      <c r="D131" s="8"/>
      <c r="E131" s="174"/>
      <c r="F131" s="174"/>
      <c r="G131" s="174"/>
      <c r="H131" s="245"/>
      <c r="I131" s="27"/>
      <c r="J131" s="246"/>
      <c r="K131" s="48"/>
      <c r="L131" s="228"/>
      <c r="M131" s="150"/>
      <c r="N131" s="669"/>
      <c r="O131" s="669"/>
      <c r="P131" s="150"/>
      <c r="Q131" s="98"/>
      <c r="R131" s="717"/>
    </row>
    <row r="132" spans="1:18" s="23" customFormat="1" ht="25.5" customHeight="1" x14ac:dyDescent="0.2">
      <c r="A132" s="55" t="s">
        <v>658</v>
      </c>
      <c r="B132" s="822" t="s">
        <v>587</v>
      </c>
      <c r="C132" s="831">
        <v>2</v>
      </c>
      <c r="D132" s="832" t="s">
        <v>29</v>
      </c>
      <c r="E132" s="206">
        <v>2</v>
      </c>
      <c r="F132" s="334">
        <v>2</v>
      </c>
      <c r="G132" s="84" t="s">
        <v>29</v>
      </c>
      <c r="H132" s="408">
        <v>73100</v>
      </c>
      <c r="I132" s="409">
        <f>H132*E132</f>
        <v>146200</v>
      </c>
      <c r="J132" s="408">
        <v>2580</v>
      </c>
      <c r="K132" s="408">
        <f>J132*E132</f>
        <v>5160</v>
      </c>
      <c r="L132" s="408">
        <f>J132+H132</f>
        <v>75680</v>
      </c>
      <c r="M132" s="408">
        <f>K132+I132</f>
        <v>151360</v>
      </c>
      <c r="N132" s="661"/>
      <c r="O132" s="661"/>
      <c r="P132" s="235"/>
      <c r="Q132" s="98"/>
      <c r="R132" s="717"/>
    </row>
    <row r="133" spans="1:18" s="4" customFormat="1" ht="15" customHeight="1" x14ac:dyDescent="0.2">
      <c r="A133" s="264">
        <v>11.2</v>
      </c>
      <c r="B133" s="292" t="s">
        <v>588</v>
      </c>
      <c r="C133" s="293"/>
      <c r="D133" s="293"/>
      <c r="E133" s="293"/>
      <c r="F133" s="293"/>
      <c r="G133" s="293"/>
      <c r="H133" s="293"/>
      <c r="I133" s="293"/>
      <c r="J133" s="293"/>
      <c r="K133" s="293"/>
      <c r="L133" s="293"/>
      <c r="M133" s="294"/>
      <c r="N133" s="657" t="s">
        <v>783</v>
      </c>
      <c r="O133" s="684" t="s">
        <v>774</v>
      </c>
      <c r="P133" s="294"/>
      <c r="Q133" s="98"/>
      <c r="R133" s="717"/>
    </row>
    <row r="134" spans="1:18" s="23" customFormat="1" ht="15" customHeight="1" x14ac:dyDescent="0.2">
      <c r="A134" s="238" t="s">
        <v>659</v>
      </c>
      <c r="B134" s="17" t="s">
        <v>20</v>
      </c>
      <c r="C134" s="16"/>
      <c r="D134" s="28"/>
      <c r="E134" s="206" t="s">
        <v>198</v>
      </c>
      <c r="F134" s="334" t="s">
        <v>198</v>
      </c>
      <c r="G134" s="84" t="s">
        <v>22</v>
      </c>
      <c r="H134" s="244">
        <v>1032</v>
      </c>
      <c r="I134" s="248" t="s">
        <v>228</v>
      </c>
      <c r="J134" s="246">
        <v>172</v>
      </c>
      <c r="K134" s="235" t="s">
        <v>228</v>
      </c>
      <c r="L134" s="247"/>
      <c r="M134" s="235" t="s">
        <v>228</v>
      </c>
      <c r="N134" s="670"/>
      <c r="O134" s="670"/>
      <c r="P134" s="235"/>
      <c r="Q134" s="98"/>
      <c r="R134" s="717"/>
    </row>
    <row r="135" spans="1:18" s="23" customFormat="1" ht="15" customHeight="1" x14ac:dyDescent="0.2">
      <c r="A135" s="238" t="s">
        <v>660</v>
      </c>
      <c r="B135" s="17" t="s">
        <v>603</v>
      </c>
      <c r="C135" s="16"/>
      <c r="D135" s="28"/>
      <c r="E135" s="206" t="s">
        <v>198</v>
      </c>
      <c r="F135" s="334" t="s">
        <v>198</v>
      </c>
      <c r="G135" s="84" t="s">
        <v>22</v>
      </c>
      <c r="H135" s="244">
        <v>731</v>
      </c>
      <c r="I135" s="248" t="s">
        <v>228</v>
      </c>
      <c r="J135" s="246">
        <v>129</v>
      </c>
      <c r="K135" s="235" t="s">
        <v>228</v>
      </c>
      <c r="L135" s="247"/>
      <c r="M135" s="235" t="s">
        <v>228</v>
      </c>
      <c r="N135" s="739" t="s">
        <v>784</v>
      </c>
      <c r="O135" s="742" t="s">
        <v>773</v>
      </c>
      <c r="P135" s="235"/>
      <c r="Q135" s="98"/>
      <c r="R135" s="717"/>
    </row>
    <row r="136" spans="1:18" s="23" customFormat="1" ht="15" customHeight="1" x14ac:dyDescent="0.2">
      <c r="A136" s="238" t="s">
        <v>661</v>
      </c>
      <c r="B136" s="17" t="s">
        <v>604</v>
      </c>
      <c r="C136" s="16"/>
      <c r="D136" s="28"/>
      <c r="E136" s="206" t="s">
        <v>198</v>
      </c>
      <c r="F136" s="334" t="s">
        <v>198</v>
      </c>
      <c r="G136" s="84" t="s">
        <v>22</v>
      </c>
      <c r="H136" s="244">
        <v>559</v>
      </c>
      <c r="I136" s="248" t="s">
        <v>228</v>
      </c>
      <c r="J136" s="246">
        <v>137.6</v>
      </c>
      <c r="K136" s="235" t="s">
        <v>228</v>
      </c>
      <c r="L136" s="247"/>
      <c r="M136" s="235" t="s">
        <v>228</v>
      </c>
      <c r="N136" s="740"/>
      <c r="O136" s="732"/>
      <c r="P136" s="235"/>
      <c r="Q136" s="98"/>
      <c r="R136" s="717"/>
    </row>
    <row r="137" spans="1:18" s="23" customFormat="1" ht="15" customHeight="1" x14ac:dyDescent="0.2">
      <c r="A137" s="238" t="s">
        <v>662</v>
      </c>
      <c r="B137" s="17" t="s">
        <v>10</v>
      </c>
      <c r="C137" s="16"/>
      <c r="D137" s="28"/>
      <c r="E137" s="712">
        <v>70</v>
      </c>
      <c r="F137" s="334">
        <v>20</v>
      </c>
      <c r="G137" s="84" t="s">
        <v>22</v>
      </c>
      <c r="H137" s="408">
        <v>352.6</v>
      </c>
      <c r="I137" s="409">
        <f>H137*E137</f>
        <v>24682</v>
      </c>
      <c r="J137" s="408">
        <v>137.6</v>
      </c>
      <c r="K137" s="408">
        <f>J137*E137</f>
        <v>9632</v>
      </c>
      <c r="L137" s="408">
        <f>J137+H137</f>
        <v>490.20000000000005</v>
      </c>
      <c r="M137" s="408">
        <f>K137+I137</f>
        <v>34314</v>
      </c>
      <c r="N137" s="740"/>
      <c r="O137" s="732"/>
      <c r="P137" s="235"/>
      <c r="Q137" s="98"/>
      <c r="R137" s="717"/>
    </row>
    <row r="138" spans="1:18" s="4" customFormat="1" ht="15" customHeight="1" x14ac:dyDescent="0.2">
      <c r="A138" s="264">
        <v>11.3</v>
      </c>
      <c r="B138" s="292" t="s">
        <v>589</v>
      </c>
      <c r="C138" s="293"/>
      <c r="D138" s="293"/>
      <c r="E138" s="293"/>
      <c r="F138" s="293"/>
      <c r="G138" s="293"/>
      <c r="H138" s="293"/>
      <c r="I138" s="293"/>
      <c r="J138" s="293">
        <v>0</v>
      </c>
      <c r="K138" s="293"/>
      <c r="L138" s="293"/>
      <c r="M138" s="294"/>
      <c r="N138" s="740"/>
      <c r="O138" s="732"/>
      <c r="P138" s="294"/>
      <c r="Q138" s="98"/>
      <c r="R138" s="717"/>
    </row>
    <row r="139" spans="1:18" s="23" customFormat="1" ht="15" customHeight="1" x14ac:dyDescent="0.2">
      <c r="A139" s="238" t="s">
        <v>663</v>
      </c>
      <c r="B139" s="17" t="s">
        <v>20</v>
      </c>
      <c r="C139" s="16"/>
      <c r="D139" s="28"/>
      <c r="E139" s="206" t="s">
        <v>198</v>
      </c>
      <c r="F139" s="334" t="s">
        <v>198</v>
      </c>
      <c r="G139" s="84" t="s">
        <v>22</v>
      </c>
      <c r="H139" s="244"/>
      <c r="I139" s="248" t="s">
        <v>228</v>
      </c>
      <c r="J139" s="246">
        <v>0</v>
      </c>
      <c r="K139" s="235" t="s">
        <v>228</v>
      </c>
      <c r="L139" s="247"/>
      <c r="M139" s="235" t="s">
        <v>228</v>
      </c>
      <c r="N139" s="740"/>
      <c r="O139" s="732"/>
      <c r="P139" s="235"/>
      <c r="Q139" s="98"/>
      <c r="R139" s="717"/>
    </row>
    <row r="140" spans="1:18" s="23" customFormat="1" ht="15" customHeight="1" x14ac:dyDescent="0.2">
      <c r="A140" s="238" t="s">
        <v>664</v>
      </c>
      <c r="B140" s="17" t="s">
        <v>603</v>
      </c>
      <c r="C140" s="16"/>
      <c r="D140" s="28"/>
      <c r="E140" s="712">
        <v>60</v>
      </c>
      <c r="F140" s="334">
        <v>50</v>
      </c>
      <c r="G140" s="84" t="s">
        <v>22</v>
      </c>
      <c r="H140" s="408">
        <v>559</v>
      </c>
      <c r="I140" s="409">
        <f t="shared" ref="I140:I141" si="57">H140*E140</f>
        <v>33540</v>
      </c>
      <c r="J140" s="408">
        <v>172</v>
      </c>
      <c r="K140" s="408">
        <f t="shared" ref="K140:K141" si="58">J140*E140</f>
        <v>10320</v>
      </c>
      <c r="L140" s="408">
        <f t="shared" ref="L140:M141" si="59">J140+H140</f>
        <v>731</v>
      </c>
      <c r="M140" s="408">
        <f t="shared" si="59"/>
        <v>43860</v>
      </c>
      <c r="N140" s="740"/>
      <c r="O140" s="732"/>
      <c r="P140" s="235"/>
      <c r="Q140" s="98"/>
      <c r="R140" s="717"/>
    </row>
    <row r="141" spans="1:18" s="23" customFormat="1" ht="15" customHeight="1" x14ac:dyDescent="0.2">
      <c r="A141" s="238" t="s">
        <v>679</v>
      </c>
      <c r="B141" s="17" t="s">
        <v>604</v>
      </c>
      <c r="C141" s="16"/>
      <c r="D141" s="28"/>
      <c r="E141" s="712">
        <v>110</v>
      </c>
      <c r="F141" s="334">
        <v>90</v>
      </c>
      <c r="G141" s="84" t="s">
        <v>22</v>
      </c>
      <c r="H141" s="408">
        <v>516</v>
      </c>
      <c r="I141" s="409">
        <f t="shared" si="57"/>
        <v>56760</v>
      </c>
      <c r="J141" s="408">
        <v>172</v>
      </c>
      <c r="K141" s="408">
        <f t="shared" si="58"/>
        <v>18920</v>
      </c>
      <c r="L141" s="408">
        <f t="shared" si="59"/>
        <v>688</v>
      </c>
      <c r="M141" s="408">
        <f t="shared" si="59"/>
        <v>75680</v>
      </c>
      <c r="N141" s="740"/>
      <c r="O141" s="732"/>
      <c r="P141" s="235"/>
      <c r="Q141" s="98"/>
      <c r="R141" s="717"/>
    </row>
    <row r="142" spans="1:18" s="23" customFormat="1" ht="15" customHeight="1" x14ac:dyDescent="0.2">
      <c r="A142" s="238" t="s">
        <v>680</v>
      </c>
      <c r="B142" s="17" t="s">
        <v>10</v>
      </c>
      <c r="C142" s="16"/>
      <c r="D142" s="28"/>
      <c r="E142" s="712">
        <v>108</v>
      </c>
      <c r="F142" s="334">
        <v>90</v>
      </c>
      <c r="G142" s="84" t="s">
        <v>22</v>
      </c>
      <c r="H142" s="408">
        <v>343.14</v>
      </c>
      <c r="I142" s="409">
        <f t="shared" ref="I142" si="60">H142*E142</f>
        <v>37059.119999999995</v>
      </c>
      <c r="J142" s="408">
        <v>172</v>
      </c>
      <c r="K142" s="408">
        <f t="shared" ref="K142" si="61">J142*E142</f>
        <v>18576</v>
      </c>
      <c r="L142" s="408">
        <f t="shared" ref="L142" si="62">J142+H142</f>
        <v>515.14</v>
      </c>
      <c r="M142" s="408">
        <f t="shared" ref="M142" si="63">K142+I142</f>
        <v>55635.119999999995</v>
      </c>
      <c r="N142" s="740"/>
      <c r="O142" s="732"/>
      <c r="P142" s="235"/>
      <c r="Q142" s="98"/>
      <c r="R142" s="717"/>
    </row>
    <row r="143" spans="1:18" s="4" customFormat="1" ht="15" customHeight="1" x14ac:dyDescent="0.2">
      <c r="A143" s="264">
        <v>11.4</v>
      </c>
      <c r="B143" s="265" t="s">
        <v>527</v>
      </c>
      <c r="C143" s="266"/>
      <c r="D143" s="266"/>
      <c r="E143" s="267"/>
      <c r="F143" s="267"/>
      <c r="G143" s="267"/>
      <c r="H143" s="268"/>
      <c r="I143" s="268"/>
      <c r="J143" s="269">
        <v>0</v>
      </c>
      <c r="K143" s="268"/>
      <c r="L143" s="268"/>
      <c r="M143" s="270"/>
      <c r="N143" s="741"/>
      <c r="O143" s="738"/>
      <c r="P143" s="270"/>
      <c r="Q143" s="98"/>
      <c r="R143" s="717"/>
    </row>
    <row r="144" spans="1:18" s="4" customFormat="1" ht="15" customHeight="1" x14ac:dyDescent="0.2">
      <c r="A144" s="264" t="s">
        <v>665</v>
      </c>
      <c r="B144" s="265" t="s">
        <v>525</v>
      </c>
      <c r="C144" s="266"/>
      <c r="D144" s="266"/>
      <c r="E144" s="267"/>
      <c r="F144" s="267"/>
      <c r="G144" s="267"/>
      <c r="H144" s="268"/>
      <c r="I144" s="268"/>
      <c r="J144" s="269">
        <v>0</v>
      </c>
      <c r="K144" s="268"/>
      <c r="L144" s="268"/>
      <c r="M144" s="270"/>
      <c r="N144" s="671"/>
      <c r="O144" s="671"/>
      <c r="P144" s="270"/>
      <c r="Q144" s="98"/>
      <c r="R144" s="717"/>
    </row>
    <row r="145" spans="1:18" s="23" customFormat="1" ht="15" customHeight="1" x14ac:dyDescent="0.2">
      <c r="A145" s="238" t="s">
        <v>666</v>
      </c>
      <c r="B145" s="17" t="s">
        <v>20</v>
      </c>
      <c r="C145" s="16"/>
      <c r="D145" s="28"/>
      <c r="E145" s="206" t="s">
        <v>198</v>
      </c>
      <c r="F145" s="334" t="s">
        <v>198</v>
      </c>
      <c r="G145" s="84" t="s">
        <v>83</v>
      </c>
      <c r="H145" s="244"/>
      <c r="I145" s="248" t="s">
        <v>228</v>
      </c>
      <c r="J145" s="246">
        <v>0</v>
      </c>
      <c r="K145" s="235" t="s">
        <v>228</v>
      </c>
      <c r="L145" s="247"/>
      <c r="M145" s="235" t="s">
        <v>228</v>
      </c>
      <c r="N145" s="671"/>
      <c r="O145" s="671"/>
      <c r="P145" s="235"/>
      <c r="Q145" s="98"/>
      <c r="R145" s="717"/>
    </row>
    <row r="146" spans="1:18" s="23" customFormat="1" ht="15" customHeight="1" x14ac:dyDescent="0.2">
      <c r="A146" s="238" t="s">
        <v>667</v>
      </c>
      <c r="B146" s="17" t="s">
        <v>603</v>
      </c>
      <c r="C146" s="16"/>
      <c r="D146" s="28"/>
      <c r="E146" s="206">
        <v>2</v>
      </c>
      <c r="F146" s="334">
        <v>2</v>
      </c>
      <c r="G146" s="84" t="s">
        <v>29</v>
      </c>
      <c r="H146" s="408">
        <v>9288</v>
      </c>
      <c r="I146" s="409">
        <f t="shared" ref="I146:I148" si="64">H146*E146</f>
        <v>18576</v>
      </c>
      <c r="J146" s="408">
        <v>860</v>
      </c>
      <c r="K146" s="408">
        <f t="shared" ref="K146:K148" si="65">J146*E146</f>
        <v>1720</v>
      </c>
      <c r="L146" s="408">
        <f t="shared" ref="L146:L148" si="66">J146+H146</f>
        <v>10148</v>
      </c>
      <c r="M146" s="408">
        <f t="shared" ref="M146:M148" si="67">K146+I146</f>
        <v>20296</v>
      </c>
      <c r="N146" s="743" t="s">
        <v>802</v>
      </c>
      <c r="O146" s="746" t="s">
        <v>773</v>
      </c>
      <c r="P146" s="235"/>
      <c r="Q146" s="98"/>
      <c r="R146" s="717"/>
    </row>
    <row r="147" spans="1:18" s="23" customFormat="1" ht="15" customHeight="1" x14ac:dyDescent="0.2">
      <c r="A147" s="238" t="s">
        <v>668</v>
      </c>
      <c r="B147" s="17" t="s">
        <v>604</v>
      </c>
      <c r="C147" s="16"/>
      <c r="D147" s="28"/>
      <c r="E147" s="206">
        <v>4</v>
      </c>
      <c r="F147" s="334">
        <v>4</v>
      </c>
      <c r="G147" s="84" t="s">
        <v>29</v>
      </c>
      <c r="H147" s="408">
        <v>7740</v>
      </c>
      <c r="I147" s="409">
        <f t="shared" si="64"/>
        <v>30960</v>
      </c>
      <c r="J147" s="408">
        <v>860</v>
      </c>
      <c r="K147" s="408">
        <f t="shared" si="65"/>
        <v>3440</v>
      </c>
      <c r="L147" s="408">
        <f t="shared" si="66"/>
        <v>8600</v>
      </c>
      <c r="M147" s="408">
        <f t="shared" si="67"/>
        <v>34400</v>
      </c>
      <c r="N147" s="744"/>
      <c r="O147" s="747"/>
      <c r="P147" s="235"/>
      <c r="Q147" s="98"/>
      <c r="R147" s="717"/>
    </row>
    <row r="148" spans="1:18" s="23" customFormat="1" ht="15" customHeight="1" x14ac:dyDescent="0.2">
      <c r="A148" s="238" t="s">
        <v>669</v>
      </c>
      <c r="B148" s="17" t="s">
        <v>10</v>
      </c>
      <c r="C148" s="16"/>
      <c r="D148" s="28"/>
      <c r="E148" s="206">
        <v>10</v>
      </c>
      <c r="F148" s="334">
        <v>10</v>
      </c>
      <c r="G148" s="84" t="s">
        <v>29</v>
      </c>
      <c r="H148" s="408">
        <v>6622</v>
      </c>
      <c r="I148" s="409">
        <f t="shared" si="64"/>
        <v>66220</v>
      </c>
      <c r="J148" s="408">
        <v>860</v>
      </c>
      <c r="K148" s="408">
        <f t="shared" si="65"/>
        <v>8600</v>
      </c>
      <c r="L148" s="408">
        <f t="shared" si="66"/>
        <v>7482</v>
      </c>
      <c r="M148" s="408">
        <f t="shared" si="67"/>
        <v>74820</v>
      </c>
      <c r="N148" s="744"/>
      <c r="O148" s="747"/>
      <c r="P148" s="235"/>
      <c r="Q148" s="98"/>
      <c r="R148" s="717"/>
    </row>
    <row r="149" spans="1:18" s="23" customFormat="1" ht="15" customHeight="1" x14ac:dyDescent="0.2">
      <c r="A149" s="271" t="s">
        <v>670</v>
      </c>
      <c r="B149" s="272" t="s">
        <v>590</v>
      </c>
      <c r="C149" s="273"/>
      <c r="D149" s="273"/>
      <c r="E149" s="273"/>
      <c r="F149" s="273"/>
      <c r="G149" s="273"/>
      <c r="H149" s="273"/>
      <c r="I149" s="273"/>
      <c r="J149" s="273">
        <v>0</v>
      </c>
      <c r="K149" s="273"/>
      <c r="L149" s="273"/>
      <c r="M149" s="274"/>
      <c r="N149" s="745"/>
      <c r="O149" s="748"/>
      <c r="P149" s="274"/>
      <c r="Q149" s="98"/>
      <c r="R149" s="717"/>
    </row>
    <row r="150" spans="1:18" s="23" customFormat="1" ht="15" customHeight="1" x14ac:dyDescent="0.2">
      <c r="A150" s="238" t="s">
        <v>671</v>
      </c>
      <c r="B150" s="17" t="s">
        <v>20</v>
      </c>
      <c r="C150" s="16"/>
      <c r="D150" s="28"/>
      <c r="E150" s="206" t="s">
        <v>198</v>
      </c>
      <c r="F150" s="334" t="s">
        <v>198</v>
      </c>
      <c r="G150" s="84" t="s">
        <v>22</v>
      </c>
      <c r="H150" s="244"/>
      <c r="I150" s="248" t="s">
        <v>228</v>
      </c>
      <c r="J150" s="246">
        <v>0</v>
      </c>
      <c r="K150" s="235" t="s">
        <v>228</v>
      </c>
      <c r="L150" s="247"/>
      <c r="M150" s="235" t="s">
        <v>228</v>
      </c>
      <c r="N150" s="672"/>
      <c r="O150" s="672"/>
      <c r="P150" s="235"/>
      <c r="Q150" s="98"/>
      <c r="R150" s="717"/>
    </row>
    <row r="151" spans="1:18" s="23" customFormat="1" ht="15" customHeight="1" x14ac:dyDescent="0.2">
      <c r="A151" s="238" t="s">
        <v>672</v>
      </c>
      <c r="B151" s="17" t="s">
        <v>603</v>
      </c>
      <c r="C151" s="16"/>
      <c r="D151" s="28"/>
      <c r="E151" s="206">
        <v>50</v>
      </c>
      <c r="F151" s="334">
        <v>50</v>
      </c>
      <c r="G151" s="84" t="s">
        <v>22</v>
      </c>
      <c r="H151" s="408">
        <v>928.8</v>
      </c>
      <c r="I151" s="409">
        <f t="shared" ref="I151:I153" si="68">H151*E151</f>
        <v>46440</v>
      </c>
      <c r="J151" s="408">
        <v>172</v>
      </c>
      <c r="K151" s="408">
        <f t="shared" ref="K151:K153" si="69">J151*E151</f>
        <v>8600</v>
      </c>
      <c r="L151" s="408">
        <f t="shared" ref="L151:L153" si="70">J151+H151</f>
        <v>1100.8</v>
      </c>
      <c r="M151" s="408">
        <f t="shared" ref="M151:M153" si="71">K151+I151</f>
        <v>55040</v>
      </c>
      <c r="N151" s="743" t="s">
        <v>779</v>
      </c>
      <c r="O151" s="746" t="s">
        <v>773</v>
      </c>
      <c r="P151" s="235"/>
      <c r="Q151" s="98"/>
      <c r="R151" s="717"/>
    </row>
    <row r="152" spans="1:18" s="23" customFormat="1" ht="15" customHeight="1" x14ac:dyDescent="0.2">
      <c r="A152" s="238" t="s">
        <v>673</v>
      </c>
      <c r="B152" s="17" t="s">
        <v>604</v>
      </c>
      <c r="C152" s="16"/>
      <c r="D152" s="28"/>
      <c r="E152" s="206">
        <v>90</v>
      </c>
      <c r="F152" s="334">
        <v>90</v>
      </c>
      <c r="G152" s="84" t="s">
        <v>22</v>
      </c>
      <c r="H152" s="408">
        <v>903</v>
      </c>
      <c r="I152" s="409">
        <f t="shared" si="68"/>
        <v>81270</v>
      </c>
      <c r="J152" s="408">
        <v>172</v>
      </c>
      <c r="K152" s="408">
        <f t="shared" si="69"/>
        <v>15480</v>
      </c>
      <c r="L152" s="408">
        <f t="shared" si="70"/>
        <v>1075</v>
      </c>
      <c r="M152" s="408">
        <f t="shared" si="71"/>
        <v>96750</v>
      </c>
      <c r="N152" s="744"/>
      <c r="O152" s="747"/>
      <c r="P152" s="235"/>
      <c r="Q152" s="98"/>
      <c r="R152" s="717"/>
    </row>
    <row r="153" spans="1:18" s="23" customFormat="1" ht="15" customHeight="1" x14ac:dyDescent="0.2">
      <c r="A153" s="238" t="s">
        <v>674</v>
      </c>
      <c r="B153" s="17" t="s">
        <v>10</v>
      </c>
      <c r="C153" s="16"/>
      <c r="D153" s="28"/>
      <c r="E153" s="206">
        <v>90</v>
      </c>
      <c r="F153" s="334">
        <v>90</v>
      </c>
      <c r="G153" s="84" t="s">
        <v>22</v>
      </c>
      <c r="H153" s="408">
        <v>774</v>
      </c>
      <c r="I153" s="409">
        <f t="shared" si="68"/>
        <v>69660</v>
      </c>
      <c r="J153" s="408">
        <v>172</v>
      </c>
      <c r="K153" s="408">
        <f t="shared" si="69"/>
        <v>15480</v>
      </c>
      <c r="L153" s="408">
        <f t="shared" si="70"/>
        <v>946</v>
      </c>
      <c r="M153" s="408">
        <f t="shared" si="71"/>
        <v>85140</v>
      </c>
      <c r="N153" s="744"/>
      <c r="O153" s="747"/>
      <c r="P153" s="235"/>
      <c r="Q153" s="98"/>
      <c r="R153" s="717"/>
    </row>
    <row r="154" spans="1:18" s="4" customFormat="1" ht="15" customHeight="1" x14ac:dyDescent="0.2">
      <c r="A154" s="254">
        <v>11.5</v>
      </c>
      <c r="B154" s="40" t="s">
        <v>89</v>
      </c>
      <c r="C154" s="255"/>
      <c r="D154" s="27"/>
      <c r="E154" s="185"/>
      <c r="F154" s="185"/>
      <c r="G154" s="48"/>
      <c r="H154" s="185"/>
      <c r="I154" s="48"/>
      <c r="J154" s="256"/>
      <c r="K154" s="150"/>
      <c r="M154" s="295"/>
      <c r="N154" s="745"/>
      <c r="O154" s="748"/>
      <c r="P154" s="295"/>
      <c r="Q154" s="98"/>
      <c r="R154" s="717"/>
    </row>
    <row r="155" spans="1:18" s="23" customFormat="1" ht="15" customHeight="1" x14ac:dyDescent="0.2">
      <c r="A155" s="238" t="s">
        <v>675</v>
      </c>
      <c r="B155" s="17" t="s">
        <v>20</v>
      </c>
      <c r="C155" s="16"/>
      <c r="D155" s="28"/>
      <c r="E155" s="206" t="s">
        <v>198</v>
      </c>
      <c r="F155" s="334" t="s">
        <v>198</v>
      </c>
      <c r="G155" s="84" t="s">
        <v>83</v>
      </c>
      <c r="H155" s="244"/>
      <c r="I155" s="248" t="s">
        <v>228</v>
      </c>
      <c r="J155" s="246"/>
      <c r="K155" s="235" t="s">
        <v>228</v>
      </c>
      <c r="L155" s="247"/>
      <c r="M155" s="235" t="s">
        <v>228</v>
      </c>
      <c r="N155" s="667"/>
      <c r="O155" s="667"/>
      <c r="P155" s="235"/>
      <c r="Q155" s="98"/>
      <c r="R155" s="717"/>
    </row>
    <row r="156" spans="1:18" s="23" customFormat="1" ht="15" customHeight="1" x14ac:dyDescent="0.2">
      <c r="A156" s="238" t="s">
        <v>676</v>
      </c>
      <c r="B156" s="17" t="s">
        <v>603</v>
      </c>
      <c r="C156" s="16"/>
      <c r="D156" s="28"/>
      <c r="E156" s="206">
        <v>2</v>
      </c>
      <c r="F156" s="334">
        <v>2</v>
      </c>
      <c r="G156" s="84" t="s">
        <v>29</v>
      </c>
      <c r="H156" s="244"/>
      <c r="I156" s="248" t="s">
        <v>228</v>
      </c>
      <c r="J156" s="246"/>
      <c r="K156" s="235" t="s">
        <v>228</v>
      </c>
      <c r="L156" s="247"/>
      <c r="M156" s="235" t="s">
        <v>228</v>
      </c>
      <c r="N156" s="657"/>
      <c r="O156" s="657"/>
      <c r="P156" s="235"/>
      <c r="Q156" s="98"/>
      <c r="R156" s="717"/>
    </row>
    <row r="157" spans="1:18" s="23" customFormat="1" ht="15" customHeight="1" x14ac:dyDescent="0.2">
      <c r="A157" s="238" t="s">
        <v>677</v>
      </c>
      <c r="B157" s="17" t="s">
        <v>604</v>
      </c>
      <c r="C157" s="16"/>
      <c r="D157" s="28"/>
      <c r="E157" s="206">
        <v>4</v>
      </c>
      <c r="F157" s="334">
        <v>4</v>
      </c>
      <c r="G157" s="84" t="s">
        <v>29</v>
      </c>
      <c r="H157" s="244"/>
      <c r="I157" s="248" t="s">
        <v>228</v>
      </c>
      <c r="J157" s="246"/>
      <c r="K157" s="235" t="s">
        <v>228</v>
      </c>
      <c r="L157" s="247"/>
      <c r="M157" s="235" t="s">
        <v>228</v>
      </c>
      <c r="N157" s="657"/>
      <c r="O157" s="657"/>
      <c r="P157" s="235"/>
      <c r="Q157" s="98"/>
      <c r="R157" s="717"/>
    </row>
    <row r="158" spans="1:18" s="23" customFormat="1" ht="15" customHeight="1" x14ac:dyDescent="0.2">
      <c r="A158" s="238" t="s">
        <v>678</v>
      </c>
      <c r="B158" s="17" t="s">
        <v>10</v>
      </c>
      <c r="C158" s="16"/>
      <c r="D158" s="28"/>
      <c r="E158" s="206">
        <v>8</v>
      </c>
      <c r="F158" s="334">
        <v>8</v>
      </c>
      <c r="G158" s="84" t="s">
        <v>29</v>
      </c>
      <c r="H158" s="244"/>
      <c r="I158" s="248" t="s">
        <v>228</v>
      </c>
      <c r="J158" s="246"/>
      <c r="K158" s="235" t="s">
        <v>228</v>
      </c>
      <c r="L158" s="247"/>
      <c r="M158" s="235" t="s">
        <v>228</v>
      </c>
      <c r="N158" s="657"/>
      <c r="O158" s="657"/>
      <c r="P158" s="235"/>
      <c r="Q158" s="98"/>
      <c r="R158" s="717"/>
    </row>
    <row r="159" spans="1:18" s="23" customFormat="1" ht="15" customHeight="1" x14ac:dyDescent="0.2">
      <c r="A159" s="55">
        <v>11.6</v>
      </c>
      <c r="B159" s="122" t="s">
        <v>526</v>
      </c>
      <c r="C159" s="123"/>
      <c r="D159" s="299"/>
      <c r="E159" s="252">
        <v>1</v>
      </c>
      <c r="F159" s="334">
        <v>1</v>
      </c>
      <c r="G159" s="209" t="s">
        <v>30</v>
      </c>
      <c r="H159" s="408"/>
      <c r="I159" s="409">
        <f t="shared" ref="I159:I160" si="72">H159*E159</f>
        <v>0</v>
      </c>
      <c r="J159" s="408">
        <v>21500</v>
      </c>
      <c r="K159" s="408">
        <f t="shared" ref="K159:K160" si="73">J159*E159</f>
        <v>21500</v>
      </c>
      <c r="L159" s="408">
        <f t="shared" ref="L159:L160" si="74">J159+H159</f>
        <v>21500</v>
      </c>
      <c r="M159" s="408">
        <f t="shared" ref="M159:M160" si="75">K159+I159</f>
        <v>21500</v>
      </c>
      <c r="N159" s="657"/>
      <c r="O159" s="657"/>
      <c r="P159" s="253"/>
      <c r="Q159" s="98"/>
      <c r="R159" s="717"/>
    </row>
    <row r="160" spans="1:18" s="23" customFormat="1" ht="15" customHeight="1" thickBot="1" x14ac:dyDescent="0.25">
      <c r="A160" s="55">
        <v>11.7</v>
      </c>
      <c r="B160" s="122" t="s">
        <v>649</v>
      </c>
      <c r="C160" s="123"/>
      <c r="D160" s="299"/>
      <c r="E160" s="252">
        <v>1</v>
      </c>
      <c r="F160" s="334">
        <v>1</v>
      </c>
      <c r="G160" s="209" t="s">
        <v>30</v>
      </c>
      <c r="H160" s="408"/>
      <c r="I160" s="409">
        <f t="shared" si="72"/>
        <v>0</v>
      </c>
      <c r="J160" s="408">
        <v>12900</v>
      </c>
      <c r="K160" s="408">
        <f t="shared" si="73"/>
        <v>12900</v>
      </c>
      <c r="L160" s="408">
        <f t="shared" si="74"/>
        <v>12900</v>
      </c>
      <c r="M160" s="408">
        <f t="shared" si="75"/>
        <v>12900</v>
      </c>
      <c r="N160" s="657"/>
      <c r="O160" s="657"/>
      <c r="P160" s="253"/>
      <c r="Q160" s="98"/>
      <c r="R160" s="717"/>
    </row>
    <row r="161" spans="1:18" s="98" customFormat="1" ht="15" customHeight="1" thickBot="1" x14ac:dyDescent="0.25">
      <c r="A161" s="818" t="s">
        <v>147</v>
      </c>
      <c r="B161" s="819"/>
      <c r="C161" s="819"/>
      <c r="D161" s="819"/>
      <c r="E161" s="819"/>
      <c r="F161" s="820"/>
      <c r="G161" s="821"/>
      <c r="H161" s="288"/>
      <c r="I161" s="289"/>
      <c r="J161" s="290"/>
      <c r="K161" s="289"/>
      <c r="L161" s="290"/>
      <c r="M161" s="291"/>
      <c r="N161" s="657"/>
      <c r="O161" s="657"/>
      <c r="P161" s="291"/>
      <c r="R161" s="717"/>
    </row>
    <row r="162" spans="1:18" s="23" customFormat="1" ht="15" customHeight="1" thickBot="1" x14ac:dyDescent="0.25">
      <c r="A162" s="224">
        <v>12</v>
      </c>
      <c r="B162" s="225" t="s">
        <v>500</v>
      </c>
      <c r="C162" s="226"/>
      <c r="D162" s="8"/>
      <c r="E162" s="174"/>
      <c r="F162" s="174"/>
      <c r="G162" s="174"/>
      <c r="H162" s="245"/>
      <c r="I162" s="227"/>
      <c r="J162" s="246"/>
      <c r="K162" s="229"/>
      <c r="L162" s="228"/>
      <c r="M162" s="230"/>
      <c r="N162" s="658"/>
      <c r="O162" s="658"/>
      <c r="P162" s="230"/>
      <c r="Q162" s="98"/>
      <c r="R162" s="717"/>
    </row>
    <row r="163" spans="1:18" s="23" customFormat="1" ht="15" customHeight="1" x14ac:dyDescent="0.2">
      <c r="A163" s="231">
        <v>12.1</v>
      </c>
      <c r="B163" s="232" t="s">
        <v>591</v>
      </c>
      <c r="C163" s="233"/>
      <c r="D163" s="8"/>
      <c r="E163" s="174"/>
      <c r="F163" s="174"/>
      <c r="G163" s="174"/>
      <c r="H163" s="245"/>
      <c r="I163" s="27"/>
      <c r="J163" s="246"/>
      <c r="K163" s="48"/>
      <c r="L163" s="228"/>
      <c r="M163" s="150"/>
      <c r="N163" s="673"/>
      <c r="O163" s="673"/>
      <c r="P163" s="150"/>
      <c r="Q163" s="98"/>
      <c r="R163" s="717"/>
    </row>
    <row r="164" spans="1:18" s="23" customFormat="1" ht="15" customHeight="1" x14ac:dyDescent="0.2">
      <c r="A164" s="55" t="s">
        <v>574</v>
      </c>
      <c r="B164" s="122" t="s">
        <v>592</v>
      </c>
      <c r="C164" s="190"/>
      <c r="D164" s="241"/>
      <c r="E164" s="206">
        <v>10</v>
      </c>
      <c r="F164" s="334">
        <v>10</v>
      </c>
      <c r="G164" s="243" t="s">
        <v>29</v>
      </c>
      <c r="H164" s="408">
        <v>90300</v>
      </c>
      <c r="I164" s="409">
        <f t="shared" ref="I164:I175" si="76">H164*E164</f>
        <v>903000</v>
      </c>
      <c r="J164" s="408">
        <v>6450</v>
      </c>
      <c r="K164" s="408">
        <f t="shared" ref="K164:K175" si="77">J164*E164</f>
        <v>64500</v>
      </c>
      <c r="L164" s="408">
        <f t="shared" ref="L164:L175" si="78">J164+H164</f>
        <v>96750</v>
      </c>
      <c r="M164" s="408">
        <f t="shared" ref="M164:M175" si="79">K164+I164</f>
        <v>967500</v>
      </c>
      <c r="N164" s="728" t="s">
        <v>785</v>
      </c>
      <c r="O164" s="731" t="s">
        <v>786</v>
      </c>
      <c r="P164" s="728" t="s">
        <v>799</v>
      </c>
      <c r="Q164" s="98"/>
      <c r="R164" s="717"/>
    </row>
    <row r="165" spans="1:18" s="23" customFormat="1" ht="15" customHeight="1" x14ac:dyDescent="0.2">
      <c r="A165" s="55" t="s">
        <v>681</v>
      </c>
      <c r="B165" s="122" t="s">
        <v>593</v>
      </c>
      <c r="C165" s="123"/>
      <c r="D165" s="299"/>
      <c r="E165" s="206">
        <v>8</v>
      </c>
      <c r="F165" s="334">
        <v>8</v>
      </c>
      <c r="G165" s="243" t="s">
        <v>29</v>
      </c>
      <c r="H165" s="408">
        <v>32680</v>
      </c>
      <c r="I165" s="409">
        <f t="shared" si="76"/>
        <v>261440</v>
      </c>
      <c r="J165" s="408">
        <v>4300</v>
      </c>
      <c r="K165" s="408">
        <f t="shared" si="77"/>
        <v>34400</v>
      </c>
      <c r="L165" s="408">
        <f t="shared" si="78"/>
        <v>36980</v>
      </c>
      <c r="M165" s="408">
        <f t="shared" si="79"/>
        <v>295840</v>
      </c>
      <c r="N165" s="734"/>
      <c r="O165" s="732"/>
      <c r="P165" s="729"/>
      <c r="Q165" s="98"/>
      <c r="R165" s="717"/>
    </row>
    <row r="166" spans="1:18" s="23" customFormat="1" ht="15" customHeight="1" x14ac:dyDescent="0.2">
      <c r="A166" s="55" t="s">
        <v>682</v>
      </c>
      <c r="B166" s="122" t="s">
        <v>594</v>
      </c>
      <c r="C166" s="123"/>
      <c r="D166" s="299"/>
      <c r="E166" s="206">
        <v>1</v>
      </c>
      <c r="F166" s="334">
        <v>1</v>
      </c>
      <c r="G166" s="243" t="s">
        <v>83</v>
      </c>
      <c r="H166" s="408">
        <v>19350</v>
      </c>
      <c r="I166" s="409">
        <f t="shared" si="76"/>
        <v>19350</v>
      </c>
      <c r="J166" s="408">
        <v>4300</v>
      </c>
      <c r="K166" s="408">
        <f t="shared" si="77"/>
        <v>4300</v>
      </c>
      <c r="L166" s="408">
        <f t="shared" si="78"/>
        <v>23650</v>
      </c>
      <c r="M166" s="408">
        <f t="shared" si="79"/>
        <v>23650</v>
      </c>
      <c r="N166" s="734"/>
      <c r="O166" s="732"/>
      <c r="P166" s="729"/>
      <c r="Q166" s="98"/>
      <c r="R166" s="717"/>
    </row>
    <row r="167" spans="1:18" s="23" customFormat="1" ht="26.45" customHeight="1" x14ac:dyDescent="0.2">
      <c r="A167" s="55" t="s">
        <v>683</v>
      </c>
      <c r="B167" s="822" t="s">
        <v>595</v>
      </c>
      <c r="C167" s="823"/>
      <c r="D167" s="824"/>
      <c r="E167" s="206">
        <v>9</v>
      </c>
      <c r="F167" s="334">
        <v>9</v>
      </c>
      <c r="G167" s="243" t="s">
        <v>29</v>
      </c>
      <c r="H167" s="408">
        <v>47300</v>
      </c>
      <c r="I167" s="409">
        <f t="shared" si="76"/>
        <v>425700</v>
      </c>
      <c r="J167" s="408">
        <v>4300</v>
      </c>
      <c r="K167" s="408">
        <f t="shared" si="77"/>
        <v>38700</v>
      </c>
      <c r="L167" s="408">
        <f t="shared" si="78"/>
        <v>51600</v>
      </c>
      <c r="M167" s="408">
        <f t="shared" si="79"/>
        <v>464400</v>
      </c>
      <c r="N167" s="734"/>
      <c r="O167" s="732"/>
      <c r="P167" s="729"/>
      <c r="Q167" s="98"/>
      <c r="R167" s="717"/>
    </row>
    <row r="168" spans="1:18" s="23" customFormat="1" ht="15" customHeight="1" x14ac:dyDescent="0.2">
      <c r="A168" s="55" t="s">
        <v>684</v>
      </c>
      <c r="B168" s="122" t="s">
        <v>620</v>
      </c>
      <c r="C168" s="123"/>
      <c r="D168" s="299"/>
      <c r="E168" s="206">
        <v>1</v>
      </c>
      <c r="F168" s="334">
        <v>1</v>
      </c>
      <c r="G168" s="243" t="s">
        <v>83</v>
      </c>
      <c r="H168" s="408">
        <v>48160</v>
      </c>
      <c r="I168" s="409">
        <f t="shared" si="76"/>
        <v>48160</v>
      </c>
      <c r="J168" s="408">
        <v>4300</v>
      </c>
      <c r="K168" s="408">
        <f t="shared" si="77"/>
        <v>4300</v>
      </c>
      <c r="L168" s="408">
        <f t="shared" si="78"/>
        <v>52460</v>
      </c>
      <c r="M168" s="408">
        <f t="shared" si="79"/>
        <v>52460</v>
      </c>
      <c r="N168" s="734"/>
      <c r="O168" s="732"/>
      <c r="P168" s="729"/>
      <c r="Q168" s="98"/>
      <c r="R168" s="717"/>
    </row>
    <row r="169" spans="1:18" s="23" customFormat="1" ht="15" customHeight="1" x14ac:dyDescent="0.2">
      <c r="A169" s="55" t="s">
        <v>685</v>
      </c>
      <c r="B169" s="122" t="s">
        <v>621</v>
      </c>
      <c r="C169" s="123"/>
      <c r="D169" s="299"/>
      <c r="E169" s="206">
        <v>1</v>
      </c>
      <c r="F169" s="334">
        <v>1</v>
      </c>
      <c r="G169" s="243" t="s">
        <v>83</v>
      </c>
      <c r="H169" s="408">
        <v>41280</v>
      </c>
      <c r="I169" s="409">
        <f t="shared" si="76"/>
        <v>41280</v>
      </c>
      <c r="J169" s="408">
        <v>4300</v>
      </c>
      <c r="K169" s="408">
        <f t="shared" si="77"/>
        <v>4300</v>
      </c>
      <c r="L169" s="408">
        <f t="shared" si="78"/>
        <v>45580</v>
      </c>
      <c r="M169" s="408">
        <f t="shared" si="79"/>
        <v>45580</v>
      </c>
      <c r="N169" s="734"/>
      <c r="O169" s="732"/>
      <c r="P169" s="729"/>
      <c r="Q169" s="98"/>
      <c r="R169" s="717"/>
    </row>
    <row r="170" spans="1:18" s="23" customFormat="1" ht="24.75" customHeight="1" x14ac:dyDescent="0.2">
      <c r="A170" s="55" t="s">
        <v>686</v>
      </c>
      <c r="B170" s="822" t="s">
        <v>596</v>
      </c>
      <c r="C170" s="823"/>
      <c r="D170" s="824"/>
      <c r="E170" s="206">
        <v>11</v>
      </c>
      <c r="F170" s="334">
        <v>11</v>
      </c>
      <c r="G170" s="243" t="s">
        <v>29</v>
      </c>
      <c r="H170" s="408">
        <v>11008</v>
      </c>
      <c r="I170" s="409">
        <f t="shared" si="76"/>
        <v>121088</v>
      </c>
      <c r="J170" s="408">
        <v>860</v>
      </c>
      <c r="K170" s="408">
        <f t="shared" si="77"/>
        <v>9460</v>
      </c>
      <c r="L170" s="408">
        <f t="shared" si="78"/>
        <v>11868</v>
      </c>
      <c r="M170" s="408">
        <f t="shared" si="79"/>
        <v>130548</v>
      </c>
      <c r="N170" s="734"/>
      <c r="O170" s="732"/>
      <c r="P170" s="729"/>
      <c r="Q170" s="98"/>
      <c r="R170" s="717"/>
    </row>
    <row r="171" spans="1:18" s="23" customFormat="1" ht="15" customHeight="1" x14ac:dyDescent="0.2">
      <c r="A171" s="55" t="s">
        <v>687</v>
      </c>
      <c r="B171" s="122" t="s">
        <v>597</v>
      </c>
      <c r="C171" s="123"/>
      <c r="D171" s="299"/>
      <c r="E171" s="206">
        <v>2</v>
      </c>
      <c r="F171" s="334">
        <v>2</v>
      </c>
      <c r="G171" s="243" t="s">
        <v>29</v>
      </c>
      <c r="H171" s="408">
        <v>9030</v>
      </c>
      <c r="I171" s="409">
        <f t="shared" si="76"/>
        <v>18060</v>
      </c>
      <c r="J171" s="408">
        <v>860</v>
      </c>
      <c r="K171" s="408">
        <f t="shared" si="77"/>
        <v>1720</v>
      </c>
      <c r="L171" s="408">
        <f t="shared" si="78"/>
        <v>9890</v>
      </c>
      <c r="M171" s="408">
        <f t="shared" si="79"/>
        <v>19780</v>
      </c>
      <c r="N171" s="734"/>
      <c r="O171" s="732"/>
      <c r="P171" s="729"/>
      <c r="Q171" s="98"/>
      <c r="R171" s="717"/>
    </row>
    <row r="172" spans="1:18" s="23" customFormat="1" ht="24.75" customHeight="1" x14ac:dyDescent="0.2">
      <c r="A172" s="55" t="s">
        <v>688</v>
      </c>
      <c r="B172" s="822" t="s">
        <v>598</v>
      </c>
      <c r="C172" s="823"/>
      <c r="D172" s="824"/>
      <c r="E172" s="206">
        <v>6</v>
      </c>
      <c r="F172" s="334">
        <v>6</v>
      </c>
      <c r="G172" s="243" t="s">
        <v>29</v>
      </c>
      <c r="H172" s="408">
        <v>38270</v>
      </c>
      <c r="I172" s="409">
        <f t="shared" si="76"/>
        <v>229620</v>
      </c>
      <c r="J172" s="408">
        <v>860</v>
      </c>
      <c r="K172" s="408">
        <f t="shared" si="77"/>
        <v>5160</v>
      </c>
      <c r="L172" s="408">
        <f t="shared" si="78"/>
        <v>39130</v>
      </c>
      <c r="M172" s="408">
        <f t="shared" si="79"/>
        <v>234780</v>
      </c>
      <c r="N172" s="734"/>
      <c r="O172" s="732"/>
      <c r="P172" s="729"/>
      <c r="Q172" s="98"/>
      <c r="R172" s="717"/>
    </row>
    <row r="173" spans="1:18" s="23" customFormat="1" ht="15" customHeight="1" x14ac:dyDescent="0.2">
      <c r="A173" s="55" t="s">
        <v>689</v>
      </c>
      <c r="B173" s="122" t="s">
        <v>599</v>
      </c>
      <c r="C173" s="190"/>
      <c r="D173" s="241"/>
      <c r="E173" s="206">
        <v>11</v>
      </c>
      <c r="F173" s="334">
        <v>11</v>
      </c>
      <c r="G173" s="243" t="s">
        <v>29</v>
      </c>
      <c r="H173" s="408">
        <v>12814</v>
      </c>
      <c r="I173" s="409">
        <f t="shared" si="76"/>
        <v>140954</v>
      </c>
      <c r="J173" s="408">
        <v>860</v>
      </c>
      <c r="K173" s="408">
        <f t="shared" si="77"/>
        <v>9460</v>
      </c>
      <c r="L173" s="408">
        <f t="shared" si="78"/>
        <v>13674</v>
      </c>
      <c r="M173" s="408">
        <f t="shared" si="79"/>
        <v>150414</v>
      </c>
      <c r="N173" s="734"/>
      <c r="O173" s="732"/>
      <c r="P173" s="729"/>
      <c r="Q173" s="98"/>
      <c r="R173" s="717"/>
    </row>
    <row r="174" spans="1:18" s="23" customFormat="1" ht="15" customHeight="1" x14ac:dyDescent="0.2">
      <c r="A174" s="55" t="s">
        <v>690</v>
      </c>
      <c r="B174" s="122" t="s">
        <v>600</v>
      </c>
      <c r="C174" s="190"/>
      <c r="D174" s="241"/>
      <c r="E174" s="206">
        <v>9</v>
      </c>
      <c r="F174" s="334">
        <v>9</v>
      </c>
      <c r="G174" s="243" t="s">
        <v>29</v>
      </c>
      <c r="H174" s="408">
        <v>21500</v>
      </c>
      <c r="I174" s="409">
        <f t="shared" si="76"/>
        <v>193500</v>
      </c>
      <c r="J174" s="408">
        <v>860</v>
      </c>
      <c r="K174" s="408">
        <f t="shared" si="77"/>
        <v>7740</v>
      </c>
      <c r="L174" s="408">
        <f t="shared" si="78"/>
        <v>22360</v>
      </c>
      <c r="M174" s="408">
        <f t="shared" si="79"/>
        <v>201240</v>
      </c>
      <c r="N174" s="734"/>
      <c r="O174" s="732"/>
      <c r="P174" s="729"/>
      <c r="Q174" s="98"/>
      <c r="R174" s="717"/>
    </row>
    <row r="175" spans="1:18" s="23" customFormat="1" ht="15" customHeight="1" x14ac:dyDescent="0.2">
      <c r="A175" s="55" t="s">
        <v>691</v>
      </c>
      <c r="B175" s="122" t="s">
        <v>645</v>
      </c>
      <c r="C175" s="190"/>
      <c r="D175" s="241"/>
      <c r="E175" s="206">
        <v>5</v>
      </c>
      <c r="F175" s="334">
        <v>5</v>
      </c>
      <c r="G175" s="243" t="s">
        <v>29</v>
      </c>
      <c r="H175" s="408">
        <v>25370</v>
      </c>
      <c r="I175" s="409">
        <f t="shared" si="76"/>
        <v>126850</v>
      </c>
      <c r="J175" s="408">
        <v>1720</v>
      </c>
      <c r="K175" s="408">
        <f t="shared" si="77"/>
        <v>8600</v>
      </c>
      <c r="L175" s="408">
        <f t="shared" si="78"/>
        <v>27090</v>
      </c>
      <c r="M175" s="408">
        <f t="shared" si="79"/>
        <v>135450</v>
      </c>
      <c r="N175" s="734"/>
      <c r="O175" s="732"/>
      <c r="P175" s="729"/>
      <c r="Q175" s="98"/>
      <c r="R175" s="717"/>
    </row>
    <row r="176" spans="1:18" s="23" customFormat="1" ht="25.5" customHeight="1" x14ac:dyDescent="0.2">
      <c r="A176" s="231">
        <v>12.2</v>
      </c>
      <c r="B176" s="842" t="s">
        <v>601</v>
      </c>
      <c r="C176" s="843"/>
      <c r="D176" s="843"/>
      <c r="E176" s="843"/>
      <c r="F176" s="843"/>
      <c r="G176" s="843"/>
      <c r="H176" s="843"/>
      <c r="I176" s="843"/>
      <c r="J176" s="843"/>
      <c r="K176" s="843"/>
      <c r="L176" s="843"/>
      <c r="M176" s="843"/>
      <c r="N176" s="706"/>
      <c r="O176" s="707"/>
      <c r="P176" s="708"/>
      <c r="Q176" s="98"/>
      <c r="R176" s="717"/>
    </row>
    <row r="177" spans="1:18" s="23" customFormat="1" ht="15" customHeight="1" x14ac:dyDescent="0.2">
      <c r="A177" s="55" t="s">
        <v>575</v>
      </c>
      <c r="B177" s="122" t="s">
        <v>503</v>
      </c>
      <c r="C177" s="190"/>
      <c r="D177" s="241"/>
      <c r="E177" s="206" t="s">
        <v>198</v>
      </c>
      <c r="F177" s="334"/>
      <c r="G177" s="243" t="s">
        <v>22</v>
      </c>
      <c r="H177" s="244"/>
      <c r="I177" s="248" t="s">
        <v>228</v>
      </c>
      <c r="J177" s="246"/>
      <c r="K177" s="235" t="s">
        <v>228</v>
      </c>
      <c r="L177" s="247"/>
      <c r="M177" s="235" t="s">
        <v>228</v>
      </c>
      <c r="N177" s="674"/>
      <c r="O177" s="675"/>
      <c r="P177" s="705"/>
      <c r="Q177" s="98"/>
      <c r="R177" s="717"/>
    </row>
    <row r="178" spans="1:18" s="23" customFormat="1" ht="15" customHeight="1" x14ac:dyDescent="0.2">
      <c r="A178" s="55" t="s">
        <v>576</v>
      </c>
      <c r="B178" s="122" t="s">
        <v>502</v>
      </c>
      <c r="C178" s="190"/>
      <c r="D178" s="241"/>
      <c r="E178" s="206" t="s">
        <v>198</v>
      </c>
      <c r="F178" s="334"/>
      <c r="G178" s="243" t="s">
        <v>22</v>
      </c>
      <c r="H178" s="244"/>
      <c r="I178" s="248" t="s">
        <v>228</v>
      </c>
      <c r="J178" s="246"/>
      <c r="K178" s="235" t="s">
        <v>228</v>
      </c>
      <c r="L178" s="247"/>
      <c r="M178" s="235" t="s">
        <v>228</v>
      </c>
      <c r="N178" s="657"/>
      <c r="O178" s="657"/>
      <c r="P178" s="235"/>
      <c r="Q178" s="98"/>
      <c r="R178" s="717"/>
    </row>
    <row r="179" spans="1:18" s="23" customFormat="1" ht="15" customHeight="1" x14ac:dyDescent="0.2">
      <c r="A179" s="55" t="s">
        <v>577</v>
      </c>
      <c r="B179" s="122" t="s">
        <v>528</v>
      </c>
      <c r="C179" s="190"/>
      <c r="D179" s="241"/>
      <c r="E179" s="206" t="s">
        <v>198</v>
      </c>
      <c r="F179" s="334"/>
      <c r="G179" s="243" t="s">
        <v>22</v>
      </c>
      <c r="H179" s="244"/>
      <c r="I179" s="248" t="s">
        <v>228</v>
      </c>
      <c r="J179" s="246"/>
      <c r="K179" s="235" t="s">
        <v>228</v>
      </c>
      <c r="L179" s="247"/>
      <c r="M179" s="235" t="s">
        <v>228</v>
      </c>
      <c r="N179" s="657"/>
      <c r="O179" s="657"/>
      <c r="P179" s="235"/>
      <c r="Q179" s="98"/>
      <c r="R179" s="717"/>
    </row>
    <row r="180" spans="1:18" s="23" customFormat="1" ht="15" customHeight="1" x14ac:dyDescent="0.2">
      <c r="A180" s="55" t="s">
        <v>578</v>
      </c>
      <c r="B180" s="122" t="s">
        <v>605</v>
      </c>
      <c r="C180" s="190"/>
      <c r="D180" s="241"/>
      <c r="E180" s="206" t="s">
        <v>198</v>
      </c>
      <c r="F180" s="334"/>
      <c r="G180" s="243" t="s">
        <v>22</v>
      </c>
      <c r="H180" s="244"/>
      <c r="I180" s="248" t="s">
        <v>228</v>
      </c>
      <c r="J180" s="246"/>
      <c r="K180" s="235" t="s">
        <v>228</v>
      </c>
      <c r="L180" s="247"/>
      <c r="M180" s="235" t="s">
        <v>228</v>
      </c>
      <c r="N180" s="657"/>
      <c r="O180" s="657"/>
      <c r="P180" s="235"/>
      <c r="Q180" s="98"/>
      <c r="R180" s="717"/>
    </row>
    <row r="181" spans="1:18" s="23" customFormat="1" ht="15" customHeight="1" x14ac:dyDescent="0.2">
      <c r="A181" s="231">
        <v>12.3</v>
      </c>
      <c r="B181" s="232" t="s">
        <v>501</v>
      </c>
      <c r="C181" s="233"/>
      <c r="D181" s="8"/>
      <c r="E181" s="183"/>
      <c r="F181" s="183"/>
      <c r="G181" s="183"/>
      <c r="H181" s="245"/>
      <c r="I181" s="27"/>
      <c r="J181" s="246"/>
      <c r="K181" s="48"/>
      <c r="L181" s="228"/>
      <c r="M181" s="150"/>
      <c r="N181" s="657"/>
      <c r="O181" s="657"/>
      <c r="P181" s="150"/>
      <c r="Q181" s="98"/>
      <c r="R181" s="717"/>
    </row>
    <row r="182" spans="1:18" s="23" customFormat="1" ht="15" customHeight="1" x14ac:dyDescent="0.2">
      <c r="A182" s="231" t="s">
        <v>579</v>
      </c>
      <c r="B182" s="232" t="s">
        <v>571</v>
      </c>
      <c r="C182" s="233"/>
      <c r="D182" s="8"/>
      <c r="E182" s="183"/>
      <c r="F182" s="183"/>
      <c r="G182" s="183"/>
      <c r="H182" s="245"/>
      <c r="I182" s="27"/>
      <c r="J182" s="246"/>
      <c r="K182" s="48"/>
      <c r="L182" s="228"/>
      <c r="M182" s="150"/>
      <c r="N182" s="690"/>
      <c r="O182" s="690"/>
      <c r="P182" s="150"/>
      <c r="Q182" s="98"/>
      <c r="R182" s="717"/>
    </row>
    <row r="183" spans="1:18" s="23" customFormat="1" ht="15" customHeight="1" x14ac:dyDescent="0.2">
      <c r="A183" s="55" t="s">
        <v>692</v>
      </c>
      <c r="B183" s="300" t="s">
        <v>572</v>
      </c>
      <c r="C183" s="190"/>
      <c r="D183" s="241"/>
      <c r="E183" s="206">
        <v>22</v>
      </c>
      <c r="F183" s="334">
        <v>22</v>
      </c>
      <c r="G183" s="243" t="s">
        <v>29</v>
      </c>
      <c r="H183" s="408">
        <v>6794</v>
      </c>
      <c r="I183" s="409">
        <f>H183*E183</f>
        <v>149468</v>
      </c>
      <c r="J183" s="408">
        <v>1290</v>
      </c>
      <c r="K183" s="408">
        <f>J183*E183</f>
        <v>28380</v>
      </c>
      <c r="L183" s="408">
        <f>J183+H183</f>
        <v>8084</v>
      </c>
      <c r="M183" s="687">
        <f>K183+I183</f>
        <v>177848</v>
      </c>
      <c r="N183" s="813" t="s">
        <v>803</v>
      </c>
      <c r="O183" s="813" t="s">
        <v>773</v>
      </c>
      <c r="P183" s="689"/>
      <c r="Q183" s="98"/>
      <c r="R183" s="717"/>
    </row>
    <row r="184" spans="1:18" s="23" customFormat="1" ht="15" customHeight="1" x14ac:dyDescent="0.2">
      <c r="A184" s="231" t="s">
        <v>580</v>
      </c>
      <c r="B184" s="232" t="s">
        <v>511</v>
      </c>
      <c r="C184" s="233"/>
      <c r="D184" s="8"/>
      <c r="E184" s="183"/>
      <c r="F184" s="183"/>
      <c r="G184" s="183"/>
      <c r="H184" s="245">
        <v>0</v>
      </c>
      <c r="I184" s="27"/>
      <c r="J184" s="246">
        <v>0</v>
      </c>
      <c r="K184" s="48"/>
      <c r="L184" s="228"/>
      <c r="M184" s="48"/>
      <c r="N184" s="813"/>
      <c r="O184" s="813"/>
      <c r="P184" s="150"/>
      <c r="Q184" s="98"/>
      <c r="R184" s="717"/>
    </row>
    <row r="185" spans="1:18" s="23" customFormat="1" ht="15" customHeight="1" x14ac:dyDescent="0.2">
      <c r="A185" s="55" t="s">
        <v>693</v>
      </c>
      <c r="B185" s="122" t="s">
        <v>503</v>
      </c>
      <c r="C185" s="190"/>
      <c r="D185" s="241"/>
      <c r="E185" s="206">
        <v>6</v>
      </c>
      <c r="F185" s="334">
        <v>6</v>
      </c>
      <c r="G185" s="84" t="s">
        <v>29</v>
      </c>
      <c r="H185" s="408">
        <v>6794</v>
      </c>
      <c r="I185" s="409">
        <f>H185*E185</f>
        <v>40764</v>
      </c>
      <c r="J185" s="408">
        <v>1290</v>
      </c>
      <c r="K185" s="408">
        <f>J185*E185</f>
        <v>7740</v>
      </c>
      <c r="L185" s="408">
        <f>J185+H185</f>
        <v>8084</v>
      </c>
      <c r="M185" s="687">
        <f>K185+I185</f>
        <v>48504</v>
      </c>
      <c r="N185" s="813"/>
      <c r="O185" s="813"/>
      <c r="P185" s="689"/>
      <c r="Q185" s="98"/>
      <c r="R185" s="717"/>
    </row>
    <row r="186" spans="1:18" s="23" customFormat="1" ht="15" customHeight="1" x14ac:dyDescent="0.2">
      <c r="A186" s="55" t="s">
        <v>694</v>
      </c>
      <c r="B186" s="122" t="s">
        <v>502</v>
      </c>
      <c r="C186" s="190"/>
      <c r="D186" s="241"/>
      <c r="E186" s="206" t="s">
        <v>198</v>
      </c>
      <c r="F186" s="334">
        <v>0</v>
      </c>
      <c r="G186" s="84" t="s">
        <v>83</v>
      </c>
      <c r="H186" s="244">
        <v>6794</v>
      </c>
      <c r="I186" s="248" t="s">
        <v>228</v>
      </c>
      <c r="J186" s="246">
        <v>1290</v>
      </c>
      <c r="K186" s="235" t="s">
        <v>228</v>
      </c>
      <c r="L186" s="247"/>
      <c r="M186" s="688" t="s">
        <v>228</v>
      </c>
      <c r="N186" s="813"/>
      <c r="O186" s="813"/>
      <c r="P186" s="689"/>
      <c r="Q186" s="98"/>
      <c r="R186" s="717"/>
    </row>
    <row r="187" spans="1:18" s="23" customFormat="1" ht="15" customHeight="1" x14ac:dyDescent="0.2">
      <c r="A187" s="55">
        <v>12.4</v>
      </c>
      <c r="B187" s="122" t="s">
        <v>526</v>
      </c>
      <c r="C187" s="123"/>
      <c r="D187" s="299"/>
      <c r="E187" s="252">
        <v>1</v>
      </c>
      <c r="F187" s="334">
        <v>1</v>
      </c>
      <c r="G187" s="209" t="s">
        <v>30</v>
      </c>
      <c r="H187" s="408"/>
      <c r="I187" s="409">
        <f t="shared" ref="I187:I188" si="80">H187*E187</f>
        <v>0</v>
      </c>
      <c r="J187" s="408">
        <v>21500</v>
      </c>
      <c r="K187" s="408">
        <f t="shared" ref="K187:K188" si="81">J187*E187</f>
        <v>21500</v>
      </c>
      <c r="L187" s="408">
        <f t="shared" ref="L187:L188" si="82">J187+H187</f>
        <v>21500</v>
      </c>
      <c r="M187" s="408">
        <f t="shared" ref="M187:M188" si="83">K187+I187</f>
        <v>21500</v>
      </c>
      <c r="N187" s="685"/>
      <c r="O187" s="686"/>
      <c r="P187" s="253"/>
      <c r="Q187" s="98"/>
      <c r="R187" s="717"/>
    </row>
    <row r="188" spans="1:18" s="23" customFormat="1" ht="15" customHeight="1" thickBot="1" x14ac:dyDescent="0.25">
      <c r="A188" s="55">
        <v>12.5</v>
      </c>
      <c r="B188" s="122" t="s">
        <v>649</v>
      </c>
      <c r="C188" s="123"/>
      <c r="D188" s="299"/>
      <c r="E188" s="252">
        <v>1</v>
      </c>
      <c r="F188" s="334">
        <v>1</v>
      </c>
      <c r="G188" s="209" t="s">
        <v>30</v>
      </c>
      <c r="H188" s="408"/>
      <c r="I188" s="409">
        <f t="shared" si="80"/>
        <v>0</v>
      </c>
      <c r="J188" s="408">
        <v>8600</v>
      </c>
      <c r="K188" s="408">
        <f t="shared" si="81"/>
        <v>8600</v>
      </c>
      <c r="L188" s="408">
        <f t="shared" si="82"/>
        <v>8600</v>
      </c>
      <c r="M188" s="408">
        <f t="shared" si="83"/>
        <v>8600</v>
      </c>
      <c r="N188" s="657"/>
      <c r="O188" s="657"/>
      <c r="P188" s="253"/>
      <c r="Q188" s="98"/>
      <c r="R188" s="717"/>
    </row>
    <row r="189" spans="1:18" s="98" customFormat="1" ht="15" customHeight="1" thickBot="1" x14ac:dyDescent="0.25">
      <c r="A189" s="818" t="s">
        <v>147</v>
      </c>
      <c r="B189" s="819"/>
      <c r="C189" s="819"/>
      <c r="D189" s="819"/>
      <c r="E189" s="819"/>
      <c r="F189" s="820"/>
      <c r="G189" s="821"/>
      <c r="H189" s="288"/>
      <c r="I189" s="289"/>
      <c r="J189" s="290"/>
      <c r="K189" s="289"/>
      <c r="L189" s="290"/>
      <c r="M189" s="291"/>
      <c r="N189" s="657"/>
      <c r="O189" s="657"/>
      <c r="P189" s="291"/>
      <c r="R189" s="717"/>
    </row>
    <row r="190" spans="1:18" s="23" customFormat="1" ht="15" customHeight="1" thickBot="1" x14ac:dyDescent="0.25">
      <c r="A190" s="221">
        <v>13</v>
      </c>
      <c r="B190" s="37" t="s">
        <v>54</v>
      </c>
      <c r="C190" s="5"/>
      <c r="D190" s="11"/>
      <c r="E190" s="44"/>
      <c r="F190" s="44"/>
      <c r="G190" s="44"/>
      <c r="H190" s="245"/>
      <c r="I190" s="189"/>
      <c r="J190" s="246"/>
      <c r="K190" s="49"/>
      <c r="L190" s="49"/>
      <c r="M190" s="54"/>
      <c r="N190" s="658"/>
      <c r="O190" s="658"/>
      <c r="P190" s="54"/>
      <c r="Q190" s="98"/>
      <c r="R190" s="717"/>
    </row>
    <row r="191" spans="1:18" s="24" customFormat="1" ht="15" customHeight="1" thickBot="1" x14ac:dyDescent="0.25">
      <c r="A191" s="55">
        <v>13.1</v>
      </c>
      <c r="B191" s="18" t="s">
        <v>509</v>
      </c>
      <c r="C191" s="8"/>
      <c r="D191" s="8"/>
      <c r="E191" s="206">
        <v>1</v>
      </c>
      <c r="F191" s="334">
        <v>1</v>
      </c>
      <c r="G191" s="243" t="s">
        <v>30</v>
      </c>
      <c r="H191" s="408"/>
      <c r="I191" s="409">
        <f>H191*E191</f>
        <v>0</v>
      </c>
      <c r="J191" s="408">
        <v>12900</v>
      </c>
      <c r="K191" s="408">
        <f>J191*E191</f>
        <v>12900</v>
      </c>
      <c r="L191" s="408">
        <f>J191+H191</f>
        <v>12900</v>
      </c>
      <c r="M191" s="408">
        <f>K191+I191</f>
        <v>12900</v>
      </c>
      <c r="N191" s="664"/>
      <c r="O191" s="664"/>
      <c r="P191" s="235"/>
      <c r="Q191" s="98"/>
      <c r="R191" s="717"/>
    </row>
    <row r="192" spans="1:18" s="98" customFormat="1" ht="15" customHeight="1" thickBot="1" x14ac:dyDescent="0.25">
      <c r="A192" s="818" t="s">
        <v>147</v>
      </c>
      <c r="B192" s="819"/>
      <c r="C192" s="819"/>
      <c r="D192" s="819"/>
      <c r="E192" s="819"/>
      <c r="F192" s="820"/>
      <c r="G192" s="821"/>
      <c r="H192" s="288"/>
      <c r="I192" s="289"/>
      <c r="J192" s="290"/>
      <c r="K192" s="289"/>
      <c r="L192" s="290"/>
      <c r="M192" s="291"/>
      <c r="N192" s="657"/>
      <c r="O192" s="657"/>
      <c r="P192" s="291"/>
      <c r="R192" s="717"/>
    </row>
    <row r="193" spans="1:18" s="23" customFormat="1" ht="15" customHeight="1" thickBot="1" x14ac:dyDescent="0.25">
      <c r="A193" s="61">
        <v>14</v>
      </c>
      <c r="B193" s="37" t="s">
        <v>55</v>
      </c>
      <c r="C193" s="5"/>
      <c r="D193" s="11"/>
      <c r="E193" s="44"/>
      <c r="F193" s="44"/>
      <c r="G193" s="44"/>
      <c r="H193" s="245"/>
      <c r="I193" s="189"/>
      <c r="J193" s="246"/>
      <c r="K193" s="49"/>
      <c r="L193" s="49"/>
      <c r="M193" s="54"/>
      <c r="N193" s="658"/>
      <c r="O193" s="658"/>
      <c r="P193" s="54"/>
      <c r="Q193" s="98"/>
      <c r="R193" s="717"/>
    </row>
    <row r="194" spans="1:18" s="23" customFormat="1" ht="15" customHeight="1" thickBot="1" x14ac:dyDescent="0.25">
      <c r="A194" s="56">
        <v>14.1</v>
      </c>
      <c r="B194" s="38" t="s">
        <v>646</v>
      </c>
      <c r="C194" s="151"/>
      <c r="D194" s="28"/>
      <c r="E194" s="206">
        <v>1</v>
      </c>
      <c r="F194" s="334">
        <v>1</v>
      </c>
      <c r="G194" s="243" t="s">
        <v>30</v>
      </c>
      <c r="H194" s="408">
        <v>8600</v>
      </c>
      <c r="I194" s="409">
        <f>H194*E194</f>
        <v>8600</v>
      </c>
      <c r="J194" s="408">
        <v>8600</v>
      </c>
      <c r="K194" s="408">
        <f>J194*E194</f>
        <v>8600</v>
      </c>
      <c r="L194" s="408">
        <f>J194+H194</f>
        <v>17200</v>
      </c>
      <c r="M194" s="408">
        <f>K194+I194</f>
        <v>17200</v>
      </c>
      <c r="N194" s="664"/>
      <c r="O194" s="664"/>
      <c r="P194" s="235"/>
      <c r="Q194" s="98"/>
      <c r="R194" s="717"/>
    </row>
    <row r="195" spans="1:18" s="98" customFormat="1" ht="15" customHeight="1" thickBot="1" x14ac:dyDescent="0.25">
      <c r="A195" s="818" t="s">
        <v>147</v>
      </c>
      <c r="B195" s="819"/>
      <c r="C195" s="819"/>
      <c r="D195" s="819"/>
      <c r="E195" s="819"/>
      <c r="F195" s="820"/>
      <c r="G195" s="821"/>
      <c r="H195" s="288">
        <v>0</v>
      </c>
      <c r="I195" s="289"/>
      <c r="J195" s="290"/>
      <c r="K195" s="289"/>
      <c r="L195" s="290"/>
      <c r="M195" s="291"/>
      <c r="N195" s="657"/>
      <c r="O195" s="657"/>
      <c r="P195" s="291"/>
      <c r="R195" s="717"/>
    </row>
    <row r="196" spans="1:18" s="23" customFormat="1" ht="15" customHeight="1" thickBot="1" x14ac:dyDescent="0.25">
      <c r="A196" s="224">
        <v>15</v>
      </c>
      <c r="B196" s="37" t="s">
        <v>14</v>
      </c>
      <c r="C196" s="78"/>
      <c r="D196" s="11"/>
      <c r="E196" s="14"/>
      <c r="F196" s="14"/>
      <c r="G196" s="14"/>
      <c r="H196" s="245">
        <v>0</v>
      </c>
      <c r="I196" s="44"/>
      <c r="J196" s="246"/>
      <c r="K196" s="49"/>
      <c r="L196" s="49"/>
      <c r="M196" s="54"/>
      <c r="N196" s="658"/>
      <c r="O196" s="658"/>
      <c r="P196" s="54"/>
      <c r="Q196" s="98"/>
      <c r="R196" s="717"/>
    </row>
    <row r="197" spans="1:18" ht="15" customHeight="1" x14ac:dyDescent="0.2">
      <c r="A197" s="55">
        <v>15.1</v>
      </c>
      <c r="B197" s="114" t="s">
        <v>602</v>
      </c>
      <c r="C197" s="115"/>
      <c r="D197" s="115"/>
      <c r="E197" s="206">
        <v>1</v>
      </c>
      <c r="F197" s="334">
        <v>1</v>
      </c>
      <c r="G197" s="243" t="s">
        <v>30</v>
      </c>
      <c r="H197" s="408">
        <v>4300</v>
      </c>
      <c r="I197" s="409">
        <f t="shared" ref="I197:I199" si="84">H197*E197</f>
        <v>4300</v>
      </c>
      <c r="J197" s="408">
        <v>4300</v>
      </c>
      <c r="K197" s="408">
        <f t="shared" ref="K197:K199" si="85">J197*E197</f>
        <v>4300</v>
      </c>
      <c r="L197" s="408">
        <f t="shared" ref="L197:L199" si="86">J197+H197</f>
        <v>8600</v>
      </c>
      <c r="M197" s="408">
        <f t="shared" ref="M197:M199" si="87">K197+I197</f>
        <v>8600</v>
      </c>
      <c r="N197" s="664"/>
      <c r="O197" s="664"/>
      <c r="P197" s="235"/>
      <c r="Q197" s="98"/>
      <c r="R197" s="717"/>
    </row>
    <row r="198" spans="1:18" ht="15" customHeight="1" x14ac:dyDescent="0.2">
      <c r="A198" s="55">
        <v>15.2</v>
      </c>
      <c r="B198" s="320" t="s">
        <v>647</v>
      </c>
      <c r="C198" s="33"/>
      <c r="D198" s="33"/>
      <c r="E198" s="206">
        <v>1</v>
      </c>
      <c r="F198" s="334">
        <v>1</v>
      </c>
      <c r="G198" s="243" t="s">
        <v>30</v>
      </c>
      <c r="H198" s="408">
        <v>8600</v>
      </c>
      <c r="I198" s="409">
        <f t="shared" si="84"/>
        <v>8600</v>
      </c>
      <c r="J198" s="408">
        <v>8600</v>
      </c>
      <c r="K198" s="408">
        <f t="shared" si="85"/>
        <v>8600</v>
      </c>
      <c r="L198" s="408">
        <f t="shared" si="86"/>
        <v>17200</v>
      </c>
      <c r="M198" s="408">
        <f t="shared" si="87"/>
        <v>17200</v>
      </c>
      <c r="N198" s="657"/>
      <c r="O198" s="657"/>
      <c r="P198" s="235"/>
      <c r="Q198" s="98"/>
      <c r="R198" s="717"/>
    </row>
    <row r="199" spans="1:18" ht="27" customHeight="1" thickBot="1" x14ac:dyDescent="0.25">
      <c r="A199" s="55">
        <v>15.3</v>
      </c>
      <c r="B199" s="822" t="s">
        <v>496</v>
      </c>
      <c r="C199" s="823"/>
      <c r="D199" s="824"/>
      <c r="E199" s="206">
        <v>1</v>
      </c>
      <c r="F199" s="334">
        <v>1</v>
      </c>
      <c r="G199" s="243" t="s">
        <v>30</v>
      </c>
      <c r="H199" s="408">
        <v>8600</v>
      </c>
      <c r="I199" s="409">
        <f t="shared" si="84"/>
        <v>8600</v>
      </c>
      <c r="J199" s="408">
        <v>8600</v>
      </c>
      <c r="K199" s="408">
        <f t="shared" si="85"/>
        <v>8600</v>
      </c>
      <c r="L199" s="408">
        <f t="shared" si="86"/>
        <v>17200</v>
      </c>
      <c r="M199" s="408">
        <f t="shared" si="87"/>
        <v>17200</v>
      </c>
      <c r="N199" s="657"/>
      <c r="O199" s="657"/>
      <c r="P199" s="235"/>
      <c r="Q199" s="98"/>
      <c r="R199" s="717"/>
    </row>
    <row r="200" spans="1:18" s="98" customFormat="1" ht="15" customHeight="1" thickBot="1" x14ac:dyDescent="0.25">
      <c r="A200" s="814" t="s">
        <v>147</v>
      </c>
      <c r="B200" s="815"/>
      <c r="C200" s="815"/>
      <c r="D200" s="815"/>
      <c r="E200" s="815"/>
      <c r="F200" s="816"/>
      <c r="G200" s="817"/>
      <c r="H200" s="303"/>
      <c r="I200" s="304"/>
      <c r="J200" s="305"/>
      <c r="K200" s="304"/>
      <c r="L200" s="305"/>
      <c r="M200" s="306"/>
      <c r="N200" s="657"/>
      <c r="O200" s="657"/>
      <c r="P200" s="306"/>
      <c r="R200" s="717"/>
    </row>
    <row r="201" spans="1:18" s="98" customFormat="1" ht="15" customHeight="1" thickBot="1" x14ac:dyDescent="0.25">
      <c r="A201" s="814" t="s">
        <v>745</v>
      </c>
      <c r="B201" s="815"/>
      <c r="C201" s="815"/>
      <c r="D201" s="815"/>
      <c r="E201" s="815"/>
      <c r="F201" s="816"/>
      <c r="G201" s="817"/>
      <c r="H201" s="303"/>
      <c r="I201" s="306">
        <f>SUM(I7:I200)</f>
        <v>26014167.52</v>
      </c>
      <c r="J201" s="305"/>
      <c r="K201" s="306">
        <f>SUM(K7:K200)</f>
        <v>3431812.8</v>
      </c>
      <c r="L201" s="305"/>
      <c r="M201" s="306">
        <f>SUM(M7:M200)</f>
        <v>29445980.320000004</v>
      </c>
      <c r="N201" s="306"/>
      <c r="O201" s="306"/>
      <c r="P201" s="306"/>
    </row>
  </sheetData>
  <mergeCells count="95">
    <mergeCell ref="A80:G80"/>
    <mergeCell ref="A97:G97"/>
    <mergeCell ref="E4:E6"/>
    <mergeCell ref="B121:D121"/>
    <mergeCell ref="B176:M176"/>
    <mergeCell ref="B4:D6"/>
    <mergeCell ref="J4:K4"/>
    <mergeCell ref="L4:M4"/>
    <mergeCell ref="H121:I121"/>
    <mergeCell ref="B9:D9"/>
    <mergeCell ref="A11:G11"/>
    <mergeCell ref="B13:D13"/>
    <mergeCell ref="A16:G16"/>
    <mergeCell ref="A41:G41"/>
    <mergeCell ref="A58:G58"/>
    <mergeCell ref="B40:D40"/>
    <mergeCell ref="B3:D3"/>
    <mergeCell ref="A4:A6"/>
    <mergeCell ref="A1:P1"/>
    <mergeCell ref="B8:D8"/>
    <mergeCell ref="H4:I4"/>
    <mergeCell ref="G4:G6"/>
    <mergeCell ref="P4:P6"/>
    <mergeCell ref="F4:F6"/>
    <mergeCell ref="N4:N6"/>
    <mergeCell ref="O4:O6"/>
    <mergeCell ref="B99:D99"/>
    <mergeCell ref="B100:D100"/>
    <mergeCell ref="A129:G129"/>
    <mergeCell ref="A192:G192"/>
    <mergeCell ref="B122:D122"/>
    <mergeCell ref="A118:G118"/>
    <mergeCell ref="B167:D167"/>
    <mergeCell ref="A161:G161"/>
    <mergeCell ref="A189:G189"/>
    <mergeCell ref="B132:D132"/>
    <mergeCell ref="B170:D170"/>
    <mergeCell ref="B172:D172"/>
    <mergeCell ref="A201:G201"/>
    <mergeCell ref="A113:G113"/>
    <mergeCell ref="B110:D110"/>
    <mergeCell ref="B111:D111"/>
    <mergeCell ref="A108:G108"/>
    <mergeCell ref="B199:D199"/>
    <mergeCell ref="A200:G200"/>
    <mergeCell ref="A195:G195"/>
    <mergeCell ref="N18:N19"/>
    <mergeCell ref="O18:O19"/>
    <mergeCell ref="N23:N25"/>
    <mergeCell ref="O23:O25"/>
    <mergeCell ref="N27:N29"/>
    <mergeCell ref="O27:O29"/>
    <mergeCell ref="O31:O32"/>
    <mergeCell ref="N34:N36"/>
    <mergeCell ref="O34:O36"/>
    <mergeCell ref="N44:N47"/>
    <mergeCell ref="O44:O47"/>
    <mergeCell ref="N31:N33"/>
    <mergeCell ref="N49:N52"/>
    <mergeCell ref="O49:O52"/>
    <mergeCell ref="N54:N56"/>
    <mergeCell ref="O54:O56"/>
    <mergeCell ref="N62:N64"/>
    <mergeCell ref="O62:O64"/>
    <mergeCell ref="O90:O91"/>
    <mergeCell ref="N67:N68"/>
    <mergeCell ref="O67:O68"/>
    <mergeCell ref="N71:N72"/>
    <mergeCell ref="O71:O72"/>
    <mergeCell ref="N75:N78"/>
    <mergeCell ref="O75:O78"/>
    <mergeCell ref="N183:N186"/>
    <mergeCell ref="O183:O186"/>
    <mergeCell ref="N135:N143"/>
    <mergeCell ref="O135:O143"/>
    <mergeCell ref="N146:N149"/>
    <mergeCell ref="O146:O149"/>
    <mergeCell ref="N151:N154"/>
    <mergeCell ref="O151:O154"/>
    <mergeCell ref="P44:P56"/>
    <mergeCell ref="P121:P129"/>
    <mergeCell ref="P164:P175"/>
    <mergeCell ref="O164:O175"/>
    <mergeCell ref="N164:N175"/>
    <mergeCell ref="N99:N108"/>
    <mergeCell ref="O99:O108"/>
    <mergeCell ref="N116:N118"/>
    <mergeCell ref="O116:O118"/>
    <mergeCell ref="N121:N129"/>
    <mergeCell ref="O121:O129"/>
    <mergeCell ref="N82:N83"/>
    <mergeCell ref="O82:O83"/>
    <mergeCell ref="N85:N86"/>
    <mergeCell ref="O85:O86"/>
    <mergeCell ref="N90:N91"/>
  </mergeCells>
  <phoneticPr fontId="35" type="noConversion"/>
  <printOptions horizontalCentered="1" gridLinesSet="0"/>
  <pageMargins left="0.51181102362204722" right="0.23622047244094491" top="0.74803149606299213" bottom="0.47244094488188981" header="0.31496062992125984" footer="0.15748031496062992"/>
  <pageSetup paperSize="9" scale="62" firstPageNumber="5" fitToHeight="0" orientation="landscape" useFirstPageNumber="1" r:id="rId1"/>
  <headerFooter alignWithMargins="0">
    <oddHeader>&amp;C250131-FND-1909-TD H-BOQ-001_BOQ HVAC Local Works_Rev00</oddHeader>
    <oddFooter xml:space="preserve">&amp;L&amp;"Arial,Bold"Fahim, Nanji &amp;&amp; deSouza (Pvt.) Ltd.
&amp;"Arial,Regular"Consulting Engineers&amp;R&amp;"Arial,Bold"Page -&amp;P
</oddFooter>
  </headerFooter>
  <rowBreaks count="1" manualBreakCount="1">
    <brk id="108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5E4FC-7014-47C0-A619-21D93C3E42FD}">
  <sheetPr>
    <pageSetUpPr fitToPage="1"/>
  </sheetPr>
  <dimension ref="A1:BE163"/>
  <sheetViews>
    <sheetView showGridLines="0" topLeftCell="C40" zoomScale="130" zoomScaleNormal="130" zoomScaleSheetLayoutView="85" workbookViewId="0">
      <selection activeCell="D17" sqref="D17"/>
    </sheetView>
  </sheetViews>
  <sheetFormatPr defaultColWidth="9.140625" defaultRowHeight="12.75" x14ac:dyDescent="0.2"/>
  <cols>
    <col min="1" max="1" width="8.7109375" style="34" customWidth="1"/>
    <col min="2" max="2" width="65.7109375" style="35" customWidth="1"/>
    <col min="3" max="4" width="11" style="35" customWidth="1"/>
    <col min="5" max="5" width="10.28515625" style="394" customWidth="1"/>
    <col min="6" max="6" width="11.28515625" style="395" customWidth="1"/>
    <col min="7" max="14" width="11.28515625" style="35" customWidth="1"/>
    <col min="15" max="16384" width="9.140625" style="35"/>
  </cols>
  <sheetData>
    <row r="1" spans="1:57" s="1" customFormat="1" ht="15" x14ac:dyDescent="0.2">
      <c r="A1" s="760" t="s">
        <v>494</v>
      </c>
      <c r="B1" s="760"/>
      <c r="C1" s="760"/>
      <c r="D1" s="760"/>
      <c r="E1" s="760"/>
      <c r="F1" s="760"/>
      <c r="G1" s="760"/>
      <c r="H1" s="760"/>
      <c r="I1" s="760"/>
      <c r="J1" s="760"/>
      <c r="K1" s="760"/>
      <c r="L1" s="760"/>
      <c r="M1" s="760"/>
      <c r="N1" s="760"/>
    </row>
    <row r="2" spans="1:57" s="95" customFormat="1" ht="6.95" customHeight="1" thickBot="1" x14ac:dyDescent="0.25">
      <c r="A2" s="1"/>
      <c r="B2" s="1"/>
      <c r="C2" s="1"/>
      <c r="D2" s="1"/>
      <c r="E2" s="1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</row>
    <row r="3" spans="1:57" s="343" customFormat="1" ht="13.7" customHeight="1" x14ac:dyDescent="0.2">
      <c r="A3" s="835" t="s">
        <v>27</v>
      </c>
      <c r="B3" s="410" t="s">
        <v>28</v>
      </c>
      <c r="C3" s="776" t="s">
        <v>695</v>
      </c>
      <c r="D3" s="776" t="s">
        <v>808</v>
      </c>
      <c r="E3" s="835" t="s">
        <v>26</v>
      </c>
      <c r="F3" s="840" t="s">
        <v>512</v>
      </c>
      <c r="G3" s="841"/>
      <c r="H3" s="840" t="s">
        <v>141</v>
      </c>
      <c r="I3" s="841"/>
      <c r="J3" s="840" t="s">
        <v>141</v>
      </c>
      <c r="K3" s="841"/>
      <c r="L3" s="835" t="s">
        <v>651</v>
      </c>
      <c r="M3" s="835" t="s">
        <v>652</v>
      </c>
      <c r="N3" s="835" t="s">
        <v>653</v>
      </c>
    </row>
    <row r="4" spans="1:57" s="343" customFormat="1" ht="13.7" customHeight="1" x14ac:dyDescent="0.2">
      <c r="A4" s="836"/>
      <c r="B4" s="411"/>
      <c r="C4" s="777"/>
      <c r="D4" s="777"/>
      <c r="E4" s="836"/>
      <c r="F4" s="330" t="s">
        <v>24</v>
      </c>
      <c r="G4" s="330" t="s">
        <v>25</v>
      </c>
      <c r="H4" s="330" t="s">
        <v>24</v>
      </c>
      <c r="I4" s="330" t="s">
        <v>25</v>
      </c>
      <c r="J4" s="330" t="s">
        <v>24</v>
      </c>
      <c r="K4" s="330" t="s">
        <v>25</v>
      </c>
      <c r="L4" s="836"/>
      <c r="M4" s="836"/>
      <c r="N4" s="836"/>
    </row>
    <row r="5" spans="1:57" s="343" customFormat="1" ht="13.7" customHeight="1" thickBot="1" x14ac:dyDescent="0.25">
      <c r="A5" s="837"/>
      <c r="B5" s="412"/>
      <c r="C5" s="778"/>
      <c r="D5" s="778"/>
      <c r="E5" s="837"/>
      <c r="F5" s="331" t="s">
        <v>23</v>
      </c>
      <c r="G5" s="331" t="s">
        <v>23</v>
      </c>
      <c r="H5" s="331" t="s">
        <v>23</v>
      </c>
      <c r="I5" s="331" t="s">
        <v>23</v>
      </c>
      <c r="J5" s="331" t="s">
        <v>23</v>
      </c>
      <c r="K5" s="331" t="s">
        <v>23</v>
      </c>
      <c r="L5" s="837"/>
      <c r="M5" s="837"/>
      <c r="N5" s="837"/>
    </row>
    <row r="6" spans="1:57" s="349" customFormat="1" ht="15" customHeight="1" x14ac:dyDescent="0.2">
      <c r="A6" s="250">
        <v>1</v>
      </c>
      <c r="B6" s="337" t="s">
        <v>696</v>
      </c>
      <c r="C6" s="344"/>
      <c r="D6" s="344"/>
      <c r="E6" s="345"/>
      <c r="F6" s="346"/>
      <c r="G6" s="348"/>
      <c r="H6" s="348"/>
      <c r="I6" s="348"/>
      <c r="J6" s="348"/>
      <c r="K6" s="348"/>
      <c r="L6" s="692"/>
      <c r="M6" s="692"/>
      <c r="N6" s="692"/>
    </row>
    <row r="7" spans="1:57" s="354" customFormat="1" ht="15" customHeight="1" x14ac:dyDescent="0.2">
      <c r="A7" s="350">
        <v>1.1000000000000001</v>
      </c>
      <c r="B7" s="351" t="s">
        <v>697</v>
      </c>
      <c r="C7" s="352">
        <v>83</v>
      </c>
      <c r="D7" s="413">
        <v>83</v>
      </c>
      <c r="E7" s="207" t="s">
        <v>29</v>
      </c>
      <c r="F7" s="415">
        <v>2752</v>
      </c>
      <c r="G7" s="416">
        <f>F7*C7</f>
        <v>228416</v>
      </c>
      <c r="H7" s="415">
        <v>860</v>
      </c>
      <c r="I7" s="415">
        <f>H7*C7</f>
        <v>71380</v>
      </c>
      <c r="J7" s="415">
        <f>H7+F7</f>
        <v>3612</v>
      </c>
      <c r="K7" s="415">
        <f>I7+G7</f>
        <v>299796</v>
      </c>
      <c r="L7" s="755" t="s">
        <v>791</v>
      </c>
      <c r="M7" s="755" t="s">
        <v>773</v>
      </c>
      <c r="N7" s="694"/>
      <c r="P7" s="718"/>
    </row>
    <row r="8" spans="1:57" s="354" customFormat="1" ht="15" customHeight="1" x14ac:dyDescent="0.2">
      <c r="A8" s="350">
        <v>1.2</v>
      </c>
      <c r="B8" s="351" t="s">
        <v>698</v>
      </c>
      <c r="C8" s="352">
        <v>195</v>
      </c>
      <c r="D8" s="413">
        <v>195</v>
      </c>
      <c r="E8" s="207" t="s">
        <v>29</v>
      </c>
      <c r="F8" s="415">
        <v>2150</v>
      </c>
      <c r="G8" s="416">
        <f t="shared" ref="G8:G12" si="0">F8*C8</f>
        <v>419250</v>
      </c>
      <c r="H8" s="415">
        <v>860</v>
      </c>
      <c r="I8" s="415">
        <f t="shared" ref="I8:I12" si="1">H8*C8</f>
        <v>167700</v>
      </c>
      <c r="J8" s="415">
        <f t="shared" ref="J8:K12" si="2">H8+F8</f>
        <v>3010</v>
      </c>
      <c r="K8" s="415">
        <f t="shared" si="2"/>
        <v>586950</v>
      </c>
      <c r="L8" s="755"/>
      <c r="M8" s="755"/>
      <c r="N8" s="694"/>
      <c r="P8" s="718"/>
    </row>
    <row r="9" spans="1:57" s="4" customFormat="1" ht="15" customHeight="1" x14ac:dyDescent="0.2">
      <c r="A9" s="350">
        <v>1.3</v>
      </c>
      <c r="B9" s="351" t="s">
        <v>699</v>
      </c>
      <c r="C9" s="352">
        <v>25</v>
      </c>
      <c r="D9" s="413">
        <v>25</v>
      </c>
      <c r="E9" s="207" t="s">
        <v>29</v>
      </c>
      <c r="F9" s="415">
        <v>3612</v>
      </c>
      <c r="G9" s="416">
        <f t="shared" si="0"/>
        <v>90300</v>
      </c>
      <c r="H9" s="415">
        <v>860</v>
      </c>
      <c r="I9" s="415">
        <f t="shared" si="1"/>
        <v>21500</v>
      </c>
      <c r="J9" s="415">
        <f t="shared" si="2"/>
        <v>4472</v>
      </c>
      <c r="K9" s="415">
        <f t="shared" si="2"/>
        <v>111800</v>
      </c>
      <c r="L9" s="755"/>
      <c r="M9" s="755"/>
      <c r="N9" s="695"/>
      <c r="O9" s="354"/>
      <c r="P9" s="718"/>
    </row>
    <row r="10" spans="1:57" s="4" customFormat="1" ht="15" customHeight="1" x14ac:dyDescent="0.2">
      <c r="A10" s="350">
        <v>1.4</v>
      </c>
      <c r="B10" s="351" t="s">
        <v>700</v>
      </c>
      <c r="C10" s="352">
        <v>1</v>
      </c>
      <c r="D10" s="413">
        <v>1</v>
      </c>
      <c r="E10" s="207" t="s">
        <v>29</v>
      </c>
      <c r="F10" s="415">
        <v>66220</v>
      </c>
      <c r="G10" s="416">
        <f t="shared" si="0"/>
        <v>66220</v>
      </c>
      <c r="H10" s="415">
        <v>1720</v>
      </c>
      <c r="I10" s="415">
        <f t="shared" si="1"/>
        <v>1720</v>
      </c>
      <c r="J10" s="415">
        <f t="shared" si="2"/>
        <v>67940</v>
      </c>
      <c r="K10" s="415">
        <f t="shared" si="2"/>
        <v>67940</v>
      </c>
      <c r="L10" s="755"/>
      <c r="M10" s="755"/>
      <c r="N10" s="695"/>
      <c r="O10" s="354"/>
      <c r="P10" s="718"/>
    </row>
    <row r="11" spans="1:57" s="4" customFormat="1" ht="15" customHeight="1" x14ac:dyDescent="0.2">
      <c r="A11" s="350">
        <v>1.5</v>
      </c>
      <c r="B11" s="351" t="s">
        <v>701</v>
      </c>
      <c r="C11" s="352">
        <v>1</v>
      </c>
      <c r="D11" s="413">
        <v>1</v>
      </c>
      <c r="E11" s="207" t="s">
        <v>83</v>
      </c>
      <c r="F11" s="415">
        <v>66220</v>
      </c>
      <c r="G11" s="416">
        <f t="shared" si="0"/>
        <v>66220</v>
      </c>
      <c r="H11" s="415">
        <v>1720</v>
      </c>
      <c r="I11" s="415">
        <f t="shared" si="1"/>
        <v>1720</v>
      </c>
      <c r="J11" s="415">
        <f t="shared" si="2"/>
        <v>67940</v>
      </c>
      <c r="K11" s="415">
        <f t="shared" si="2"/>
        <v>67940</v>
      </c>
      <c r="L11" s="755"/>
      <c r="M11" s="755"/>
      <c r="N11" s="695"/>
      <c r="O11" s="354"/>
      <c r="P11" s="718"/>
    </row>
    <row r="12" spans="1:57" s="4" customFormat="1" ht="15" customHeight="1" thickBot="1" x14ac:dyDescent="0.25">
      <c r="A12" s="350">
        <v>1.6</v>
      </c>
      <c r="B12" s="351" t="s">
        <v>702</v>
      </c>
      <c r="C12" s="352">
        <v>1</v>
      </c>
      <c r="D12" s="413">
        <v>1</v>
      </c>
      <c r="E12" s="207" t="s">
        <v>83</v>
      </c>
      <c r="F12" s="415">
        <v>41280</v>
      </c>
      <c r="G12" s="416">
        <f t="shared" si="0"/>
        <v>41280</v>
      </c>
      <c r="H12" s="415">
        <v>1720</v>
      </c>
      <c r="I12" s="415">
        <f t="shared" si="1"/>
        <v>1720</v>
      </c>
      <c r="J12" s="415">
        <f t="shared" si="2"/>
        <v>43000</v>
      </c>
      <c r="K12" s="415">
        <f t="shared" si="2"/>
        <v>43000</v>
      </c>
      <c r="L12" s="755"/>
      <c r="M12" s="755"/>
      <c r="N12" s="695"/>
      <c r="O12" s="354"/>
      <c r="P12" s="718"/>
    </row>
    <row r="13" spans="1:57" s="4" customFormat="1" ht="15" customHeight="1" thickBot="1" x14ac:dyDescent="0.25">
      <c r="A13" s="870" t="s">
        <v>703</v>
      </c>
      <c r="B13" s="871"/>
      <c r="C13" s="871"/>
      <c r="D13" s="871"/>
      <c r="E13" s="871"/>
      <c r="F13" s="431">
        <v>0</v>
      </c>
      <c r="G13" s="338"/>
      <c r="H13" s="338">
        <v>0</v>
      </c>
      <c r="I13" s="338"/>
      <c r="J13" s="419"/>
      <c r="K13" s="419"/>
      <c r="L13" s="693"/>
      <c r="M13" s="693"/>
      <c r="N13" s="693"/>
      <c r="O13" s="354"/>
      <c r="P13" s="718"/>
    </row>
    <row r="14" spans="1:57" s="349" customFormat="1" ht="15" customHeight="1" x14ac:dyDescent="0.2">
      <c r="A14" s="339">
        <v>2</v>
      </c>
      <c r="B14" s="340" t="s">
        <v>704</v>
      </c>
      <c r="C14" s="356"/>
      <c r="D14" s="356"/>
      <c r="E14" s="357"/>
      <c r="F14" s="360">
        <v>0</v>
      </c>
      <c r="G14" s="361"/>
      <c r="H14" s="361">
        <v>0</v>
      </c>
      <c r="I14" s="361"/>
      <c r="J14" s="361"/>
      <c r="K14" s="361"/>
      <c r="L14" s="361"/>
      <c r="M14" s="361"/>
      <c r="N14" s="361"/>
      <c r="O14" s="354"/>
      <c r="P14" s="718"/>
    </row>
    <row r="15" spans="1:57" s="354" customFormat="1" ht="30.75" customHeight="1" thickBot="1" x14ac:dyDescent="0.25">
      <c r="A15" s="362">
        <v>2.1</v>
      </c>
      <c r="B15" s="363" t="s">
        <v>705</v>
      </c>
      <c r="C15" s="352">
        <f>C8</f>
        <v>195</v>
      </c>
      <c r="D15" s="413">
        <v>195</v>
      </c>
      <c r="E15" s="364" t="s">
        <v>29</v>
      </c>
      <c r="F15" s="415">
        <v>9374</v>
      </c>
      <c r="G15" s="416">
        <f>F15*C15</f>
        <v>1827930</v>
      </c>
      <c r="H15" s="415">
        <v>860</v>
      </c>
      <c r="I15" s="415">
        <f>H15*C15</f>
        <v>167700</v>
      </c>
      <c r="J15" s="415">
        <f>H15+F15</f>
        <v>10234</v>
      </c>
      <c r="K15" s="415">
        <f>I15+G15</f>
        <v>1995630</v>
      </c>
      <c r="L15" s="691" t="s">
        <v>804</v>
      </c>
      <c r="M15" s="696" t="s">
        <v>773</v>
      </c>
      <c r="N15" s="353"/>
      <c r="P15" s="718"/>
    </row>
    <row r="16" spans="1:57" s="4" customFormat="1" ht="15" customHeight="1" thickBot="1" x14ac:dyDescent="0.25">
      <c r="A16" s="870" t="s">
        <v>703</v>
      </c>
      <c r="B16" s="871"/>
      <c r="C16" s="871"/>
      <c r="D16" s="871"/>
      <c r="E16" s="871"/>
      <c r="F16" s="417">
        <v>0</v>
      </c>
      <c r="G16" s="418"/>
      <c r="H16" s="419">
        <v>0</v>
      </c>
      <c r="I16" s="419"/>
      <c r="J16" s="419"/>
      <c r="K16" s="419"/>
      <c r="L16" s="419"/>
      <c r="M16" s="419"/>
      <c r="N16" s="338"/>
      <c r="O16" s="354"/>
      <c r="P16" s="718"/>
    </row>
    <row r="17" spans="1:16" s="349" customFormat="1" ht="15" customHeight="1" x14ac:dyDescent="0.2">
      <c r="A17" s="250">
        <v>3</v>
      </c>
      <c r="B17" s="340" t="s">
        <v>706</v>
      </c>
      <c r="C17" s="356"/>
      <c r="D17" s="356"/>
      <c r="E17" s="190"/>
      <c r="F17" s="420">
        <v>0</v>
      </c>
      <c r="G17" s="421"/>
      <c r="H17" s="365">
        <v>0</v>
      </c>
      <c r="I17" s="365"/>
      <c r="J17" s="365"/>
      <c r="K17" s="365"/>
      <c r="L17" s="365"/>
      <c r="M17" s="365"/>
      <c r="N17" s="365"/>
      <c r="O17" s="354"/>
      <c r="P17" s="718"/>
    </row>
    <row r="18" spans="1:16" s="354" customFormat="1" ht="15" customHeight="1" x14ac:dyDescent="0.2">
      <c r="A18" s="350">
        <v>3.1</v>
      </c>
      <c r="B18" s="366" t="s">
        <v>707</v>
      </c>
      <c r="C18" s="352">
        <v>4</v>
      </c>
      <c r="D18" s="413">
        <v>4</v>
      </c>
      <c r="E18" s="367" t="s">
        <v>29</v>
      </c>
      <c r="F18" s="415">
        <v>16340</v>
      </c>
      <c r="G18" s="416">
        <f t="shared" ref="G18:G19" si="3">F18*C18</f>
        <v>65360</v>
      </c>
      <c r="H18" s="415">
        <v>860</v>
      </c>
      <c r="I18" s="415">
        <f t="shared" ref="I18:I19" si="4">H18*C18</f>
        <v>3440</v>
      </c>
      <c r="J18" s="415">
        <f t="shared" ref="J18:K19" si="5">H18+F18</f>
        <v>17200</v>
      </c>
      <c r="K18" s="415">
        <f t="shared" si="5"/>
        <v>68800</v>
      </c>
      <c r="L18" s="864" t="s">
        <v>790</v>
      </c>
      <c r="M18" s="866" t="s">
        <v>773</v>
      </c>
      <c r="N18" s="353"/>
      <c r="P18" s="718"/>
    </row>
    <row r="19" spans="1:16" s="354" customFormat="1" ht="15" customHeight="1" thickBot="1" x14ac:dyDescent="0.25">
      <c r="A19" s="350">
        <v>3.2</v>
      </c>
      <c r="B19" s="366" t="s">
        <v>708</v>
      </c>
      <c r="C19" s="352">
        <v>4</v>
      </c>
      <c r="D19" s="413">
        <v>4</v>
      </c>
      <c r="E19" s="367" t="s">
        <v>29</v>
      </c>
      <c r="F19" s="415">
        <v>25370</v>
      </c>
      <c r="G19" s="416">
        <f t="shared" si="3"/>
        <v>101480</v>
      </c>
      <c r="H19" s="415">
        <v>860</v>
      </c>
      <c r="I19" s="415">
        <f t="shared" si="4"/>
        <v>3440</v>
      </c>
      <c r="J19" s="415">
        <f t="shared" si="5"/>
        <v>26230</v>
      </c>
      <c r="K19" s="415">
        <f t="shared" si="5"/>
        <v>104920</v>
      </c>
      <c r="L19" s="865"/>
      <c r="M19" s="867"/>
      <c r="N19" s="353"/>
      <c r="P19" s="718"/>
    </row>
    <row r="20" spans="1:16" s="4" customFormat="1" ht="15" customHeight="1" thickBot="1" x14ac:dyDescent="0.25">
      <c r="A20" s="870" t="s">
        <v>703</v>
      </c>
      <c r="B20" s="871"/>
      <c r="C20" s="871"/>
      <c r="D20" s="871"/>
      <c r="E20" s="871"/>
      <c r="F20" s="431">
        <v>0</v>
      </c>
      <c r="G20" s="338"/>
      <c r="H20" s="338"/>
      <c r="I20" s="338"/>
      <c r="J20" s="419"/>
      <c r="K20" s="419"/>
      <c r="L20" s="338"/>
      <c r="M20" s="338"/>
      <c r="N20" s="338"/>
      <c r="O20" s="354"/>
      <c r="P20" s="718"/>
    </row>
    <row r="21" spans="1:16" s="336" customFormat="1" ht="15" customHeight="1" x14ac:dyDescent="0.2">
      <c r="A21" s="250">
        <v>4</v>
      </c>
      <c r="B21" s="340" t="s">
        <v>709</v>
      </c>
      <c r="C21" s="356"/>
      <c r="D21" s="356"/>
      <c r="E21" s="190"/>
      <c r="F21" s="190">
        <v>0</v>
      </c>
      <c r="G21" s="368"/>
      <c r="H21" s="368"/>
      <c r="I21" s="368"/>
      <c r="J21" s="368"/>
      <c r="K21" s="368"/>
      <c r="L21" s="368"/>
      <c r="M21" s="368"/>
      <c r="N21" s="368"/>
      <c r="O21" s="354"/>
      <c r="P21" s="718"/>
    </row>
    <row r="22" spans="1:16" s="354" customFormat="1" ht="15" customHeight="1" x14ac:dyDescent="0.2">
      <c r="A22" s="369">
        <v>4.0999999999999996</v>
      </c>
      <c r="B22" s="370" t="s">
        <v>710</v>
      </c>
      <c r="C22" s="371"/>
      <c r="D22" s="371"/>
      <c r="E22" s="372"/>
      <c r="F22" s="433">
        <v>0</v>
      </c>
      <c r="G22" s="373"/>
      <c r="H22" s="373"/>
      <c r="I22" s="373"/>
      <c r="J22" s="423"/>
      <c r="K22" s="423"/>
      <c r="L22" s="699"/>
      <c r="M22" s="699"/>
      <c r="N22" s="373"/>
      <c r="P22" s="718"/>
    </row>
    <row r="23" spans="1:16" s="354" customFormat="1" ht="15" customHeight="1" x14ac:dyDescent="0.2">
      <c r="A23" s="350" t="s">
        <v>537</v>
      </c>
      <c r="B23" s="374" t="s">
        <v>711</v>
      </c>
      <c r="C23" s="352" t="s">
        <v>198</v>
      </c>
      <c r="D23" s="413"/>
      <c r="E23" s="367" t="s">
        <v>22</v>
      </c>
      <c r="F23" s="430">
        <v>0</v>
      </c>
      <c r="G23" s="353" t="s">
        <v>228</v>
      </c>
      <c r="H23" s="353"/>
      <c r="I23" s="353" t="s">
        <v>228</v>
      </c>
      <c r="J23" s="424" t="s">
        <v>228</v>
      </c>
      <c r="K23" s="697" t="s">
        <v>228</v>
      </c>
      <c r="L23" s="755" t="s">
        <v>787</v>
      </c>
      <c r="M23" s="755" t="s">
        <v>789</v>
      </c>
      <c r="N23" s="755" t="s">
        <v>800</v>
      </c>
      <c r="P23" s="718"/>
    </row>
    <row r="24" spans="1:16" s="354" customFormat="1" ht="15" customHeight="1" x14ac:dyDescent="0.2">
      <c r="A24" s="350" t="s">
        <v>538</v>
      </c>
      <c r="B24" s="374" t="s">
        <v>712</v>
      </c>
      <c r="C24" s="713">
        <v>320</v>
      </c>
      <c r="D24" s="413">
        <v>290</v>
      </c>
      <c r="E24" s="367" t="s">
        <v>22</v>
      </c>
      <c r="F24" s="415">
        <v>1634</v>
      </c>
      <c r="G24" s="416">
        <f>F24*C24</f>
        <v>522880</v>
      </c>
      <c r="H24" s="415">
        <v>258</v>
      </c>
      <c r="I24" s="415">
        <f>H24*C24</f>
        <v>82560</v>
      </c>
      <c r="J24" s="415">
        <f>H24+F24</f>
        <v>1892</v>
      </c>
      <c r="K24" s="698">
        <f>I24+G24</f>
        <v>605440</v>
      </c>
      <c r="L24" s="755"/>
      <c r="M24" s="755"/>
      <c r="N24" s="755"/>
      <c r="P24" s="718"/>
    </row>
    <row r="25" spans="1:16" s="354" customFormat="1" ht="15" customHeight="1" x14ac:dyDescent="0.2">
      <c r="A25" s="350" t="s">
        <v>539</v>
      </c>
      <c r="B25" s="374" t="s">
        <v>713</v>
      </c>
      <c r="C25" s="352" t="s">
        <v>198</v>
      </c>
      <c r="D25" s="413" t="s">
        <v>198</v>
      </c>
      <c r="E25" s="367" t="s">
        <v>22</v>
      </c>
      <c r="F25" s="430">
        <v>1548</v>
      </c>
      <c r="G25" s="353" t="s">
        <v>228</v>
      </c>
      <c r="H25" s="353">
        <v>172</v>
      </c>
      <c r="I25" s="353" t="s">
        <v>228</v>
      </c>
      <c r="J25" s="424" t="s">
        <v>228</v>
      </c>
      <c r="K25" s="697" t="s">
        <v>228</v>
      </c>
      <c r="L25" s="755"/>
      <c r="M25" s="755"/>
      <c r="N25" s="755"/>
      <c r="P25" s="718"/>
    </row>
    <row r="26" spans="1:16" s="354" customFormat="1" ht="15" customHeight="1" x14ac:dyDescent="0.2">
      <c r="A26" s="369">
        <v>4.2</v>
      </c>
      <c r="B26" s="370" t="s">
        <v>714</v>
      </c>
      <c r="C26" s="371"/>
      <c r="D26" s="371"/>
      <c r="E26" s="372"/>
      <c r="F26" s="433">
        <v>0</v>
      </c>
      <c r="G26" s="373"/>
      <c r="H26" s="373">
        <v>0</v>
      </c>
      <c r="I26" s="373"/>
      <c r="J26" s="423"/>
      <c r="K26" s="422"/>
      <c r="L26" s="755"/>
      <c r="M26" s="755"/>
      <c r="N26" s="755"/>
      <c r="P26" s="718"/>
    </row>
    <row r="27" spans="1:16" s="354" customFormat="1" ht="15" customHeight="1" x14ac:dyDescent="0.2">
      <c r="A27" s="350" t="s">
        <v>541</v>
      </c>
      <c r="B27" s="374" t="s">
        <v>715</v>
      </c>
      <c r="C27" s="713">
        <v>220</v>
      </c>
      <c r="D27" s="413">
        <v>215</v>
      </c>
      <c r="E27" s="367" t="s">
        <v>22</v>
      </c>
      <c r="F27" s="415">
        <v>1075</v>
      </c>
      <c r="G27" s="416">
        <f t="shared" ref="G27:G30" si="6">F27*C27</f>
        <v>236500</v>
      </c>
      <c r="H27" s="415">
        <v>215</v>
      </c>
      <c r="I27" s="415">
        <f t="shared" ref="I27:I30" si="7">H27*C27</f>
        <v>47300</v>
      </c>
      <c r="J27" s="415">
        <f t="shared" ref="J27:K30" si="8">H27+F27</f>
        <v>1290</v>
      </c>
      <c r="K27" s="698">
        <f t="shared" si="8"/>
        <v>283800</v>
      </c>
      <c r="L27" s="755"/>
      <c r="M27" s="755"/>
      <c r="N27" s="755"/>
      <c r="P27" s="718"/>
    </row>
    <row r="28" spans="1:16" s="354" customFormat="1" ht="15" customHeight="1" x14ac:dyDescent="0.2">
      <c r="A28" s="350" t="s">
        <v>543</v>
      </c>
      <c r="B28" s="374" t="s">
        <v>716</v>
      </c>
      <c r="C28" s="713">
        <v>462</v>
      </c>
      <c r="D28" s="413">
        <v>455</v>
      </c>
      <c r="E28" s="367" t="s">
        <v>22</v>
      </c>
      <c r="F28" s="415">
        <v>817</v>
      </c>
      <c r="G28" s="416">
        <f t="shared" si="6"/>
        <v>377454</v>
      </c>
      <c r="H28" s="415">
        <v>189.2</v>
      </c>
      <c r="I28" s="415">
        <f t="shared" si="7"/>
        <v>87410.4</v>
      </c>
      <c r="J28" s="415">
        <f t="shared" si="8"/>
        <v>1006.2</v>
      </c>
      <c r="K28" s="698">
        <f t="shared" si="8"/>
        <v>464864.4</v>
      </c>
      <c r="L28" s="755"/>
      <c r="M28" s="755"/>
      <c r="N28" s="755"/>
      <c r="P28" s="718"/>
    </row>
    <row r="29" spans="1:16" s="354" customFormat="1" ht="15" customHeight="1" x14ac:dyDescent="0.2">
      <c r="A29" s="350" t="s">
        <v>544</v>
      </c>
      <c r="B29" s="374" t="s">
        <v>717</v>
      </c>
      <c r="C29" s="713">
        <v>480</v>
      </c>
      <c r="D29" s="413">
        <v>400</v>
      </c>
      <c r="E29" s="367" t="s">
        <v>22</v>
      </c>
      <c r="F29" s="415">
        <v>688</v>
      </c>
      <c r="G29" s="416">
        <f t="shared" si="6"/>
        <v>330240</v>
      </c>
      <c r="H29" s="415">
        <v>189.2</v>
      </c>
      <c r="I29" s="415">
        <f t="shared" si="7"/>
        <v>90816</v>
      </c>
      <c r="J29" s="415">
        <f t="shared" si="8"/>
        <v>877.2</v>
      </c>
      <c r="K29" s="698">
        <f t="shared" si="8"/>
        <v>421056</v>
      </c>
      <c r="L29" s="755"/>
      <c r="M29" s="755"/>
      <c r="N29" s="755"/>
      <c r="P29" s="718"/>
    </row>
    <row r="30" spans="1:16" s="354" customFormat="1" ht="15" customHeight="1" thickBot="1" x14ac:dyDescent="0.25">
      <c r="A30" s="350" t="s">
        <v>545</v>
      </c>
      <c r="B30" s="374" t="s">
        <v>718</v>
      </c>
      <c r="C30" s="713">
        <v>1840</v>
      </c>
      <c r="D30" s="413">
        <v>1785</v>
      </c>
      <c r="E30" s="367" t="s">
        <v>22</v>
      </c>
      <c r="F30" s="415">
        <v>584.79999999999995</v>
      </c>
      <c r="G30" s="416">
        <f t="shared" si="6"/>
        <v>1076032</v>
      </c>
      <c r="H30" s="415">
        <v>189.2</v>
      </c>
      <c r="I30" s="415">
        <f t="shared" si="7"/>
        <v>348128</v>
      </c>
      <c r="J30" s="415">
        <f t="shared" si="8"/>
        <v>774</v>
      </c>
      <c r="K30" s="698">
        <f t="shared" si="8"/>
        <v>1424160</v>
      </c>
      <c r="L30" s="755"/>
      <c r="M30" s="755"/>
      <c r="N30" s="755"/>
      <c r="P30" s="718"/>
    </row>
    <row r="31" spans="1:16" s="4" customFormat="1" ht="15" customHeight="1" thickBot="1" x14ac:dyDescent="0.25">
      <c r="A31" s="870" t="s">
        <v>703</v>
      </c>
      <c r="B31" s="871"/>
      <c r="C31" s="871"/>
      <c r="D31" s="871"/>
      <c r="E31" s="871"/>
      <c r="F31" s="431">
        <v>0</v>
      </c>
      <c r="G31" s="338"/>
      <c r="H31" s="338"/>
      <c r="I31" s="338"/>
      <c r="J31" s="419"/>
      <c r="K31" s="419"/>
      <c r="L31" s="693"/>
      <c r="M31" s="693"/>
      <c r="N31" s="338"/>
      <c r="O31" s="354"/>
      <c r="P31" s="718"/>
    </row>
    <row r="32" spans="1:16" s="349" customFormat="1" ht="15" customHeight="1" x14ac:dyDescent="0.2">
      <c r="A32" s="250">
        <v>5</v>
      </c>
      <c r="B32" s="341" t="s">
        <v>719</v>
      </c>
      <c r="C32" s="356"/>
      <c r="D32" s="356"/>
      <c r="E32" s="357"/>
      <c r="F32" s="358">
        <v>0</v>
      </c>
      <c r="G32" s="365"/>
      <c r="H32" s="365"/>
      <c r="I32" s="365"/>
      <c r="J32" s="365"/>
      <c r="K32" s="365"/>
      <c r="L32" s="365"/>
      <c r="M32" s="365"/>
      <c r="N32" s="365"/>
      <c r="O32" s="354"/>
      <c r="P32" s="718"/>
    </row>
    <row r="33" spans="1:16" s="4" customFormat="1" ht="25.5" customHeight="1" thickBot="1" x14ac:dyDescent="0.25">
      <c r="A33" s="350">
        <v>5.0999999999999996</v>
      </c>
      <c r="B33" s="351" t="s">
        <v>761</v>
      </c>
      <c r="C33" s="352">
        <v>2</v>
      </c>
      <c r="D33" s="413">
        <v>2</v>
      </c>
      <c r="E33" s="367" t="s">
        <v>29</v>
      </c>
      <c r="F33" s="430">
        <v>76540</v>
      </c>
      <c r="G33" s="353" t="s">
        <v>228</v>
      </c>
      <c r="H33" s="353">
        <v>2580</v>
      </c>
      <c r="I33" s="353" t="s">
        <v>228</v>
      </c>
      <c r="J33" s="424" t="s">
        <v>228</v>
      </c>
      <c r="K33" s="424" t="s">
        <v>228</v>
      </c>
      <c r="L33" s="691" t="s">
        <v>791</v>
      </c>
      <c r="M33" s="696" t="s">
        <v>789</v>
      </c>
      <c r="N33" s="353"/>
      <c r="O33" s="354"/>
      <c r="P33" s="718"/>
    </row>
    <row r="34" spans="1:16" s="4" customFormat="1" ht="15" customHeight="1" thickBot="1" x14ac:dyDescent="0.25">
      <c r="A34" s="870" t="s">
        <v>703</v>
      </c>
      <c r="B34" s="871"/>
      <c r="C34" s="871"/>
      <c r="D34" s="871"/>
      <c r="E34" s="871"/>
      <c r="F34" s="431">
        <v>0</v>
      </c>
      <c r="G34" s="338"/>
      <c r="H34" s="338"/>
      <c r="I34" s="338"/>
      <c r="J34" s="419"/>
      <c r="K34" s="419"/>
      <c r="L34" s="338"/>
      <c r="M34" s="338"/>
      <c r="N34" s="338"/>
      <c r="O34" s="354"/>
      <c r="P34" s="718"/>
    </row>
    <row r="35" spans="1:16" s="349" customFormat="1" ht="15" customHeight="1" x14ac:dyDescent="0.2">
      <c r="A35" s="250">
        <v>6</v>
      </c>
      <c r="B35" s="340" t="s">
        <v>721</v>
      </c>
      <c r="C35" s="356"/>
      <c r="D35" s="356"/>
      <c r="E35" s="357"/>
      <c r="F35" s="358">
        <v>0</v>
      </c>
      <c r="G35" s="365"/>
      <c r="H35" s="365"/>
      <c r="I35" s="365"/>
      <c r="J35" s="365"/>
      <c r="K35" s="365"/>
      <c r="L35" s="365"/>
      <c r="M35" s="365"/>
      <c r="N35" s="365"/>
      <c r="O35" s="354"/>
      <c r="P35" s="718"/>
    </row>
    <row r="36" spans="1:16" s="379" customFormat="1" ht="15" customHeight="1" x14ac:dyDescent="0.2">
      <c r="A36" s="369">
        <v>6.1</v>
      </c>
      <c r="B36" s="375" t="s">
        <v>722</v>
      </c>
      <c r="C36" s="376"/>
      <c r="D36" s="376"/>
      <c r="E36" s="377"/>
      <c r="F36" s="434">
        <v>0</v>
      </c>
      <c r="G36" s="378"/>
      <c r="H36" s="378"/>
      <c r="I36" s="378"/>
      <c r="J36" s="426"/>
      <c r="K36" s="426"/>
      <c r="L36" s="378"/>
      <c r="M36" s="378"/>
      <c r="N36" s="378"/>
      <c r="O36" s="354"/>
      <c r="P36" s="718"/>
    </row>
    <row r="37" spans="1:16" s="381" customFormat="1" ht="15" customHeight="1" x14ac:dyDescent="0.2">
      <c r="A37" s="380" t="s">
        <v>723</v>
      </c>
      <c r="B37" s="374" t="s">
        <v>711</v>
      </c>
      <c r="C37" s="352" t="s">
        <v>198</v>
      </c>
      <c r="D37" s="413"/>
      <c r="E37" s="309" t="s">
        <v>83</v>
      </c>
      <c r="F37" s="430">
        <v>0</v>
      </c>
      <c r="G37" s="353" t="s">
        <v>228</v>
      </c>
      <c r="H37" s="353"/>
      <c r="I37" s="353" t="s">
        <v>228</v>
      </c>
      <c r="J37" s="424" t="s">
        <v>228</v>
      </c>
      <c r="K37" s="424" t="s">
        <v>228</v>
      </c>
      <c r="L37" s="858" t="s">
        <v>792</v>
      </c>
      <c r="M37" s="861" t="s">
        <v>789</v>
      </c>
      <c r="N37" s="353"/>
      <c r="O37" s="354"/>
      <c r="P37" s="718"/>
    </row>
    <row r="38" spans="1:16" s="381" customFormat="1" ht="15" customHeight="1" x14ac:dyDescent="0.2">
      <c r="A38" s="380" t="s">
        <v>724</v>
      </c>
      <c r="B38" s="374" t="s">
        <v>712</v>
      </c>
      <c r="C38" s="352">
        <v>11</v>
      </c>
      <c r="D38" s="413">
        <v>11</v>
      </c>
      <c r="E38" s="309" t="s">
        <v>29</v>
      </c>
      <c r="F38" s="415">
        <v>7740</v>
      </c>
      <c r="G38" s="416">
        <f>F38*C38</f>
        <v>85140</v>
      </c>
      <c r="H38" s="415">
        <v>860</v>
      </c>
      <c r="I38" s="415">
        <f>H38*C38</f>
        <v>9460</v>
      </c>
      <c r="J38" s="415">
        <f>H38+F38</f>
        <v>8600</v>
      </c>
      <c r="K38" s="415">
        <f>I38+G38</f>
        <v>94600</v>
      </c>
      <c r="L38" s="859"/>
      <c r="M38" s="862"/>
      <c r="N38" s="353"/>
      <c r="O38" s="354"/>
      <c r="P38" s="718"/>
    </row>
    <row r="39" spans="1:16" s="381" customFormat="1" ht="15" customHeight="1" x14ac:dyDescent="0.2">
      <c r="A39" s="380" t="s">
        <v>725</v>
      </c>
      <c r="B39" s="374" t="s">
        <v>713</v>
      </c>
      <c r="C39" s="352" t="s">
        <v>198</v>
      </c>
      <c r="D39" s="413"/>
      <c r="E39" s="309" t="s">
        <v>83</v>
      </c>
      <c r="F39" s="430">
        <v>0</v>
      </c>
      <c r="G39" s="353" t="s">
        <v>228</v>
      </c>
      <c r="H39" s="353"/>
      <c r="I39" s="353" t="s">
        <v>228</v>
      </c>
      <c r="J39" s="424" t="s">
        <v>228</v>
      </c>
      <c r="K39" s="424" t="s">
        <v>228</v>
      </c>
      <c r="L39" s="859"/>
      <c r="M39" s="862"/>
      <c r="N39" s="353"/>
      <c r="O39" s="354"/>
      <c r="P39" s="718"/>
    </row>
    <row r="40" spans="1:16" s="379" customFormat="1" ht="15" customHeight="1" x14ac:dyDescent="0.2">
      <c r="A40" s="382">
        <v>6.2</v>
      </c>
      <c r="B40" s="375" t="s">
        <v>726</v>
      </c>
      <c r="C40" s="376"/>
      <c r="D40" s="376"/>
      <c r="E40" s="377"/>
      <c r="F40" s="434">
        <v>0</v>
      </c>
      <c r="G40" s="378"/>
      <c r="H40" s="378"/>
      <c r="I40" s="378"/>
      <c r="J40" s="426"/>
      <c r="K40" s="426"/>
      <c r="L40" s="859"/>
      <c r="M40" s="862"/>
      <c r="N40" s="378"/>
      <c r="O40" s="354"/>
      <c r="P40" s="718"/>
    </row>
    <row r="41" spans="1:16" s="381" customFormat="1" ht="15" customHeight="1" x14ac:dyDescent="0.2">
      <c r="A41" s="380" t="s">
        <v>727</v>
      </c>
      <c r="B41" s="374" t="s">
        <v>711</v>
      </c>
      <c r="C41" s="352" t="s">
        <v>198</v>
      </c>
      <c r="D41" s="413"/>
      <c r="E41" s="309" t="s">
        <v>83</v>
      </c>
      <c r="F41" s="430">
        <v>0</v>
      </c>
      <c r="G41" s="353" t="s">
        <v>228</v>
      </c>
      <c r="H41" s="353" t="s">
        <v>228</v>
      </c>
      <c r="I41" s="353" t="s">
        <v>228</v>
      </c>
      <c r="J41" s="424" t="s">
        <v>228</v>
      </c>
      <c r="K41" s="424" t="s">
        <v>228</v>
      </c>
      <c r="L41" s="859"/>
      <c r="M41" s="862"/>
      <c r="N41" s="353"/>
      <c r="O41" s="354"/>
      <c r="P41" s="718"/>
    </row>
    <row r="42" spans="1:16" s="381" customFormat="1" ht="15" customHeight="1" x14ac:dyDescent="0.2">
      <c r="A42" s="380" t="s">
        <v>728</v>
      </c>
      <c r="B42" s="374" t="s">
        <v>712</v>
      </c>
      <c r="C42" s="352">
        <v>7</v>
      </c>
      <c r="D42" s="413">
        <v>7</v>
      </c>
      <c r="E42" s="309" t="s">
        <v>29</v>
      </c>
      <c r="F42" s="415">
        <v>7310</v>
      </c>
      <c r="G42" s="416">
        <f>F42*C42</f>
        <v>51170</v>
      </c>
      <c r="H42" s="415">
        <v>860</v>
      </c>
      <c r="I42" s="415">
        <f>H42*C42</f>
        <v>6020</v>
      </c>
      <c r="J42" s="415">
        <f>H42+F42</f>
        <v>8170</v>
      </c>
      <c r="K42" s="415">
        <f>I42+G42</f>
        <v>57190</v>
      </c>
      <c r="L42" s="859"/>
      <c r="M42" s="862"/>
      <c r="N42" s="353"/>
      <c r="O42" s="354"/>
      <c r="P42" s="718"/>
    </row>
    <row r="43" spans="1:16" s="379" customFormat="1" ht="15" customHeight="1" x14ac:dyDescent="0.2">
      <c r="A43" s="380" t="s">
        <v>729</v>
      </c>
      <c r="B43" s="374" t="s">
        <v>713</v>
      </c>
      <c r="C43" s="352" t="s">
        <v>198</v>
      </c>
      <c r="D43" s="413"/>
      <c r="E43" s="309" t="s">
        <v>83</v>
      </c>
      <c r="F43" s="430">
        <v>0</v>
      </c>
      <c r="G43" s="353" t="s">
        <v>228</v>
      </c>
      <c r="H43" s="353" t="s">
        <v>228</v>
      </c>
      <c r="I43" s="353" t="s">
        <v>228</v>
      </c>
      <c r="J43" s="424" t="s">
        <v>228</v>
      </c>
      <c r="K43" s="424" t="s">
        <v>228</v>
      </c>
      <c r="L43" s="859"/>
      <c r="M43" s="862"/>
      <c r="N43" s="353"/>
      <c r="O43" s="354"/>
      <c r="P43" s="718"/>
    </row>
    <row r="44" spans="1:16" s="379" customFormat="1" ht="15" customHeight="1" x14ac:dyDescent="0.2">
      <c r="A44" s="383">
        <v>6.3</v>
      </c>
      <c r="B44" s="375" t="s">
        <v>730</v>
      </c>
      <c r="C44" s="376"/>
      <c r="D44" s="376"/>
      <c r="E44" s="377"/>
      <c r="F44" s="434">
        <v>0</v>
      </c>
      <c r="G44" s="378"/>
      <c r="H44" s="378"/>
      <c r="I44" s="378"/>
      <c r="J44" s="426"/>
      <c r="K44" s="426"/>
      <c r="L44" s="859"/>
      <c r="M44" s="862"/>
      <c r="N44" s="378"/>
      <c r="O44" s="354"/>
      <c r="P44" s="718"/>
    </row>
    <row r="45" spans="1:16" s="379" customFormat="1" ht="15" customHeight="1" x14ac:dyDescent="0.2">
      <c r="A45" s="380" t="s">
        <v>560</v>
      </c>
      <c r="B45" s="374" t="s">
        <v>715</v>
      </c>
      <c r="C45" s="352">
        <v>17</v>
      </c>
      <c r="D45" s="413">
        <v>17</v>
      </c>
      <c r="E45" s="309" t="s">
        <v>29</v>
      </c>
      <c r="F45" s="415">
        <v>4300</v>
      </c>
      <c r="G45" s="416">
        <f t="shared" ref="G45:G48" si="9">F45*C45</f>
        <v>73100</v>
      </c>
      <c r="H45" s="415">
        <v>860</v>
      </c>
      <c r="I45" s="415">
        <f t="shared" ref="I45:I48" si="10">H45*C45</f>
        <v>14620</v>
      </c>
      <c r="J45" s="415">
        <f t="shared" ref="J45:K48" si="11">H45+F45</f>
        <v>5160</v>
      </c>
      <c r="K45" s="415">
        <f t="shared" si="11"/>
        <v>87720</v>
      </c>
      <c r="L45" s="859"/>
      <c r="M45" s="862"/>
      <c r="N45" s="353"/>
      <c r="O45" s="354"/>
      <c r="P45" s="718"/>
    </row>
    <row r="46" spans="1:16" s="381" customFormat="1" ht="15" customHeight="1" x14ac:dyDescent="0.2">
      <c r="A46" s="380" t="s">
        <v>561</v>
      </c>
      <c r="B46" s="374" t="s">
        <v>716</v>
      </c>
      <c r="C46" s="352">
        <v>34</v>
      </c>
      <c r="D46" s="413">
        <v>34</v>
      </c>
      <c r="E46" s="309" t="s">
        <v>29</v>
      </c>
      <c r="F46" s="415">
        <v>3440</v>
      </c>
      <c r="G46" s="416">
        <f t="shared" si="9"/>
        <v>116960</v>
      </c>
      <c r="H46" s="415">
        <v>860</v>
      </c>
      <c r="I46" s="415">
        <f t="shared" si="10"/>
        <v>29240</v>
      </c>
      <c r="J46" s="415">
        <f t="shared" si="11"/>
        <v>4300</v>
      </c>
      <c r="K46" s="415">
        <f t="shared" si="11"/>
        <v>146200</v>
      </c>
      <c r="L46" s="859"/>
      <c r="M46" s="862"/>
      <c r="N46" s="353"/>
      <c r="O46" s="354"/>
      <c r="P46" s="718"/>
    </row>
    <row r="47" spans="1:16" s="381" customFormat="1" ht="15" customHeight="1" x14ac:dyDescent="0.2">
      <c r="A47" s="380" t="s">
        <v>562</v>
      </c>
      <c r="B47" s="374" t="s">
        <v>717</v>
      </c>
      <c r="C47" s="352">
        <v>25</v>
      </c>
      <c r="D47" s="413">
        <v>25</v>
      </c>
      <c r="E47" s="309" t="s">
        <v>29</v>
      </c>
      <c r="F47" s="415">
        <v>3440</v>
      </c>
      <c r="G47" s="416">
        <f t="shared" si="9"/>
        <v>86000</v>
      </c>
      <c r="H47" s="415">
        <v>860</v>
      </c>
      <c r="I47" s="415">
        <f t="shared" si="10"/>
        <v>21500</v>
      </c>
      <c r="J47" s="415">
        <f t="shared" si="11"/>
        <v>4300</v>
      </c>
      <c r="K47" s="415">
        <f t="shared" si="11"/>
        <v>107500</v>
      </c>
      <c r="L47" s="859"/>
      <c r="M47" s="862"/>
      <c r="N47" s="353"/>
      <c r="O47" s="354"/>
      <c r="P47" s="718"/>
    </row>
    <row r="48" spans="1:16" s="381" customFormat="1" ht="15" customHeight="1" thickBot="1" x14ac:dyDescent="0.25">
      <c r="A48" s="380" t="s">
        <v>563</v>
      </c>
      <c r="B48" s="374" t="s">
        <v>718</v>
      </c>
      <c r="C48" s="352">
        <v>70</v>
      </c>
      <c r="D48" s="413">
        <v>70</v>
      </c>
      <c r="E48" s="309" t="s">
        <v>29</v>
      </c>
      <c r="F48" s="415">
        <v>2580</v>
      </c>
      <c r="G48" s="416">
        <f t="shared" si="9"/>
        <v>180600</v>
      </c>
      <c r="H48" s="415">
        <v>860</v>
      </c>
      <c r="I48" s="415">
        <f t="shared" si="10"/>
        <v>60200</v>
      </c>
      <c r="J48" s="415">
        <f t="shared" si="11"/>
        <v>3440</v>
      </c>
      <c r="K48" s="415">
        <f t="shared" si="11"/>
        <v>240800</v>
      </c>
      <c r="L48" s="860"/>
      <c r="M48" s="863"/>
      <c r="N48" s="353"/>
      <c r="O48" s="354"/>
      <c r="P48" s="718"/>
    </row>
    <row r="49" spans="1:16" s="4" customFormat="1" ht="15" customHeight="1" thickBot="1" x14ac:dyDescent="0.25">
      <c r="A49" s="870" t="s">
        <v>703</v>
      </c>
      <c r="B49" s="871"/>
      <c r="C49" s="871"/>
      <c r="D49" s="871"/>
      <c r="E49" s="871"/>
      <c r="F49" s="431">
        <v>0</v>
      </c>
      <c r="G49" s="338"/>
      <c r="H49" s="338"/>
      <c r="I49" s="338"/>
      <c r="J49" s="419"/>
      <c r="K49" s="419"/>
      <c r="L49" s="338"/>
      <c r="M49" s="338"/>
      <c r="N49" s="338"/>
      <c r="O49" s="354"/>
      <c r="P49" s="718"/>
    </row>
    <row r="50" spans="1:16" s="349" customFormat="1" ht="15" customHeight="1" x14ac:dyDescent="0.2">
      <c r="A50" s="250">
        <v>7</v>
      </c>
      <c r="B50" s="340" t="s">
        <v>731</v>
      </c>
      <c r="C50" s="356"/>
      <c r="D50" s="356"/>
      <c r="E50" s="384"/>
      <c r="F50" s="435">
        <v>0</v>
      </c>
      <c r="G50" s="365"/>
      <c r="H50" s="365"/>
      <c r="I50" s="365"/>
      <c r="J50" s="365"/>
      <c r="K50" s="365"/>
      <c r="L50" s="365"/>
      <c r="M50" s="365"/>
      <c r="N50" s="365"/>
      <c r="O50" s="354"/>
      <c r="P50" s="718"/>
    </row>
    <row r="51" spans="1:16" s="354" customFormat="1" ht="15" customHeight="1" thickBot="1" x14ac:dyDescent="0.25">
      <c r="A51" s="350">
        <v>7.1</v>
      </c>
      <c r="B51" s="351" t="s">
        <v>732</v>
      </c>
      <c r="C51" s="352">
        <v>1</v>
      </c>
      <c r="D51" s="413">
        <v>1</v>
      </c>
      <c r="E51" s="207" t="s">
        <v>30</v>
      </c>
      <c r="F51" s="415">
        <v>0</v>
      </c>
      <c r="G51" s="416">
        <f>F51*C51</f>
        <v>0</v>
      </c>
      <c r="H51" s="415">
        <v>21500</v>
      </c>
      <c r="I51" s="415">
        <f>H51*C51</f>
        <v>21500</v>
      </c>
      <c r="J51" s="415">
        <f>H51+F51</f>
        <v>21500</v>
      </c>
      <c r="K51" s="415">
        <f>I51+G51</f>
        <v>21500</v>
      </c>
      <c r="L51" s="353"/>
      <c r="M51" s="353"/>
      <c r="N51" s="353"/>
      <c r="P51" s="718"/>
    </row>
    <row r="52" spans="1:16" s="4" customFormat="1" ht="15" customHeight="1" thickBot="1" x14ac:dyDescent="0.25">
      <c r="A52" s="870" t="s">
        <v>703</v>
      </c>
      <c r="B52" s="871"/>
      <c r="C52" s="871"/>
      <c r="D52" s="871"/>
      <c r="E52" s="871"/>
      <c r="F52" s="431">
        <v>0</v>
      </c>
      <c r="G52" s="338"/>
      <c r="H52" s="338"/>
      <c r="I52" s="338"/>
      <c r="J52" s="419"/>
      <c r="K52" s="419"/>
      <c r="L52" s="338"/>
      <c r="M52" s="338"/>
      <c r="N52" s="338"/>
      <c r="O52" s="354"/>
      <c r="P52" s="718"/>
    </row>
    <row r="53" spans="1:16" s="349" customFormat="1" ht="15" customHeight="1" x14ac:dyDescent="0.2">
      <c r="A53" s="250">
        <v>8</v>
      </c>
      <c r="B53" s="340" t="s">
        <v>733</v>
      </c>
      <c r="C53" s="356"/>
      <c r="D53" s="356"/>
      <c r="E53" s="385"/>
      <c r="F53" s="360">
        <v>0</v>
      </c>
      <c r="G53" s="365"/>
      <c r="H53" s="365"/>
      <c r="I53" s="365"/>
      <c r="J53" s="365"/>
      <c r="K53" s="365"/>
      <c r="L53" s="365"/>
      <c r="M53" s="365"/>
      <c r="N53" s="365"/>
      <c r="O53" s="354"/>
      <c r="P53" s="718"/>
    </row>
    <row r="54" spans="1:16" s="379" customFormat="1" ht="15" customHeight="1" thickBot="1" x14ac:dyDescent="0.25">
      <c r="A54" s="350">
        <v>8.1</v>
      </c>
      <c r="B54" s="386" t="s">
        <v>734</v>
      </c>
      <c r="C54" s="352">
        <v>1</v>
      </c>
      <c r="D54" s="413">
        <v>1</v>
      </c>
      <c r="E54" s="207" t="s">
        <v>30</v>
      </c>
      <c r="F54" s="415">
        <v>107500</v>
      </c>
      <c r="G54" s="416">
        <f>F54*C54</f>
        <v>107500</v>
      </c>
      <c r="H54" s="415">
        <v>43000</v>
      </c>
      <c r="I54" s="415">
        <f>H54*C54</f>
        <v>43000</v>
      </c>
      <c r="J54" s="415">
        <f>H54+F54</f>
        <v>150500</v>
      </c>
      <c r="K54" s="415">
        <f>I54+G54</f>
        <v>150500</v>
      </c>
      <c r="L54" s="353"/>
      <c r="M54" s="353"/>
      <c r="N54" s="353"/>
      <c r="O54" s="354"/>
      <c r="P54" s="718"/>
    </row>
    <row r="55" spans="1:16" s="4" customFormat="1" ht="15" customHeight="1" thickBot="1" x14ac:dyDescent="0.25">
      <c r="A55" s="870" t="s">
        <v>703</v>
      </c>
      <c r="B55" s="871"/>
      <c r="C55" s="871"/>
      <c r="D55" s="871"/>
      <c r="E55" s="871"/>
      <c r="F55" s="431">
        <v>0</v>
      </c>
      <c r="G55" s="338"/>
      <c r="H55" s="338"/>
      <c r="I55" s="338"/>
      <c r="J55" s="419"/>
      <c r="K55" s="419"/>
      <c r="L55" s="338"/>
      <c r="M55" s="338"/>
      <c r="N55" s="338"/>
      <c r="O55" s="354"/>
      <c r="P55" s="718"/>
    </row>
    <row r="56" spans="1:16" s="349" customFormat="1" ht="15" customHeight="1" x14ac:dyDescent="0.2">
      <c r="A56" s="250">
        <v>9</v>
      </c>
      <c r="B56" s="340" t="s">
        <v>735</v>
      </c>
      <c r="C56" s="356"/>
      <c r="D56" s="356"/>
      <c r="E56" s="190"/>
      <c r="F56" s="432">
        <v>0</v>
      </c>
      <c r="G56" s="365"/>
      <c r="H56" s="365"/>
      <c r="I56" s="365"/>
      <c r="J56" s="365"/>
      <c r="K56" s="365"/>
      <c r="L56" s="365"/>
      <c r="M56" s="365"/>
      <c r="N56" s="365"/>
      <c r="O56" s="354"/>
      <c r="P56" s="718"/>
    </row>
    <row r="57" spans="1:16" s="354" customFormat="1" ht="15" customHeight="1" thickBot="1" x14ac:dyDescent="0.25">
      <c r="A57" s="362">
        <v>9.1</v>
      </c>
      <c r="B57" s="387" t="s">
        <v>736</v>
      </c>
      <c r="C57" s="352">
        <v>1</v>
      </c>
      <c r="D57" s="413">
        <v>1</v>
      </c>
      <c r="E57" s="207" t="s">
        <v>30</v>
      </c>
      <c r="F57" s="415">
        <v>146200</v>
      </c>
      <c r="G57" s="416">
        <f>F57*C57</f>
        <v>146200</v>
      </c>
      <c r="H57" s="415">
        <v>43000</v>
      </c>
      <c r="I57" s="415">
        <f>H57*C57</f>
        <v>43000</v>
      </c>
      <c r="J57" s="415">
        <f>H57+F57</f>
        <v>189200</v>
      </c>
      <c r="K57" s="415">
        <f>I57+G57</f>
        <v>189200</v>
      </c>
      <c r="L57" s="353"/>
      <c r="M57" s="353"/>
      <c r="N57" s="353"/>
      <c r="P57" s="718"/>
    </row>
    <row r="58" spans="1:16" s="4" customFormat="1" ht="15" customHeight="1" thickBot="1" x14ac:dyDescent="0.25">
      <c r="A58" s="870" t="s">
        <v>703</v>
      </c>
      <c r="B58" s="871"/>
      <c r="C58" s="871"/>
      <c r="D58" s="871"/>
      <c r="E58" s="871"/>
      <c r="F58" s="431">
        <v>0</v>
      </c>
      <c r="G58" s="338"/>
      <c r="H58" s="338"/>
      <c r="I58" s="338"/>
      <c r="J58" s="419"/>
      <c r="K58" s="419"/>
      <c r="L58" s="338"/>
      <c r="M58" s="338"/>
      <c r="N58" s="338"/>
      <c r="O58" s="354"/>
      <c r="P58" s="718"/>
    </row>
    <row r="59" spans="1:16" s="349" customFormat="1" ht="15" customHeight="1" x14ac:dyDescent="0.2">
      <c r="A59" s="250">
        <v>10</v>
      </c>
      <c r="B59" s="340" t="s">
        <v>14</v>
      </c>
      <c r="C59" s="356"/>
      <c r="D59" s="356"/>
      <c r="E59" s="190"/>
      <c r="F59" s="432">
        <v>0</v>
      </c>
      <c r="G59" s="365"/>
      <c r="H59" s="365"/>
      <c r="I59" s="365"/>
      <c r="J59" s="365"/>
      <c r="K59" s="365"/>
      <c r="L59" s="365"/>
      <c r="M59" s="365"/>
      <c r="N59" s="365"/>
      <c r="O59" s="354"/>
      <c r="P59" s="718"/>
    </row>
    <row r="60" spans="1:16" s="354" customFormat="1" ht="15" customHeight="1" x14ac:dyDescent="0.2">
      <c r="A60" s="350">
        <v>10.1</v>
      </c>
      <c r="B60" s="351" t="s">
        <v>737</v>
      </c>
      <c r="C60" s="352">
        <v>1</v>
      </c>
      <c r="D60" s="413">
        <v>1</v>
      </c>
      <c r="E60" s="207" t="s">
        <v>30</v>
      </c>
      <c r="F60" s="415">
        <v>21500</v>
      </c>
      <c r="G60" s="416">
        <f t="shared" ref="G60:G63" si="12">F60*C60</f>
        <v>21500</v>
      </c>
      <c r="H60" s="415">
        <v>4300</v>
      </c>
      <c r="I60" s="415">
        <f t="shared" ref="I60:I63" si="13">H60*C60</f>
        <v>4300</v>
      </c>
      <c r="J60" s="415">
        <f t="shared" ref="J60:K63" si="14">H60+F60</f>
        <v>25800</v>
      </c>
      <c r="K60" s="415">
        <f t="shared" si="14"/>
        <v>25800</v>
      </c>
      <c r="L60" s="353"/>
      <c r="M60" s="353"/>
      <c r="N60" s="353"/>
      <c r="P60" s="718"/>
    </row>
    <row r="61" spans="1:16" s="354" customFormat="1" ht="15" customHeight="1" x14ac:dyDescent="0.2">
      <c r="A61" s="350">
        <v>10.199999999999999</v>
      </c>
      <c r="B61" s="351" t="s">
        <v>738</v>
      </c>
      <c r="C61" s="352">
        <v>1</v>
      </c>
      <c r="D61" s="413">
        <v>1</v>
      </c>
      <c r="E61" s="207" t="s">
        <v>30</v>
      </c>
      <c r="F61" s="415">
        <v>8600</v>
      </c>
      <c r="G61" s="416">
        <f t="shared" si="12"/>
        <v>8600</v>
      </c>
      <c r="H61" s="415">
        <v>8600</v>
      </c>
      <c r="I61" s="415">
        <f t="shared" si="13"/>
        <v>8600</v>
      </c>
      <c r="J61" s="415">
        <f t="shared" si="14"/>
        <v>17200</v>
      </c>
      <c r="K61" s="415">
        <f t="shared" si="14"/>
        <v>17200</v>
      </c>
      <c r="L61" s="353"/>
      <c r="M61" s="353"/>
      <c r="N61" s="353"/>
      <c r="P61" s="718"/>
    </row>
    <row r="62" spans="1:16" s="4" customFormat="1" ht="25.5" customHeight="1" x14ac:dyDescent="0.2">
      <c r="A62" s="350">
        <v>10.3</v>
      </c>
      <c r="B62" s="388" t="s">
        <v>739</v>
      </c>
      <c r="C62" s="352">
        <v>1</v>
      </c>
      <c r="D62" s="413">
        <v>1</v>
      </c>
      <c r="E62" s="207" t="s">
        <v>30</v>
      </c>
      <c r="F62" s="415">
        <v>12900</v>
      </c>
      <c r="G62" s="416">
        <f t="shared" si="12"/>
        <v>12900</v>
      </c>
      <c r="H62" s="415">
        <v>4300</v>
      </c>
      <c r="I62" s="415">
        <f t="shared" si="13"/>
        <v>4300</v>
      </c>
      <c r="J62" s="415">
        <f t="shared" si="14"/>
        <v>17200</v>
      </c>
      <c r="K62" s="415">
        <f t="shared" si="14"/>
        <v>17200</v>
      </c>
      <c r="L62" s="353"/>
      <c r="M62" s="353"/>
      <c r="N62" s="353"/>
      <c r="O62" s="354"/>
      <c r="P62" s="718"/>
    </row>
    <row r="63" spans="1:16" s="4" customFormat="1" ht="15" customHeight="1" thickBot="1" x14ac:dyDescent="0.25">
      <c r="A63" s="350">
        <v>10.4</v>
      </c>
      <c r="B63" s="351" t="s">
        <v>35</v>
      </c>
      <c r="C63" s="352">
        <v>1</v>
      </c>
      <c r="D63" s="413">
        <v>1</v>
      </c>
      <c r="E63" s="207" t="s">
        <v>30</v>
      </c>
      <c r="F63" s="415">
        <v>4300</v>
      </c>
      <c r="G63" s="416">
        <f t="shared" si="12"/>
        <v>4300</v>
      </c>
      <c r="H63" s="415">
        <v>4300</v>
      </c>
      <c r="I63" s="415">
        <f t="shared" si="13"/>
        <v>4300</v>
      </c>
      <c r="J63" s="415">
        <f t="shared" si="14"/>
        <v>8600</v>
      </c>
      <c r="K63" s="415">
        <f t="shared" si="14"/>
        <v>8600</v>
      </c>
      <c r="L63" s="353"/>
      <c r="M63" s="353"/>
      <c r="N63" s="353"/>
      <c r="O63" s="354"/>
      <c r="P63" s="718"/>
    </row>
    <row r="64" spans="1:16" s="4" customFormat="1" ht="15" customHeight="1" thickBot="1" x14ac:dyDescent="0.25">
      <c r="A64" s="868" t="s">
        <v>703</v>
      </c>
      <c r="B64" s="869"/>
      <c r="C64" s="869"/>
      <c r="D64" s="869"/>
      <c r="E64" s="869"/>
      <c r="F64" s="436"/>
      <c r="G64" s="342"/>
      <c r="H64" s="342"/>
      <c r="I64" s="342"/>
      <c r="J64" s="429"/>
      <c r="K64" s="429"/>
      <c r="L64" s="342"/>
      <c r="M64" s="342"/>
      <c r="N64" s="342"/>
    </row>
    <row r="65" spans="1:11" s="336" customFormat="1" thickBot="1" x14ac:dyDescent="0.25">
      <c r="A65" s="389"/>
      <c r="E65" s="390"/>
      <c r="F65" s="391"/>
      <c r="G65" s="437">
        <f>SUM(G6:G64)</f>
        <v>6343532</v>
      </c>
      <c r="H65" s="438"/>
      <c r="I65" s="437">
        <f>SUM(I6:I64)</f>
        <v>1366574.4</v>
      </c>
      <c r="J65" s="437"/>
      <c r="K65" s="437">
        <f>SUM(K6:K64)</f>
        <v>7710106.4000000004</v>
      </c>
    </row>
    <row r="66" spans="1:11" s="336" customFormat="1" ht="12" x14ac:dyDescent="0.2">
      <c r="A66" s="389"/>
      <c r="E66" s="390"/>
      <c r="F66" s="391"/>
    </row>
    <row r="67" spans="1:11" s="336" customFormat="1" ht="12" x14ac:dyDescent="0.2">
      <c r="A67" s="389"/>
      <c r="E67" s="390"/>
      <c r="F67" s="391"/>
    </row>
    <row r="68" spans="1:11" s="336" customFormat="1" ht="12" x14ac:dyDescent="0.2">
      <c r="A68" s="389"/>
      <c r="E68" s="390"/>
      <c r="F68" s="391"/>
    </row>
    <row r="69" spans="1:11" s="336" customFormat="1" ht="12" x14ac:dyDescent="0.2">
      <c r="A69" s="389"/>
      <c r="E69" s="390"/>
      <c r="F69" s="391"/>
    </row>
    <row r="70" spans="1:11" s="336" customFormat="1" ht="12" x14ac:dyDescent="0.2">
      <c r="A70" s="389"/>
      <c r="E70" s="390"/>
      <c r="F70" s="391"/>
    </row>
    <row r="71" spans="1:11" s="336" customFormat="1" ht="12" x14ac:dyDescent="0.2">
      <c r="A71" s="389"/>
      <c r="E71" s="390"/>
      <c r="F71" s="391"/>
    </row>
    <row r="72" spans="1:11" s="336" customFormat="1" ht="12" x14ac:dyDescent="0.2">
      <c r="A72" s="389"/>
      <c r="E72" s="390"/>
      <c r="F72" s="391"/>
    </row>
    <row r="73" spans="1:11" s="336" customFormat="1" ht="12" x14ac:dyDescent="0.2">
      <c r="A73" s="389"/>
      <c r="E73" s="390"/>
      <c r="F73" s="391"/>
    </row>
    <row r="74" spans="1:11" s="336" customFormat="1" ht="12" x14ac:dyDescent="0.2">
      <c r="A74" s="389"/>
      <c r="E74" s="390"/>
      <c r="F74" s="391"/>
    </row>
    <row r="75" spans="1:11" s="336" customFormat="1" ht="12" x14ac:dyDescent="0.2">
      <c r="A75" s="389"/>
      <c r="E75" s="390"/>
      <c r="F75" s="391"/>
    </row>
    <row r="76" spans="1:11" s="336" customFormat="1" ht="12" x14ac:dyDescent="0.2">
      <c r="A76" s="389"/>
      <c r="E76" s="390"/>
      <c r="F76" s="391"/>
    </row>
    <row r="77" spans="1:11" s="336" customFormat="1" ht="12" x14ac:dyDescent="0.2">
      <c r="A77" s="389"/>
      <c r="E77" s="390"/>
      <c r="F77" s="391"/>
    </row>
    <row r="78" spans="1:11" s="336" customFormat="1" ht="12" x14ac:dyDescent="0.2">
      <c r="A78" s="389"/>
      <c r="E78" s="390"/>
      <c r="F78" s="391"/>
    </row>
    <row r="79" spans="1:11" s="336" customFormat="1" ht="12" x14ac:dyDescent="0.2">
      <c r="A79" s="389"/>
      <c r="E79" s="390"/>
      <c r="F79" s="391"/>
    </row>
    <row r="80" spans="1:11" s="336" customFormat="1" ht="12" x14ac:dyDescent="0.2">
      <c r="A80" s="389"/>
      <c r="E80" s="390"/>
      <c r="F80" s="391"/>
    </row>
    <row r="81" spans="1:6" s="336" customFormat="1" ht="12" x14ac:dyDescent="0.2">
      <c r="A81" s="389"/>
      <c r="E81" s="390"/>
      <c r="F81" s="391"/>
    </row>
    <row r="82" spans="1:6" s="336" customFormat="1" ht="12" x14ac:dyDescent="0.2">
      <c r="A82" s="389"/>
      <c r="E82" s="390"/>
      <c r="F82" s="391"/>
    </row>
    <row r="83" spans="1:6" s="336" customFormat="1" ht="12" x14ac:dyDescent="0.2">
      <c r="A83" s="389"/>
      <c r="E83" s="390"/>
      <c r="F83" s="391"/>
    </row>
    <row r="84" spans="1:6" s="336" customFormat="1" ht="12" x14ac:dyDescent="0.2">
      <c r="A84" s="389"/>
      <c r="E84" s="390"/>
      <c r="F84" s="391"/>
    </row>
    <row r="85" spans="1:6" s="336" customFormat="1" ht="12" x14ac:dyDescent="0.2">
      <c r="A85" s="389"/>
      <c r="E85" s="390"/>
      <c r="F85" s="391"/>
    </row>
    <row r="86" spans="1:6" s="336" customFormat="1" ht="12" x14ac:dyDescent="0.2">
      <c r="A86" s="389"/>
      <c r="E86" s="390"/>
      <c r="F86" s="391"/>
    </row>
    <row r="87" spans="1:6" s="336" customFormat="1" ht="12" x14ac:dyDescent="0.2">
      <c r="A87" s="389"/>
      <c r="E87" s="390"/>
      <c r="F87" s="391"/>
    </row>
    <row r="88" spans="1:6" s="336" customFormat="1" ht="12" x14ac:dyDescent="0.2">
      <c r="A88" s="389"/>
      <c r="E88" s="390"/>
      <c r="F88" s="391"/>
    </row>
    <row r="89" spans="1:6" s="336" customFormat="1" ht="12" x14ac:dyDescent="0.2">
      <c r="A89" s="389"/>
      <c r="E89" s="390"/>
      <c r="F89" s="391"/>
    </row>
    <row r="90" spans="1:6" s="336" customFormat="1" ht="12" x14ac:dyDescent="0.2">
      <c r="A90" s="389"/>
      <c r="E90" s="390"/>
      <c r="F90" s="391"/>
    </row>
    <row r="91" spans="1:6" s="336" customFormat="1" ht="12" x14ac:dyDescent="0.2">
      <c r="A91" s="389"/>
      <c r="E91" s="390"/>
      <c r="F91" s="391"/>
    </row>
    <row r="92" spans="1:6" s="336" customFormat="1" ht="12" x14ac:dyDescent="0.2">
      <c r="A92" s="389"/>
      <c r="E92" s="390"/>
      <c r="F92" s="391"/>
    </row>
    <row r="93" spans="1:6" s="336" customFormat="1" ht="12" x14ac:dyDescent="0.2">
      <c r="A93" s="389"/>
      <c r="E93" s="390"/>
      <c r="F93" s="391"/>
    </row>
    <row r="94" spans="1:6" s="336" customFormat="1" ht="12" x14ac:dyDescent="0.2">
      <c r="A94" s="389"/>
      <c r="E94" s="390"/>
      <c r="F94" s="391"/>
    </row>
    <row r="95" spans="1:6" s="336" customFormat="1" ht="12" x14ac:dyDescent="0.2">
      <c r="A95" s="389"/>
      <c r="E95" s="390"/>
      <c r="F95" s="391"/>
    </row>
    <row r="96" spans="1:6" s="336" customFormat="1" ht="12" x14ac:dyDescent="0.2">
      <c r="A96" s="389"/>
      <c r="E96" s="390"/>
      <c r="F96" s="391"/>
    </row>
    <row r="97" spans="1:6" s="336" customFormat="1" ht="12" x14ac:dyDescent="0.2">
      <c r="A97" s="389"/>
      <c r="E97" s="390"/>
      <c r="F97" s="391"/>
    </row>
    <row r="98" spans="1:6" s="336" customFormat="1" ht="12" x14ac:dyDescent="0.2">
      <c r="A98" s="389"/>
      <c r="E98" s="390"/>
      <c r="F98" s="391"/>
    </row>
    <row r="99" spans="1:6" s="336" customFormat="1" ht="12" x14ac:dyDescent="0.2">
      <c r="A99" s="389"/>
      <c r="E99" s="390"/>
      <c r="F99" s="391"/>
    </row>
    <row r="100" spans="1:6" s="336" customFormat="1" ht="12" x14ac:dyDescent="0.2">
      <c r="A100" s="389"/>
      <c r="E100" s="390"/>
      <c r="F100" s="391"/>
    </row>
    <row r="101" spans="1:6" s="336" customFormat="1" ht="12" x14ac:dyDescent="0.2">
      <c r="A101" s="389"/>
      <c r="E101" s="390"/>
      <c r="F101" s="391"/>
    </row>
    <row r="102" spans="1:6" s="336" customFormat="1" ht="12" x14ac:dyDescent="0.2">
      <c r="A102" s="389"/>
      <c r="E102" s="390"/>
      <c r="F102" s="391"/>
    </row>
    <row r="103" spans="1:6" s="336" customFormat="1" ht="12" x14ac:dyDescent="0.2">
      <c r="A103" s="389"/>
      <c r="E103" s="390"/>
      <c r="F103" s="391"/>
    </row>
    <row r="104" spans="1:6" s="336" customFormat="1" ht="12" x14ac:dyDescent="0.2">
      <c r="A104" s="389"/>
      <c r="E104" s="390"/>
      <c r="F104" s="391"/>
    </row>
    <row r="105" spans="1:6" s="336" customFormat="1" ht="12" x14ac:dyDescent="0.2">
      <c r="A105" s="389"/>
      <c r="E105" s="390"/>
      <c r="F105" s="391"/>
    </row>
    <row r="106" spans="1:6" s="336" customFormat="1" ht="12" x14ac:dyDescent="0.2">
      <c r="A106" s="389"/>
      <c r="E106" s="390"/>
      <c r="F106" s="391"/>
    </row>
    <row r="107" spans="1:6" s="336" customFormat="1" ht="12" x14ac:dyDescent="0.2">
      <c r="A107" s="389"/>
      <c r="E107" s="390"/>
      <c r="F107" s="391"/>
    </row>
    <row r="108" spans="1:6" s="336" customFormat="1" ht="12" x14ac:dyDescent="0.2">
      <c r="A108" s="389"/>
      <c r="E108" s="390"/>
      <c r="F108" s="391"/>
    </row>
    <row r="109" spans="1:6" s="336" customFormat="1" ht="12" x14ac:dyDescent="0.2">
      <c r="A109" s="389"/>
      <c r="E109" s="390"/>
      <c r="F109" s="391"/>
    </row>
    <row r="110" spans="1:6" s="336" customFormat="1" ht="12" x14ac:dyDescent="0.2">
      <c r="A110" s="389"/>
      <c r="E110" s="390"/>
      <c r="F110" s="391"/>
    </row>
    <row r="111" spans="1:6" s="336" customFormat="1" ht="12" x14ac:dyDescent="0.2">
      <c r="A111" s="389"/>
      <c r="E111" s="390"/>
      <c r="F111" s="391"/>
    </row>
    <row r="112" spans="1:6" s="336" customFormat="1" ht="12" x14ac:dyDescent="0.2">
      <c r="A112" s="389"/>
      <c r="E112" s="390"/>
      <c r="F112" s="391"/>
    </row>
    <row r="113" spans="1:6" s="336" customFormat="1" ht="12" x14ac:dyDescent="0.2">
      <c r="A113" s="389"/>
      <c r="E113" s="390"/>
      <c r="F113" s="391"/>
    </row>
    <row r="114" spans="1:6" s="336" customFormat="1" ht="12" x14ac:dyDescent="0.2">
      <c r="A114" s="389"/>
      <c r="E114" s="390"/>
      <c r="F114" s="391"/>
    </row>
    <row r="115" spans="1:6" s="336" customFormat="1" ht="12" x14ac:dyDescent="0.2">
      <c r="A115" s="389"/>
      <c r="E115" s="390"/>
      <c r="F115" s="391"/>
    </row>
    <row r="116" spans="1:6" s="336" customFormat="1" ht="12" x14ac:dyDescent="0.2">
      <c r="A116" s="389"/>
      <c r="E116" s="390"/>
      <c r="F116" s="391"/>
    </row>
    <row r="117" spans="1:6" s="336" customFormat="1" ht="12" x14ac:dyDescent="0.2">
      <c r="A117" s="389"/>
      <c r="E117" s="390"/>
      <c r="F117" s="391"/>
    </row>
    <row r="118" spans="1:6" s="336" customFormat="1" ht="12" x14ac:dyDescent="0.2">
      <c r="A118" s="389"/>
      <c r="E118" s="390"/>
      <c r="F118" s="391"/>
    </row>
    <row r="119" spans="1:6" s="336" customFormat="1" ht="12" x14ac:dyDescent="0.2">
      <c r="A119" s="389"/>
      <c r="E119" s="390"/>
      <c r="F119" s="391"/>
    </row>
    <row r="120" spans="1:6" s="336" customFormat="1" ht="12" x14ac:dyDescent="0.2">
      <c r="A120" s="389"/>
      <c r="E120" s="390"/>
      <c r="F120" s="391"/>
    </row>
    <row r="121" spans="1:6" s="336" customFormat="1" ht="12" x14ac:dyDescent="0.2">
      <c r="A121" s="389"/>
      <c r="E121" s="390"/>
      <c r="F121" s="391"/>
    </row>
    <row r="122" spans="1:6" s="336" customFormat="1" ht="12" x14ac:dyDescent="0.2">
      <c r="A122" s="389"/>
      <c r="E122" s="390"/>
      <c r="F122" s="391"/>
    </row>
    <row r="123" spans="1:6" s="336" customFormat="1" ht="12" x14ac:dyDescent="0.2">
      <c r="A123" s="389"/>
      <c r="E123" s="390"/>
      <c r="F123" s="391"/>
    </row>
    <row r="124" spans="1:6" s="336" customFormat="1" ht="12" x14ac:dyDescent="0.2">
      <c r="A124" s="389"/>
      <c r="E124" s="390"/>
      <c r="F124" s="391"/>
    </row>
    <row r="125" spans="1:6" s="336" customFormat="1" ht="12" x14ac:dyDescent="0.2">
      <c r="A125" s="389"/>
      <c r="E125" s="390"/>
      <c r="F125" s="391"/>
    </row>
    <row r="126" spans="1:6" s="336" customFormat="1" ht="12" x14ac:dyDescent="0.2">
      <c r="A126" s="389"/>
      <c r="E126" s="390"/>
      <c r="F126" s="391"/>
    </row>
    <row r="127" spans="1:6" s="336" customFormat="1" ht="12" x14ac:dyDescent="0.2">
      <c r="A127" s="389"/>
      <c r="E127" s="390"/>
      <c r="F127" s="391"/>
    </row>
    <row r="128" spans="1:6" s="336" customFormat="1" ht="12" x14ac:dyDescent="0.2">
      <c r="A128" s="389"/>
      <c r="E128" s="390"/>
      <c r="F128" s="391"/>
    </row>
    <row r="129" spans="1:6" s="336" customFormat="1" ht="12" x14ac:dyDescent="0.2">
      <c r="A129" s="389"/>
      <c r="E129" s="390"/>
      <c r="F129" s="391"/>
    </row>
    <row r="130" spans="1:6" s="336" customFormat="1" ht="12" x14ac:dyDescent="0.2">
      <c r="A130" s="389"/>
      <c r="E130" s="390"/>
      <c r="F130" s="391"/>
    </row>
    <row r="131" spans="1:6" s="336" customFormat="1" ht="12" x14ac:dyDescent="0.2">
      <c r="A131" s="389"/>
      <c r="E131" s="390"/>
      <c r="F131" s="391"/>
    </row>
    <row r="132" spans="1:6" s="336" customFormat="1" ht="12" x14ac:dyDescent="0.2">
      <c r="A132" s="389"/>
      <c r="E132" s="390"/>
      <c r="F132" s="391"/>
    </row>
    <row r="133" spans="1:6" s="336" customFormat="1" ht="12" x14ac:dyDescent="0.2">
      <c r="A133" s="389"/>
      <c r="E133" s="390"/>
      <c r="F133" s="391"/>
    </row>
    <row r="134" spans="1:6" s="336" customFormat="1" ht="12" x14ac:dyDescent="0.2">
      <c r="A134" s="389"/>
      <c r="E134" s="390"/>
      <c r="F134" s="391"/>
    </row>
    <row r="135" spans="1:6" s="336" customFormat="1" ht="12" x14ac:dyDescent="0.2">
      <c r="A135" s="389"/>
      <c r="E135" s="390"/>
      <c r="F135" s="391"/>
    </row>
    <row r="136" spans="1:6" s="336" customFormat="1" ht="12" x14ac:dyDescent="0.2">
      <c r="A136" s="389"/>
      <c r="E136" s="390"/>
      <c r="F136" s="391"/>
    </row>
    <row r="137" spans="1:6" s="336" customFormat="1" ht="12" x14ac:dyDescent="0.2">
      <c r="A137" s="389"/>
      <c r="E137" s="390"/>
      <c r="F137" s="391"/>
    </row>
    <row r="138" spans="1:6" s="336" customFormat="1" ht="12" x14ac:dyDescent="0.2">
      <c r="A138" s="389"/>
      <c r="E138" s="390"/>
      <c r="F138" s="391"/>
    </row>
    <row r="139" spans="1:6" s="336" customFormat="1" ht="12" x14ac:dyDescent="0.2">
      <c r="A139" s="389"/>
      <c r="E139" s="390"/>
      <c r="F139" s="391"/>
    </row>
    <row r="140" spans="1:6" s="336" customFormat="1" ht="12" x14ac:dyDescent="0.2">
      <c r="A140" s="389"/>
      <c r="E140" s="390"/>
      <c r="F140" s="393"/>
    </row>
    <row r="141" spans="1:6" s="336" customFormat="1" ht="12" x14ac:dyDescent="0.2">
      <c r="A141" s="389"/>
      <c r="E141" s="390"/>
      <c r="F141" s="393"/>
    </row>
    <row r="142" spans="1:6" s="336" customFormat="1" ht="12" x14ac:dyDescent="0.2">
      <c r="A142" s="389"/>
      <c r="E142" s="390"/>
      <c r="F142" s="393"/>
    </row>
    <row r="143" spans="1:6" s="336" customFormat="1" ht="12" x14ac:dyDescent="0.2">
      <c r="A143" s="389"/>
      <c r="E143" s="390"/>
      <c r="F143" s="393"/>
    </row>
    <row r="144" spans="1:6" s="336" customFormat="1" ht="12" x14ac:dyDescent="0.2">
      <c r="A144" s="389"/>
      <c r="E144" s="390"/>
      <c r="F144" s="393"/>
    </row>
    <row r="145" spans="1:6" s="336" customFormat="1" ht="12" x14ac:dyDescent="0.2">
      <c r="A145" s="389"/>
      <c r="E145" s="390"/>
      <c r="F145" s="393"/>
    </row>
    <row r="146" spans="1:6" s="336" customFormat="1" ht="12" x14ac:dyDescent="0.2">
      <c r="A146" s="389"/>
      <c r="E146" s="390"/>
      <c r="F146" s="393"/>
    </row>
    <row r="147" spans="1:6" s="336" customFormat="1" ht="12" x14ac:dyDescent="0.2">
      <c r="A147" s="389"/>
      <c r="E147" s="390"/>
      <c r="F147" s="393"/>
    </row>
    <row r="148" spans="1:6" s="336" customFormat="1" ht="12" x14ac:dyDescent="0.2">
      <c r="A148" s="389"/>
      <c r="E148" s="390"/>
      <c r="F148" s="393"/>
    </row>
    <row r="149" spans="1:6" s="336" customFormat="1" ht="12" x14ac:dyDescent="0.2">
      <c r="A149" s="389"/>
      <c r="E149" s="390"/>
      <c r="F149" s="393"/>
    </row>
    <row r="150" spans="1:6" s="336" customFormat="1" ht="12" x14ac:dyDescent="0.2">
      <c r="A150" s="389"/>
      <c r="E150" s="390"/>
      <c r="F150" s="393"/>
    </row>
    <row r="151" spans="1:6" s="336" customFormat="1" ht="12" x14ac:dyDescent="0.2">
      <c r="A151" s="389"/>
      <c r="E151" s="390"/>
      <c r="F151" s="393"/>
    </row>
    <row r="152" spans="1:6" s="336" customFormat="1" ht="12" x14ac:dyDescent="0.2">
      <c r="A152" s="389"/>
      <c r="E152" s="390"/>
      <c r="F152" s="393"/>
    </row>
    <row r="153" spans="1:6" s="336" customFormat="1" ht="12" x14ac:dyDescent="0.2">
      <c r="A153" s="389"/>
      <c r="E153" s="390"/>
      <c r="F153" s="393"/>
    </row>
    <row r="154" spans="1:6" s="336" customFormat="1" ht="12" x14ac:dyDescent="0.2">
      <c r="A154" s="389"/>
      <c r="E154" s="390"/>
      <c r="F154" s="393"/>
    </row>
    <row r="155" spans="1:6" s="336" customFormat="1" ht="12" x14ac:dyDescent="0.2">
      <c r="A155" s="389"/>
      <c r="E155" s="390"/>
      <c r="F155" s="393"/>
    </row>
    <row r="156" spans="1:6" s="336" customFormat="1" ht="12" x14ac:dyDescent="0.2">
      <c r="A156" s="389"/>
      <c r="E156" s="390"/>
      <c r="F156" s="393"/>
    </row>
    <row r="157" spans="1:6" s="336" customFormat="1" ht="12" x14ac:dyDescent="0.2">
      <c r="A157" s="389"/>
      <c r="E157" s="390"/>
      <c r="F157" s="393"/>
    </row>
    <row r="158" spans="1:6" s="336" customFormat="1" ht="12" x14ac:dyDescent="0.2">
      <c r="A158" s="389"/>
      <c r="E158" s="390"/>
      <c r="F158" s="393"/>
    </row>
    <row r="159" spans="1:6" s="336" customFormat="1" ht="12" x14ac:dyDescent="0.2">
      <c r="A159" s="389"/>
      <c r="E159" s="390"/>
      <c r="F159" s="393"/>
    </row>
    <row r="160" spans="1:6" s="336" customFormat="1" ht="12" x14ac:dyDescent="0.2">
      <c r="A160" s="389"/>
      <c r="E160" s="390"/>
      <c r="F160" s="393"/>
    </row>
    <row r="161" spans="1:6" s="336" customFormat="1" ht="12" x14ac:dyDescent="0.2">
      <c r="A161" s="389"/>
      <c r="E161" s="390"/>
      <c r="F161" s="393"/>
    </row>
    <row r="162" spans="1:6" s="336" customFormat="1" ht="12" x14ac:dyDescent="0.2">
      <c r="A162" s="389"/>
      <c r="E162" s="390"/>
      <c r="F162" s="393"/>
    </row>
    <row r="163" spans="1:6" s="336" customFormat="1" ht="12" x14ac:dyDescent="0.2">
      <c r="A163" s="389"/>
      <c r="E163" s="390"/>
      <c r="F163" s="393"/>
    </row>
  </sheetData>
  <mergeCells count="30">
    <mergeCell ref="A64:E64"/>
    <mergeCell ref="M3:M5"/>
    <mergeCell ref="N3:N5"/>
    <mergeCell ref="A13:E13"/>
    <mergeCell ref="A16:E16"/>
    <mergeCell ref="A20:E20"/>
    <mergeCell ref="A31:E31"/>
    <mergeCell ref="C3:C5"/>
    <mergeCell ref="D3:D5"/>
    <mergeCell ref="J3:K3"/>
    <mergeCell ref="A34:E34"/>
    <mergeCell ref="A49:E49"/>
    <mergeCell ref="A52:E52"/>
    <mergeCell ref="A55:E55"/>
    <mergeCell ref="A58:E58"/>
    <mergeCell ref="L7:L12"/>
    <mergeCell ref="A1:N1"/>
    <mergeCell ref="A3:A5"/>
    <mergeCell ref="E3:E5"/>
    <mergeCell ref="F3:G3"/>
    <mergeCell ref="H3:I3"/>
    <mergeCell ref="L3:L5"/>
    <mergeCell ref="N23:N30"/>
    <mergeCell ref="L37:L48"/>
    <mergeCell ref="M37:M48"/>
    <mergeCell ref="M7:M12"/>
    <mergeCell ref="L18:L19"/>
    <mergeCell ref="M18:M19"/>
    <mergeCell ref="L23:L30"/>
    <mergeCell ref="M23:M30"/>
  </mergeCells>
  <printOptions horizontalCentered="1"/>
  <pageMargins left="0.51181102362204722" right="0.23622047244094491" top="0.74803149606299213" bottom="0.47244094488188981" header="0.31496062992125984" footer="0.15748031496062992"/>
  <pageSetup paperSize="9" scale="71" firstPageNumber="5" fitToHeight="0" orientation="landscape" useFirstPageNumber="1" r:id="rId1"/>
  <headerFooter alignWithMargins="0">
    <oddHeader>&amp;C250131-FND-1909-TD H-BOQ-001_BOQ HVAC Local Works_Rev00</oddHeader>
    <oddFooter xml:space="preserve">&amp;L&amp;"Arial,Bold"Fahim, Nanji &amp;&amp; deSouza (Pvt.) Ltd.
&amp;"Arial,Regular"Consulting Engineers&amp;R&amp;"Arial,Bold"Page -&amp;P
</oddFooter>
  </headerFooter>
  <rowBreaks count="1" manualBreakCount="1">
    <brk id="39" max="1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D163"/>
  <sheetViews>
    <sheetView showGridLines="0" topLeftCell="C22" zoomScale="130" zoomScaleNormal="130" zoomScaleSheetLayoutView="110" workbookViewId="0">
      <selection activeCell="D17" sqref="D17"/>
    </sheetView>
  </sheetViews>
  <sheetFormatPr defaultColWidth="9.140625" defaultRowHeight="12.75" x14ac:dyDescent="0.2"/>
  <cols>
    <col min="1" max="1" width="8.7109375" style="34" customWidth="1"/>
    <col min="2" max="2" width="65.7109375" style="35" customWidth="1"/>
    <col min="3" max="4" width="11" style="35" customWidth="1"/>
    <col min="5" max="5" width="5.28515625" style="394" customWidth="1"/>
    <col min="6" max="6" width="11.28515625" style="396" customWidth="1"/>
    <col min="7" max="7" width="11.28515625" style="395" customWidth="1"/>
    <col min="8" max="11" width="11.28515625" style="35" customWidth="1"/>
    <col min="12" max="12" width="14.42578125" style="35" customWidth="1"/>
    <col min="13" max="14" width="11.28515625" style="35" customWidth="1"/>
    <col min="15" max="16384" width="9.140625" style="35"/>
  </cols>
  <sheetData>
    <row r="1" spans="1:56" s="1" customFormat="1" ht="15" x14ac:dyDescent="0.2">
      <c r="A1" s="760" t="s">
        <v>494</v>
      </c>
      <c r="B1" s="760"/>
      <c r="C1" s="760"/>
      <c r="D1" s="760"/>
      <c r="E1" s="760"/>
      <c r="F1" s="760"/>
      <c r="G1" s="760"/>
      <c r="H1" s="760"/>
      <c r="I1" s="760"/>
      <c r="J1" s="760"/>
      <c r="K1" s="760"/>
      <c r="L1" s="760"/>
      <c r="M1" s="760"/>
      <c r="N1" s="760"/>
    </row>
    <row r="2" spans="1:56" s="95" customFormat="1" ht="6.95" customHeight="1" thickBot="1" x14ac:dyDescent="0.25">
      <c r="A2" s="1"/>
      <c r="B2" s="1"/>
      <c r="C2" s="1"/>
      <c r="D2" s="1"/>
      <c r="E2" s="1"/>
      <c r="F2" s="6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</row>
    <row r="3" spans="1:56" s="343" customFormat="1" ht="13.7" customHeight="1" x14ac:dyDescent="0.2">
      <c r="A3" s="835" t="s">
        <v>27</v>
      </c>
      <c r="B3" s="873" t="s">
        <v>28</v>
      </c>
      <c r="C3" s="776" t="s">
        <v>695</v>
      </c>
      <c r="D3" s="776" t="s">
        <v>808</v>
      </c>
      <c r="E3" s="835" t="s">
        <v>26</v>
      </c>
      <c r="F3" s="840" t="s">
        <v>139</v>
      </c>
      <c r="G3" s="841"/>
      <c r="H3" s="840" t="s">
        <v>512</v>
      </c>
      <c r="I3" s="841"/>
      <c r="J3" s="840" t="s">
        <v>141</v>
      </c>
      <c r="K3" s="841"/>
      <c r="L3" s="844" t="s">
        <v>651</v>
      </c>
      <c r="M3" s="844" t="s">
        <v>652</v>
      </c>
      <c r="N3" s="844" t="s">
        <v>653</v>
      </c>
    </row>
    <row r="4" spans="1:56" s="343" customFormat="1" ht="13.7" customHeight="1" x14ac:dyDescent="0.2">
      <c r="A4" s="836"/>
      <c r="B4" s="874"/>
      <c r="C4" s="777"/>
      <c r="D4" s="777"/>
      <c r="E4" s="836"/>
      <c r="F4" s="330" t="s">
        <v>24</v>
      </c>
      <c r="G4" s="330" t="s">
        <v>25</v>
      </c>
      <c r="H4" s="330" t="s">
        <v>24</v>
      </c>
      <c r="I4" s="330" t="s">
        <v>25</v>
      </c>
      <c r="J4" s="330" t="s">
        <v>24</v>
      </c>
      <c r="K4" s="330" t="s">
        <v>25</v>
      </c>
      <c r="L4" s="847"/>
      <c r="M4" s="847"/>
      <c r="N4" s="847"/>
    </row>
    <row r="5" spans="1:56" s="343" customFormat="1" ht="13.7" customHeight="1" thickBot="1" x14ac:dyDescent="0.25">
      <c r="A5" s="837"/>
      <c r="B5" s="875"/>
      <c r="C5" s="778"/>
      <c r="D5" s="778"/>
      <c r="E5" s="837"/>
      <c r="F5" s="331" t="s">
        <v>23</v>
      </c>
      <c r="G5" s="331" t="s">
        <v>23</v>
      </c>
      <c r="H5" s="331" t="s">
        <v>23</v>
      </c>
      <c r="I5" s="331" t="s">
        <v>23</v>
      </c>
      <c r="J5" s="331" t="s">
        <v>23</v>
      </c>
      <c r="K5" s="331" t="s">
        <v>23</v>
      </c>
      <c r="L5" s="872"/>
      <c r="M5" s="872"/>
      <c r="N5" s="872"/>
    </row>
    <row r="6" spans="1:56" s="349" customFormat="1" ht="15" customHeight="1" x14ac:dyDescent="0.2">
      <c r="A6" s="250">
        <v>1</v>
      </c>
      <c r="B6" s="337" t="s">
        <v>696</v>
      </c>
      <c r="C6" s="344"/>
      <c r="D6" s="344"/>
      <c r="E6" s="345"/>
      <c r="F6" s="347"/>
      <c r="G6" s="346"/>
      <c r="H6" s="348"/>
      <c r="I6" s="348"/>
      <c r="J6" s="348"/>
      <c r="K6" s="348"/>
      <c r="L6" s="348"/>
      <c r="M6" s="348"/>
      <c r="N6" s="348"/>
    </row>
    <row r="7" spans="1:56" s="354" customFormat="1" ht="15" customHeight="1" x14ac:dyDescent="0.2">
      <c r="A7" s="350">
        <v>1.1000000000000001</v>
      </c>
      <c r="B7" s="351" t="s">
        <v>697</v>
      </c>
      <c r="C7" s="352">
        <v>95</v>
      </c>
      <c r="D7" s="413">
        <v>95</v>
      </c>
      <c r="E7" s="207" t="s">
        <v>29</v>
      </c>
      <c r="F7" s="415">
        <v>2752</v>
      </c>
      <c r="G7" s="416">
        <f>F7*C7</f>
        <v>261440</v>
      </c>
      <c r="H7" s="415">
        <v>860</v>
      </c>
      <c r="I7" s="415">
        <f>H7*C7</f>
        <v>81700</v>
      </c>
      <c r="J7" s="415">
        <f>H7+F7</f>
        <v>3612</v>
      </c>
      <c r="K7" s="415">
        <f>I7+G7</f>
        <v>343140</v>
      </c>
      <c r="L7" s="755" t="s">
        <v>791</v>
      </c>
      <c r="M7" s="755" t="s">
        <v>773</v>
      </c>
      <c r="N7" s="353"/>
      <c r="P7" s="718"/>
    </row>
    <row r="8" spans="1:56" s="354" customFormat="1" ht="15" customHeight="1" x14ac:dyDescent="0.2">
      <c r="A8" s="350">
        <v>1.2</v>
      </c>
      <c r="B8" s="351" t="s">
        <v>698</v>
      </c>
      <c r="C8" s="352">
        <v>200</v>
      </c>
      <c r="D8" s="413">
        <v>200</v>
      </c>
      <c r="E8" s="207" t="s">
        <v>29</v>
      </c>
      <c r="F8" s="415">
        <v>2150</v>
      </c>
      <c r="G8" s="416">
        <f t="shared" ref="G8:G12" si="0">F8*C8</f>
        <v>430000</v>
      </c>
      <c r="H8" s="415">
        <v>860</v>
      </c>
      <c r="I8" s="415">
        <f t="shared" ref="I8:I12" si="1">H8*C8</f>
        <v>172000</v>
      </c>
      <c r="J8" s="415">
        <f t="shared" ref="J8:J12" si="2">H8+F8</f>
        <v>3010</v>
      </c>
      <c r="K8" s="415">
        <f t="shared" ref="K8:K12" si="3">I8+G8</f>
        <v>602000</v>
      </c>
      <c r="L8" s="755"/>
      <c r="M8" s="755"/>
      <c r="N8" s="353"/>
      <c r="P8" s="718"/>
    </row>
    <row r="9" spans="1:56" s="4" customFormat="1" ht="15" customHeight="1" x14ac:dyDescent="0.2">
      <c r="A9" s="350">
        <v>1.3</v>
      </c>
      <c r="B9" s="351" t="s">
        <v>699</v>
      </c>
      <c r="C9" s="352">
        <v>23</v>
      </c>
      <c r="D9" s="413">
        <v>23</v>
      </c>
      <c r="E9" s="207" t="s">
        <v>29</v>
      </c>
      <c r="F9" s="415">
        <v>3612</v>
      </c>
      <c r="G9" s="416">
        <f t="shared" si="0"/>
        <v>83076</v>
      </c>
      <c r="H9" s="415">
        <v>860</v>
      </c>
      <c r="I9" s="415">
        <f t="shared" si="1"/>
        <v>19780</v>
      </c>
      <c r="J9" s="415">
        <f t="shared" si="2"/>
        <v>4472</v>
      </c>
      <c r="K9" s="415">
        <f t="shared" si="3"/>
        <v>102856</v>
      </c>
      <c r="L9" s="755"/>
      <c r="M9" s="755"/>
      <c r="N9" s="355"/>
      <c r="O9" s="354"/>
      <c r="P9" s="718"/>
    </row>
    <row r="10" spans="1:56" s="4" customFormat="1" ht="15" customHeight="1" x14ac:dyDescent="0.2">
      <c r="A10" s="350">
        <v>1.4</v>
      </c>
      <c r="B10" s="351" t="s">
        <v>700</v>
      </c>
      <c r="C10" s="352">
        <v>1</v>
      </c>
      <c r="D10" s="413">
        <v>1</v>
      </c>
      <c r="E10" s="207" t="s">
        <v>29</v>
      </c>
      <c r="F10" s="415">
        <v>66220</v>
      </c>
      <c r="G10" s="416">
        <f t="shared" si="0"/>
        <v>66220</v>
      </c>
      <c r="H10" s="415">
        <v>1720</v>
      </c>
      <c r="I10" s="415">
        <f t="shared" si="1"/>
        <v>1720</v>
      </c>
      <c r="J10" s="415">
        <f t="shared" si="2"/>
        <v>67940</v>
      </c>
      <c r="K10" s="415">
        <f t="shared" si="3"/>
        <v>67940</v>
      </c>
      <c r="L10" s="755"/>
      <c r="M10" s="755"/>
      <c r="N10" s="355"/>
      <c r="O10" s="354"/>
      <c r="P10" s="718"/>
    </row>
    <row r="11" spans="1:56" s="4" customFormat="1" ht="15" customHeight="1" x14ac:dyDescent="0.2">
      <c r="A11" s="350">
        <v>1.5</v>
      </c>
      <c r="B11" s="351" t="s">
        <v>701</v>
      </c>
      <c r="C11" s="352">
        <v>1</v>
      </c>
      <c r="D11" s="413">
        <v>1</v>
      </c>
      <c r="E11" s="207" t="s">
        <v>83</v>
      </c>
      <c r="F11" s="415">
        <v>66220</v>
      </c>
      <c r="G11" s="416">
        <f t="shared" si="0"/>
        <v>66220</v>
      </c>
      <c r="H11" s="415">
        <v>1720</v>
      </c>
      <c r="I11" s="415">
        <f t="shared" si="1"/>
        <v>1720</v>
      </c>
      <c r="J11" s="415">
        <f t="shared" si="2"/>
        <v>67940</v>
      </c>
      <c r="K11" s="415">
        <f t="shared" si="3"/>
        <v>67940</v>
      </c>
      <c r="L11" s="755"/>
      <c r="M11" s="755"/>
      <c r="N11" s="355"/>
      <c r="O11" s="354"/>
      <c r="P11" s="718"/>
    </row>
    <row r="12" spans="1:56" s="4" customFormat="1" ht="15" customHeight="1" thickBot="1" x14ac:dyDescent="0.25">
      <c r="A12" s="350">
        <v>1.6</v>
      </c>
      <c r="B12" s="351" t="s">
        <v>702</v>
      </c>
      <c r="C12" s="352">
        <v>1</v>
      </c>
      <c r="D12" s="413">
        <v>1</v>
      </c>
      <c r="E12" s="207" t="s">
        <v>83</v>
      </c>
      <c r="F12" s="415">
        <v>41280</v>
      </c>
      <c r="G12" s="416">
        <f t="shared" si="0"/>
        <v>41280</v>
      </c>
      <c r="H12" s="415">
        <v>1720</v>
      </c>
      <c r="I12" s="415">
        <f t="shared" si="1"/>
        <v>1720</v>
      </c>
      <c r="J12" s="415">
        <f t="shared" si="2"/>
        <v>43000</v>
      </c>
      <c r="K12" s="415">
        <f t="shared" si="3"/>
        <v>43000</v>
      </c>
      <c r="L12" s="755"/>
      <c r="M12" s="755"/>
      <c r="N12" s="355"/>
      <c r="O12" s="354"/>
      <c r="P12" s="718"/>
    </row>
    <row r="13" spans="1:56" s="4" customFormat="1" ht="15" customHeight="1" thickBot="1" x14ac:dyDescent="0.25">
      <c r="A13" s="870" t="s">
        <v>703</v>
      </c>
      <c r="B13" s="871"/>
      <c r="C13" s="871"/>
      <c r="D13" s="871"/>
      <c r="E13" s="871"/>
      <c r="F13" s="417">
        <v>0</v>
      </c>
      <c r="G13" s="418"/>
      <c r="H13" s="419">
        <v>0</v>
      </c>
      <c r="I13" s="419"/>
      <c r="J13" s="419"/>
      <c r="K13" s="419"/>
      <c r="L13" s="693"/>
      <c r="M13" s="693"/>
      <c r="N13" s="338"/>
      <c r="O13" s="354"/>
      <c r="P13" s="718"/>
    </row>
    <row r="14" spans="1:56" s="349" customFormat="1" ht="15" customHeight="1" x14ac:dyDescent="0.2">
      <c r="A14" s="339">
        <v>2</v>
      </c>
      <c r="B14" s="340" t="s">
        <v>704</v>
      </c>
      <c r="C14" s="356"/>
      <c r="D14" s="356"/>
      <c r="E14" s="357"/>
      <c r="F14" s="359">
        <v>0</v>
      </c>
      <c r="G14" s="360"/>
      <c r="H14" s="361">
        <v>0</v>
      </c>
      <c r="I14" s="361"/>
      <c r="J14" s="361"/>
      <c r="K14" s="361"/>
      <c r="L14" s="361"/>
      <c r="M14" s="361"/>
      <c r="N14" s="361"/>
      <c r="O14" s="354"/>
      <c r="P14" s="718"/>
    </row>
    <row r="15" spans="1:56" s="354" customFormat="1" ht="29.25" customHeight="1" thickBot="1" x14ac:dyDescent="0.25">
      <c r="A15" s="362">
        <v>2.1</v>
      </c>
      <c r="B15" s="363" t="s">
        <v>705</v>
      </c>
      <c r="C15" s="352">
        <f>C8</f>
        <v>200</v>
      </c>
      <c r="D15" s="413">
        <v>200</v>
      </c>
      <c r="E15" s="364" t="s">
        <v>29</v>
      </c>
      <c r="F15" s="415">
        <v>9374</v>
      </c>
      <c r="G15" s="416">
        <f>F15*C15</f>
        <v>1874800</v>
      </c>
      <c r="H15" s="415">
        <v>860</v>
      </c>
      <c r="I15" s="415">
        <f>H15*C15</f>
        <v>172000</v>
      </c>
      <c r="J15" s="415">
        <f>H15+F15</f>
        <v>10234</v>
      </c>
      <c r="K15" s="415">
        <f>I15+G15</f>
        <v>2046800</v>
      </c>
      <c r="L15" s="691" t="s">
        <v>804</v>
      </c>
      <c r="M15" s="696" t="s">
        <v>773</v>
      </c>
      <c r="N15" s="353"/>
      <c r="P15" s="718"/>
    </row>
    <row r="16" spans="1:56" s="4" customFormat="1" ht="15" customHeight="1" thickBot="1" x14ac:dyDescent="0.25">
      <c r="A16" s="870" t="s">
        <v>703</v>
      </c>
      <c r="B16" s="871"/>
      <c r="C16" s="871"/>
      <c r="D16" s="871"/>
      <c r="E16" s="871"/>
      <c r="F16" s="417">
        <v>0</v>
      </c>
      <c r="G16" s="418"/>
      <c r="H16" s="419">
        <v>0</v>
      </c>
      <c r="I16" s="419"/>
      <c r="J16" s="419"/>
      <c r="K16" s="419"/>
      <c r="L16" s="419"/>
      <c r="M16" s="419"/>
      <c r="N16" s="338"/>
      <c r="O16" s="354"/>
      <c r="P16" s="718"/>
    </row>
    <row r="17" spans="1:16" s="349" customFormat="1" ht="15" customHeight="1" x14ac:dyDescent="0.2">
      <c r="A17" s="250">
        <v>3</v>
      </c>
      <c r="B17" s="340" t="s">
        <v>706</v>
      </c>
      <c r="C17" s="356"/>
      <c r="D17" s="356"/>
      <c r="E17" s="190"/>
      <c r="F17" s="420">
        <v>0</v>
      </c>
      <c r="G17" s="421"/>
      <c r="H17" s="365">
        <v>0</v>
      </c>
      <c r="I17" s="365"/>
      <c r="J17" s="365"/>
      <c r="K17" s="365"/>
      <c r="L17" s="365"/>
      <c r="M17" s="365"/>
      <c r="N17" s="365"/>
      <c r="O17" s="354"/>
      <c r="P17" s="718"/>
    </row>
    <row r="18" spans="1:16" s="354" customFormat="1" ht="15" customHeight="1" x14ac:dyDescent="0.2">
      <c r="A18" s="350">
        <v>3.1</v>
      </c>
      <c r="B18" s="366" t="s">
        <v>707</v>
      </c>
      <c r="C18" s="352">
        <v>4</v>
      </c>
      <c r="D18" s="413">
        <v>4</v>
      </c>
      <c r="E18" s="367" t="s">
        <v>29</v>
      </c>
      <c r="F18" s="415">
        <v>16340</v>
      </c>
      <c r="G18" s="416">
        <f t="shared" ref="G18:G19" si="4">F18*C18</f>
        <v>65360</v>
      </c>
      <c r="H18" s="415">
        <v>860</v>
      </c>
      <c r="I18" s="415">
        <f t="shared" ref="I18:I19" si="5">H18*C18</f>
        <v>3440</v>
      </c>
      <c r="J18" s="415">
        <f t="shared" ref="J18:J19" si="6">H18+F18</f>
        <v>17200</v>
      </c>
      <c r="K18" s="415">
        <f t="shared" ref="K18:K19" si="7">I18+G18</f>
        <v>68800</v>
      </c>
      <c r="L18" s="864" t="s">
        <v>790</v>
      </c>
      <c r="M18" s="866" t="s">
        <v>773</v>
      </c>
      <c r="N18" s="353"/>
      <c r="P18" s="718"/>
    </row>
    <row r="19" spans="1:16" s="354" customFormat="1" ht="15" customHeight="1" thickBot="1" x14ac:dyDescent="0.25">
      <c r="A19" s="350">
        <v>3.2</v>
      </c>
      <c r="B19" s="366" t="s">
        <v>708</v>
      </c>
      <c r="C19" s="352">
        <v>4</v>
      </c>
      <c r="D19" s="413">
        <v>4</v>
      </c>
      <c r="E19" s="367" t="s">
        <v>29</v>
      </c>
      <c r="F19" s="415">
        <v>25370</v>
      </c>
      <c r="G19" s="416">
        <f t="shared" si="4"/>
        <v>101480</v>
      </c>
      <c r="H19" s="415">
        <v>860</v>
      </c>
      <c r="I19" s="415">
        <f t="shared" si="5"/>
        <v>3440</v>
      </c>
      <c r="J19" s="415">
        <f t="shared" si="6"/>
        <v>26230</v>
      </c>
      <c r="K19" s="415">
        <f t="shared" si="7"/>
        <v>104920</v>
      </c>
      <c r="L19" s="865"/>
      <c r="M19" s="867"/>
      <c r="N19" s="353"/>
      <c r="P19" s="718"/>
    </row>
    <row r="20" spans="1:16" s="4" customFormat="1" ht="15" customHeight="1" thickBot="1" x14ac:dyDescent="0.25">
      <c r="A20" s="870" t="s">
        <v>703</v>
      </c>
      <c r="B20" s="871"/>
      <c r="C20" s="871"/>
      <c r="D20" s="871"/>
      <c r="E20" s="871"/>
      <c r="F20" s="417">
        <v>0</v>
      </c>
      <c r="G20" s="418"/>
      <c r="H20" s="419">
        <v>0</v>
      </c>
      <c r="I20" s="419"/>
      <c r="J20" s="419"/>
      <c r="K20" s="419"/>
      <c r="L20" s="338"/>
      <c r="M20" s="338"/>
      <c r="N20" s="338"/>
      <c r="O20" s="354"/>
      <c r="P20" s="718"/>
    </row>
    <row r="21" spans="1:16" s="336" customFormat="1" ht="15" customHeight="1" x14ac:dyDescent="0.2">
      <c r="A21" s="250">
        <v>4</v>
      </c>
      <c r="B21" s="340" t="s">
        <v>709</v>
      </c>
      <c r="C21" s="356"/>
      <c r="D21" s="356"/>
      <c r="E21" s="190"/>
      <c r="F21" s="420">
        <v>0</v>
      </c>
      <c r="G21" s="420"/>
      <c r="H21" s="368">
        <v>0</v>
      </c>
      <c r="I21" s="368"/>
      <c r="J21" s="368"/>
      <c r="K21" s="368"/>
      <c r="L21" s="368"/>
      <c r="M21" s="368"/>
      <c r="N21" s="368"/>
      <c r="O21" s="354"/>
      <c r="P21" s="718"/>
    </row>
    <row r="22" spans="1:16" s="354" customFormat="1" ht="15" customHeight="1" x14ac:dyDescent="0.2">
      <c r="A22" s="369">
        <v>4.0999999999999996</v>
      </c>
      <c r="B22" s="370" t="s">
        <v>710</v>
      </c>
      <c r="C22" s="371"/>
      <c r="D22" s="371"/>
      <c r="E22" s="372"/>
      <c r="F22" s="422">
        <v>0</v>
      </c>
      <c r="G22" s="422"/>
      <c r="H22" s="423">
        <v>0</v>
      </c>
      <c r="I22" s="423"/>
      <c r="J22" s="423"/>
      <c r="K22" s="423"/>
      <c r="L22" s="699"/>
      <c r="M22" s="699"/>
      <c r="N22" s="373"/>
      <c r="P22" s="718"/>
    </row>
    <row r="23" spans="1:16" s="354" customFormat="1" ht="15" customHeight="1" x14ac:dyDescent="0.2">
      <c r="A23" s="350" t="s">
        <v>537</v>
      </c>
      <c r="B23" s="374" t="s">
        <v>711</v>
      </c>
      <c r="C23" s="352" t="s">
        <v>198</v>
      </c>
      <c r="D23" s="413" t="s">
        <v>198</v>
      </c>
      <c r="E23" s="367" t="s">
        <v>22</v>
      </c>
      <c r="F23" s="424">
        <v>0</v>
      </c>
      <c r="G23" s="424" t="s">
        <v>228</v>
      </c>
      <c r="H23" s="424">
        <v>0</v>
      </c>
      <c r="I23" s="424" t="s">
        <v>228</v>
      </c>
      <c r="J23" s="424" t="s">
        <v>228</v>
      </c>
      <c r="K23" s="424" t="s">
        <v>228</v>
      </c>
      <c r="L23" s="755" t="s">
        <v>787</v>
      </c>
      <c r="M23" s="755" t="s">
        <v>789</v>
      </c>
      <c r="N23" s="755" t="s">
        <v>800</v>
      </c>
      <c r="P23" s="718"/>
    </row>
    <row r="24" spans="1:16" s="354" customFormat="1" ht="15" customHeight="1" x14ac:dyDescent="0.2">
      <c r="A24" s="350" t="s">
        <v>538</v>
      </c>
      <c r="B24" s="374" t="s">
        <v>712</v>
      </c>
      <c r="C24" s="713">
        <v>332</v>
      </c>
      <c r="D24" s="413">
        <v>290</v>
      </c>
      <c r="E24" s="367" t="s">
        <v>22</v>
      </c>
      <c r="F24" s="415">
        <v>1634</v>
      </c>
      <c r="G24" s="416">
        <f>F24*C24</f>
        <v>542488</v>
      </c>
      <c r="H24" s="415">
        <v>258</v>
      </c>
      <c r="I24" s="415">
        <f>H24*C24</f>
        <v>85656</v>
      </c>
      <c r="J24" s="415">
        <f>H24+F24</f>
        <v>1892</v>
      </c>
      <c r="K24" s="415">
        <f>I24+G24</f>
        <v>628144</v>
      </c>
      <c r="L24" s="755"/>
      <c r="M24" s="755"/>
      <c r="N24" s="755"/>
      <c r="P24" s="718"/>
    </row>
    <row r="25" spans="1:16" s="354" customFormat="1" ht="15" customHeight="1" x14ac:dyDescent="0.2">
      <c r="A25" s="350" t="s">
        <v>539</v>
      </c>
      <c r="B25" s="374" t="s">
        <v>713</v>
      </c>
      <c r="C25" s="352" t="s">
        <v>198</v>
      </c>
      <c r="D25" s="413" t="s">
        <v>198</v>
      </c>
      <c r="E25" s="367" t="s">
        <v>22</v>
      </c>
      <c r="F25" s="424">
        <v>1548</v>
      </c>
      <c r="G25" s="424" t="s">
        <v>228</v>
      </c>
      <c r="H25" s="424">
        <v>172</v>
      </c>
      <c r="I25" s="424" t="s">
        <v>228</v>
      </c>
      <c r="J25" s="424" t="s">
        <v>228</v>
      </c>
      <c r="K25" s="424" t="s">
        <v>228</v>
      </c>
      <c r="L25" s="755"/>
      <c r="M25" s="755"/>
      <c r="N25" s="755"/>
      <c r="P25" s="718"/>
    </row>
    <row r="26" spans="1:16" s="354" customFormat="1" ht="15" customHeight="1" x14ac:dyDescent="0.2">
      <c r="A26" s="369">
        <v>4.2</v>
      </c>
      <c r="B26" s="370" t="s">
        <v>714</v>
      </c>
      <c r="C26" s="371"/>
      <c r="D26" s="371"/>
      <c r="E26" s="372"/>
      <c r="F26" s="422">
        <v>0</v>
      </c>
      <c r="G26" s="422"/>
      <c r="H26" s="423">
        <v>0</v>
      </c>
      <c r="I26" s="423"/>
      <c r="J26" s="423"/>
      <c r="K26" s="423"/>
      <c r="L26" s="755"/>
      <c r="M26" s="755"/>
      <c r="N26" s="755"/>
      <c r="P26" s="718"/>
    </row>
    <row r="27" spans="1:16" s="354" customFormat="1" ht="15" customHeight="1" x14ac:dyDescent="0.2">
      <c r="A27" s="350" t="s">
        <v>541</v>
      </c>
      <c r="B27" s="374" t="s">
        <v>715</v>
      </c>
      <c r="C27" s="713">
        <v>240</v>
      </c>
      <c r="D27" s="413">
        <v>215</v>
      </c>
      <c r="E27" s="367" t="s">
        <v>22</v>
      </c>
      <c r="F27" s="415">
        <v>1075</v>
      </c>
      <c r="G27" s="416">
        <f t="shared" ref="G27:G30" si="8">F27*C27</f>
        <v>258000</v>
      </c>
      <c r="H27" s="415">
        <v>215</v>
      </c>
      <c r="I27" s="415">
        <f t="shared" ref="I27:I30" si="9">H27*C27</f>
        <v>51600</v>
      </c>
      <c r="J27" s="415">
        <f t="shared" ref="J27:J30" si="10">H27+F27</f>
        <v>1290</v>
      </c>
      <c r="K27" s="415">
        <f t="shared" ref="K27:K30" si="11">I27+G27</f>
        <v>309600</v>
      </c>
      <c r="L27" s="755"/>
      <c r="M27" s="755"/>
      <c r="N27" s="755"/>
      <c r="P27" s="718"/>
    </row>
    <row r="28" spans="1:16" s="354" customFormat="1" ht="15" customHeight="1" x14ac:dyDescent="0.2">
      <c r="A28" s="350" t="s">
        <v>543</v>
      </c>
      <c r="B28" s="374" t="s">
        <v>716</v>
      </c>
      <c r="C28" s="713">
        <v>510</v>
      </c>
      <c r="D28" s="413">
        <v>455</v>
      </c>
      <c r="E28" s="367" t="s">
        <v>22</v>
      </c>
      <c r="F28" s="415">
        <v>817</v>
      </c>
      <c r="G28" s="416">
        <f t="shared" si="8"/>
        <v>416670</v>
      </c>
      <c r="H28" s="415">
        <v>189.2</v>
      </c>
      <c r="I28" s="415">
        <f t="shared" si="9"/>
        <v>96492</v>
      </c>
      <c r="J28" s="415">
        <f t="shared" si="10"/>
        <v>1006.2</v>
      </c>
      <c r="K28" s="415">
        <f t="shared" si="11"/>
        <v>513162</v>
      </c>
      <c r="L28" s="755"/>
      <c r="M28" s="755"/>
      <c r="N28" s="755"/>
      <c r="P28" s="718"/>
    </row>
    <row r="29" spans="1:16" s="354" customFormat="1" ht="15" customHeight="1" x14ac:dyDescent="0.2">
      <c r="A29" s="350" t="s">
        <v>544</v>
      </c>
      <c r="B29" s="374" t="s">
        <v>717</v>
      </c>
      <c r="C29" s="713">
        <v>408</v>
      </c>
      <c r="D29" s="413">
        <v>400</v>
      </c>
      <c r="E29" s="367" t="s">
        <v>22</v>
      </c>
      <c r="F29" s="415">
        <v>688</v>
      </c>
      <c r="G29" s="416">
        <f t="shared" si="8"/>
        <v>280704</v>
      </c>
      <c r="H29" s="415">
        <v>189.2</v>
      </c>
      <c r="I29" s="415">
        <f t="shared" si="9"/>
        <v>77193.599999999991</v>
      </c>
      <c r="J29" s="415">
        <f t="shared" si="10"/>
        <v>877.2</v>
      </c>
      <c r="K29" s="415">
        <f t="shared" si="11"/>
        <v>357897.6</v>
      </c>
      <c r="L29" s="755"/>
      <c r="M29" s="755"/>
      <c r="N29" s="755"/>
      <c r="P29" s="718"/>
    </row>
    <row r="30" spans="1:16" s="354" customFormat="1" ht="15" customHeight="1" thickBot="1" x14ac:dyDescent="0.25">
      <c r="A30" s="350" t="s">
        <v>545</v>
      </c>
      <c r="B30" s="374" t="s">
        <v>718</v>
      </c>
      <c r="C30" s="713">
        <v>1860</v>
      </c>
      <c r="D30" s="413">
        <v>1785</v>
      </c>
      <c r="E30" s="367" t="s">
        <v>22</v>
      </c>
      <c r="F30" s="415">
        <v>584.79999999999995</v>
      </c>
      <c r="G30" s="416">
        <f t="shared" si="8"/>
        <v>1087728</v>
      </c>
      <c r="H30" s="415">
        <v>189.2</v>
      </c>
      <c r="I30" s="415">
        <f t="shared" si="9"/>
        <v>351912</v>
      </c>
      <c r="J30" s="415">
        <f t="shared" si="10"/>
        <v>774</v>
      </c>
      <c r="K30" s="415">
        <f t="shared" si="11"/>
        <v>1439640</v>
      </c>
      <c r="L30" s="755"/>
      <c r="M30" s="755"/>
      <c r="N30" s="755"/>
      <c r="P30" s="718"/>
    </row>
    <row r="31" spans="1:16" s="4" customFormat="1" ht="15" customHeight="1" thickBot="1" x14ac:dyDescent="0.25">
      <c r="A31" s="870" t="s">
        <v>703</v>
      </c>
      <c r="B31" s="871"/>
      <c r="C31" s="871"/>
      <c r="D31" s="871"/>
      <c r="E31" s="871"/>
      <c r="F31" s="417">
        <v>0</v>
      </c>
      <c r="G31" s="418"/>
      <c r="H31" s="419">
        <v>0</v>
      </c>
      <c r="I31" s="419"/>
      <c r="J31" s="419"/>
      <c r="K31" s="419"/>
      <c r="L31" s="693"/>
      <c r="M31" s="693"/>
      <c r="N31" s="338"/>
      <c r="O31" s="354"/>
      <c r="P31" s="718"/>
    </row>
    <row r="32" spans="1:16" s="349" customFormat="1" ht="15" customHeight="1" x14ac:dyDescent="0.2">
      <c r="A32" s="250">
        <v>5</v>
      </c>
      <c r="B32" s="341" t="s">
        <v>719</v>
      </c>
      <c r="C32" s="356"/>
      <c r="D32" s="356"/>
      <c r="E32" s="357"/>
      <c r="F32" s="358">
        <v>0</v>
      </c>
      <c r="G32" s="358"/>
      <c r="H32" s="365">
        <v>0</v>
      </c>
      <c r="I32" s="365"/>
      <c r="J32" s="365"/>
      <c r="K32" s="365"/>
      <c r="L32" s="365"/>
      <c r="M32" s="365"/>
      <c r="N32" s="365"/>
      <c r="O32" s="354"/>
      <c r="P32" s="718"/>
    </row>
    <row r="33" spans="1:16" s="4" customFormat="1" ht="27.75" customHeight="1" thickBot="1" x14ac:dyDescent="0.25">
      <c r="A33" s="350">
        <v>5.0999999999999996</v>
      </c>
      <c r="B33" s="351" t="s">
        <v>720</v>
      </c>
      <c r="C33" s="352">
        <v>2</v>
      </c>
      <c r="D33" s="413">
        <v>2</v>
      </c>
      <c r="E33" s="367" t="s">
        <v>29</v>
      </c>
      <c r="F33" s="424">
        <v>76540</v>
      </c>
      <c r="G33" s="424" t="s">
        <v>228</v>
      </c>
      <c r="H33" s="424">
        <v>2580</v>
      </c>
      <c r="I33" s="424" t="s">
        <v>228</v>
      </c>
      <c r="J33" s="424" t="s">
        <v>228</v>
      </c>
      <c r="K33" s="424" t="s">
        <v>228</v>
      </c>
      <c r="L33" s="691" t="s">
        <v>791</v>
      </c>
      <c r="M33" s="696" t="s">
        <v>789</v>
      </c>
      <c r="N33" s="353"/>
      <c r="O33" s="354"/>
      <c r="P33" s="718"/>
    </row>
    <row r="34" spans="1:16" s="4" customFormat="1" ht="15" customHeight="1" thickBot="1" x14ac:dyDescent="0.25">
      <c r="A34" s="870" t="s">
        <v>703</v>
      </c>
      <c r="B34" s="871"/>
      <c r="C34" s="871"/>
      <c r="D34" s="871"/>
      <c r="E34" s="871"/>
      <c r="F34" s="417">
        <v>0</v>
      </c>
      <c r="G34" s="418"/>
      <c r="H34" s="419">
        <v>0</v>
      </c>
      <c r="I34" s="419"/>
      <c r="J34" s="419"/>
      <c r="K34" s="419"/>
      <c r="L34" s="338"/>
      <c r="M34" s="338"/>
      <c r="N34" s="338"/>
      <c r="O34" s="354"/>
      <c r="P34" s="718"/>
    </row>
    <row r="35" spans="1:16" s="349" customFormat="1" ht="15" customHeight="1" x14ac:dyDescent="0.2">
      <c r="A35" s="250">
        <v>6</v>
      </c>
      <c r="B35" s="340" t="s">
        <v>721</v>
      </c>
      <c r="C35" s="356"/>
      <c r="D35" s="356"/>
      <c r="E35" s="357"/>
      <c r="F35" s="358">
        <v>0</v>
      </c>
      <c r="G35" s="358"/>
      <c r="H35" s="365">
        <v>0</v>
      </c>
      <c r="I35" s="365"/>
      <c r="J35" s="365"/>
      <c r="K35" s="365"/>
      <c r="L35" s="365"/>
      <c r="M35" s="365"/>
      <c r="N35" s="365"/>
      <c r="O35" s="354"/>
      <c r="P35" s="718"/>
    </row>
    <row r="36" spans="1:16" s="379" customFormat="1" ht="15" customHeight="1" x14ac:dyDescent="0.2">
      <c r="A36" s="369">
        <v>6.1</v>
      </c>
      <c r="B36" s="375" t="s">
        <v>722</v>
      </c>
      <c r="C36" s="376"/>
      <c r="D36" s="376"/>
      <c r="E36" s="377"/>
      <c r="F36" s="425">
        <v>0</v>
      </c>
      <c r="G36" s="425"/>
      <c r="H36" s="426">
        <v>0</v>
      </c>
      <c r="I36" s="426"/>
      <c r="J36" s="426"/>
      <c r="K36" s="426"/>
      <c r="L36" s="378"/>
      <c r="M36" s="378"/>
      <c r="N36" s="378"/>
      <c r="O36" s="354"/>
      <c r="P36" s="718"/>
    </row>
    <row r="37" spans="1:16" s="381" customFormat="1" ht="15" customHeight="1" x14ac:dyDescent="0.2">
      <c r="A37" s="380" t="s">
        <v>723</v>
      </c>
      <c r="B37" s="374" t="s">
        <v>711</v>
      </c>
      <c r="C37" s="352" t="s">
        <v>198</v>
      </c>
      <c r="D37" s="413"/>
      <c r="E37" s="309" t="s">
        <v>83</v>
      </c>
      <c r="F37" s="424">
        <v>0</v>
      </c>
      <c r="G37" s="424" t="s">
        <v>228</v>
      </c>
      <c r="H37" s="424">
        <v>0</v>
      </c>
      <c r="I37" s="424" t="s">
        <v>228</v>
      </c>
      <c r="J37" s="424" t="s">
        <v>228</v>
      </c>
      <c r="K37" s="424" t="s">
        <v>228</v>
      </c>
      <c r="L37" s="858" t="s">
        <v>792</v>
      </c>
      <c r="M37" s="861" t="s">
        <v>789</v>
      </c>
      <c r="N37" s="353"/>
      <c r="O37" s="354"/>
      <c r="P37" s="718"/>
    </row>
    <row r="38" spans="1:16" s="381" customFormat="1" ht="15" customHeight="1" x14ac:dyDescent="0.2">
      <c r="A38" s="380" t="s">
        <v>724</v>
      </c>
      <c r="B38" s="374" t="s">
        <v>712</v>
      </c>
      <c r="C38" s="352">
        <v>11</v>
      </c>
      <c r="D38" s="413">
        <v>11</v>
      </c>
      <c r="E38" s="309" t="s">
        <v>29</v>
      </c>
      <c r="F38" s="415">
        <v>7740</v>
      </c>
      <c r="G38" s="416">
        <f>F38*C38</f>
        <v>85140</v>
      </c>
      <c r="H38" s="415">
        <v>860</v>
      </c>
      <c r="I38" s="415">
        <f>H38*C38</f>
        <v>9460</v>
      </c>
      <c r="J38" s="415">
        <f>H38+F38</f>
        <v>8600</v>
      </c>
      <c r="K38" s="415">
        <f>I38+G38</f>
        <v>94600</v>
      </c>
      <c r="L38" s="859"/>
      <c r="M38" s="862"/>
      <c r="N38" s="353"/>
      <c r="O38" s="354"/>
      <c r="P38" s="718"/>
    </row>
    <row r="39" spans="1:16" s="381" customFormat="1" ht="15" customHeight="1" x14ac:dyDescent="0.2">
      <c r="A39" s="380" t="s">
        <v>725</v>
      </c>
      <c r="B39" s="374" t="s">
        <v>713</v>
      </c>
      <c r="C39" s="352" t="s">
        <v>198</v>
      </c>
      <c r="D39" s="413"/>
      <c r="E39" s="309" t="s">
        <v>83</v>
      </c>
      <c r="F39" s="424">
        <v>0</v>
      </c>
      <c r="G39" s="424" t="s">
        <v>228</v>
      </c>
      <c r="H39" s="424">
        <v>0</v>
      </c>
      <c r="I39" s="424" t="s">
        <v>228</v>
      </c>
      <c r="J39" s="424" t="s">
        <v>228</v>
      </c>
      <c r="K39" s="424" t="s">
        <v>228</v>
      </c>
      <c r="L39" s="859"/>
      <c r="M39" s="862"/>
      <c r="N39" s="353"/>
      <c r="O39" s="354"/>
      <c r="P39" s="718"/>
    </row>
    <row r="40" spans="1:16" s="379" customFormat="1" ht="15" customHeight="1" x14ac:dyDescent="0.2">
      <c r="A40" s="382">
        <v>6.2</v>
      </c>
      <c r="B40" s="375" t="s">
        <v>726</v>
      </c>
      <c r="C40" s="376"/>
      <c r="D40" s="376"/>
      <c r="E40" s="377"/>
      <c r="F40" s="425">
        <v>0</v>
      </c>
      <c r="G40" s="425"/>
      <c r="H40" s="426">
        <v>0</v>
      </c>
      <c r="I40" s="426"/>
      <c r="J40" s="426"/>
      <c r="K40" s="426"/>
      <c r="L40" s="859"/>
      <c r="M40" s="862"/>
      <c r="N40" s="378"/>
      <c r="O40" s="354"/>
      <c r="P40" s="718"/>
    </row>
    <row r="41" spans="1:16" s="381" customFormat="1" ht="15" customHeight="1" x14ac:dyDescent="0.2">
      <c r="A41" s="380" t="s">
        <v>727</v>
      </c>
      <c r="B41" s="374" t="s">
        <v>711</v>
      </c>
      <c r="C41" s="352" t="s">
        <v>198</v>
      </c>
      <c r="D41" s="413"/>
      <c r="E41" s="309" t="s">
        <v>83</v>
      </c>
      <c r="F41" s="424">
        <v>0</v>
      </c>
      <c r="G41" s="424" t="s">
        <v>228</v>
      </c>
      <c r="H41" s="424">
        <v>0</v>
      </c>
      <c r="I41" s="424" t="s">
        <v>228</v>
      </c>
      <c r="J41" s="424" t="s">
        <v>228</v>
      </c>
      <c r="K41" s="424" t="s">
        <v>228</v>
      </c>
      <c r="L41" s="859"/>
      <c r="M41" s="862"/>
      <c r="N41" s="353"/>
      <c r="O41" s="354"/>
      <c r="P41" s="718"/>
    </row>
    <row r="42" spans="1:16" s="381" customFormat="1" ht="15" customHeight="1" x14ac:dyDescent="0.2">
      <c r="A42" s="380" t="s">
        <v>728</v>
      </c>
      <c r="B42" s="374" t="s">
        <v>712</v>
      </c>
      <c r="C42" s="352">
        <v>7</v>
      </c>
      <c r="D42" s="413">
        <v>7</v>
      </c>
      <c r="E42" s="309" t="s">
        <v>29</v>
      </c>
      <c r="F42" s="415">
        <v>7310</v>
      </c>
      <c r="G42" s="416">
        <f>F42*C42</f>
        <v>51170</v>
      </c>
      <c r="H42" s="415">
        <v>860</v>
      </c>
      <c r="I42" s="415">
        <f>H42*C42</f>
        <v>6020</v>
      </c>
      <c r="J42" s="415">
        <f>H42+F42</f>
        <v>8170</v>
      </c>
      <c r="K42" s="415">
        <f>I42+G42</f>
        <v>57190</v>
      </c>
      <c r="L42" s="859"/>
      <c r="M42" s="862"/>
      <c r="N42" s="353"/>
      <c r="O42" s="354"/>
      <c r="P42" s="718"/>
    </row>
    <row r="43" spans="1:16" s="379" customFormat="1" ht="15" customHeight="1" x14ac:dyDescent="0.2">
      <c r="A43" s="380" t="s">
        <v>729</v>
      </c>
      <c r="B43" s="374" t="s">
        <v>713</v>
      </c>
      <c r="C43" s="352" t="s">
        <v>198</v>
      </c>
      <c r="D43" s="413"/>
      <c r="E43" s="309" t="s">
        <v>83</v>
      </c>
      <c r="F43" s="424">
        <v>0</v>
      </c>
      <c r="G43" s="424" t="s">
        <v>228</v>
      </c>
      <c r="H43" s="424">
        <v>0</v>
      </c>
      <c r="I43" s="424" t="s">
        <v>228</v>
      </c>
      <c r="J43" s="424" t="s">
        <v>228</v>
      </c>
      <c r="K43" s="424" t="s">
        <v>228</v>
      </c>
      <c r="L43" s="859"/>
      <c r="M43" s="862"/>
      <c r="N43" s="353"/>
      <c r="O43" s="354"/>
      <c r="P43" s="718"/>
    </row>
    <row r="44" spans="1:16" s="379" customFormat="1" ht="15" customHeight="1" x14ac:dyDescent="0.2">
      <c r="A44" s="383">
        <v>6.3</v>
      </c>
      <c r="B44" s="375" t="s">
        <v>730</v>
      </c>
      <c r="C44" s="376"/>
      <c r="D44" s="376"/>
      <c r="E44" s="377"/>
      <c r="F44" s="425">
        <v>0</v>
      </c>
      <c r="G44" s="425"/>
      <c r="H44" s="426">
        <v>0</v>
      </c>
      <c r="I44" s="426"/>
      <c r="J44" s="426"/>
      <c r="K44" s="426"/>
      <c r="L44" s="859"/>
      <c r="M44" s="862"/>
      <c r="N44" s="378"/>
      <c r="O44" s="354"/>
      <c r="P44" s="718"/>
    </row>
    <row r="45" spans="1:16" s="379" customFormat="1" ht="15" customHeight="1" x14ac:dyDescent="0.2">
      <c r="A45" s="380" t="s">
        <v>560</v>
      </c>
      <c r="B45" s="374" t="s">
        <v>715</v>
      </c>
      <c r="C45" s="352">
        <v>17</v>
      </c>
      <c r="D45" s="413">
        <v>17</v>
      </c>
      <c r="E45" s="309" t="s">
        <v>29</v>
      </c>
      <c r="F45" s="415">
        <v>4300</v>
      </c>
      <c r="G45" s="416">
        <f t="shared" ref="G45:G48" si="12">F45*C45</f>
        <v>73100</v>
      </c>
      <c r="H45" s="415">
        <v>860</v>
      </c>
      <c r="I45" s="415">
        <f t="shared" ref="I45:I48" si="13">H45*C45</f>
        <v>14620</v>
      </c>
      <c r="J45" s="415">
        <f t="shared" ref="J45:J48" si="14">H45+F45</f>
        <v>5160</v>
      </c>
      <c r="K45" s="415">
        <f t="shared" ref="K45:K48" si="15">I45+G45</f>
        <v>87720</v>
      </c>
      <c r="L45" s="859"/>
      <c r="M45" s="862"/>
      <c r="N45" s="353"/>
      <c r="O45" s="354"/>
      <c r="P45" s="718"/>
    </row>
    <row r="46" spans="1:16" s="381" customFormat="1" ht="15" customHeight="1" x14ac:dyDescent="0.2">
      <c r="A46" s="380" t="s">
        <v>561</v>
      </c>
      <c r="B46" s="374" t="s">
        <v>716</v>
      </c>
      <c r="C46" s="352">
        <v>34</v>
      </c>
      <c r="D46" s="413">
        <v>34</v>
      </c>
      <c r="E46" s="309" t="s">
        <v>29</v>
      </c>
      <c r="F46" s="415">
        <v>3440</v>
      </c>
      <c r="G46" s="416">
        <f t="shared" si="12"/>
        <v>116960</v>
      </c>
      <c r="H46" s="415">
        <v>860</v>
      </c>
      <c r="I46" s="415">
        <f t="shared" si="13"/>
        <v>29240</v>
      </c>
      <c r="J46" s="415">
        <f t="shared" si="14"/>
        <v>4300</v>
      </c>
      <c r="K46" s="415">
        <f t="shared" si="15"/>
        <v>146200</v>
      </c>
      <c r="L46" s="859"/>
      <c r="M46" s="862"/>
      <c r="N46" s="353"/>
      <c r="O46" s="354"/>
      <c r="P46" s="718"/>
    </row>
    <row r="47" spans="1:16" s="381" customFormat="1" ht="15" customHeight="1" x14ac:dyDescent="0.2">
      <c r="A47" s="380" t="s">
        <v>562</v>
      </c>
      <c r="B47" s="374" t="s">
        <v>717</v>
      </c>
      <c r="C47" s="352">
        <v>25</v>
      </c>
      <c r="D47" s="413">
        <v>25</v>
      </c>
      <c r="E47" s="309" t="s">
        <v>29</v>
      </c>
      <c r="F47" s="415">
        <v>3440</v>
      </c>
      <c r="G47" s="416">
        <f t="shared" si="12"/>
        <v>86000</v>
      </c>
      <c r="H47" s="415">
        <v>860</v>
      </c>
      <c r="I47" s="415">
        <f t="shared" si="13"/>
        <v>21500</v>
      </c>
      <c r="J47" s="415">
        <f t="shared" si="14"/>
        <v>4300</v>
      </c>
      <c r="K47" s="415">
        <f t="shared" si="15"/>
        <v>107500</v>
      </c>
      <c r="L47" s="859"/>
      <c r="M47" s="862"/>
      <c r="N47" s="353"/>
      <c r="O47" s="354"/>
      <c r="P47" s="718"/>
    </row>
    <row r="48" spans="1:16" s="381" customFormat="1" ht="15" customHeight="1" thickBot="1" x14ac:dyDescent="0.25">
      <c r="A48" s="380" t="s">
        <v>563</v>
      </c>
      <c r="B48" s="374" t="s">
        <v>718</v>
      </c>
      <c r="C48" s="352">
        <v>70</v>
      </c>
      <c r="D48" s="413">
        <v>70</v>
      </c>
      <c r="E48" s="309" t="s">
        <v>29</v>
      </c>
      <c r="F48" s="415">
        <v>2580</v>
      </c>
      <c r="G48" s="416">
        <f t="shared" si="12"/>
        <v>180600</v>
      </c>
      <c r="H48" s="415">
        <v>860</v>
      </c>
      <c r="I48" s="415">
        <f t="shared" si="13"/>
        <v>60200</v>
      </c>
      <c r="J48" s="415">
        <f t="shared" si="14"/>
        <v>3440</v>
      </c>
      <c r="K48" s="415">
        <f t="shared" si="15"/>
        <v>240800</v>
      </c>
      <c r="L48" s="860"/>
      <c r="M48" s="863"/>
      <c r="N48" s="353"/>
      <c r="O48" s="354"/>
      <c r="P48" s="718"/>
    </row>
    <row r="49" spans="1:16" s="4" customFormat="1" ht="15" customHeight="1" thickBot="1" x14ac:dyDescent="0.25">
      <c r="A49" s="870" t="s">
        <v>703</v>
      </c>
      <c r="B49" s="871"/>
      <c r="C49" s="871"/>
      <c r="D49" s="871"/>
      <c r="E49" s="871"/>
      <c r="F49" s="417">
        <v>0</v>
      </c>
      <c r="G49" s="418"/>
      <c r="H49" s="419">
        <v>0</v>
      </c>
      <c r="I49" s="419"/>
      <c r="J49" s="419"/>
      <c r="K49" s="419"/>
      <c r="L49" s="338"/>
      <c r="M49" s="338"/>
      <c r="N49" s="338"/>
      <c r="O49" s="354"/>
      <c r="P49" s="718"/>
    </row>
    <row r="50" spans="1:16" s="349" customFormat="1" ht="15" customHeight="1" x14ac:dyDescent="0.2">
      <c r="A50" s="250">
        <v>7</v>
      </c>
      <c r="B50" s="340" t="s">
        <v>731</v>
      </c>
      <c r="C50" s="356"/>
      <c r="D50" s="356"/>
      <c r="E50" s="384"/>
      <c r="F50" s="420">
        <v>0</v>
      </c>
      <c r="G50" s="421"/>
      <c r="H50" s="365">
        <v>0</v>
      </c>
      <c r="I50" s="365"/>
      <c r="J50" s="365"/>
      <c r="K50" s="365"/>
      <c r="L50" s="365"/>
      <c r="M50" s="365"/>
      <c r="N50" s="365"/>
      <c r="O50" s="354"/>
      <c r="P50" s="718"/>
    </row>
    <row r="51" spans="1:16" s="354" customFormat="1" ht="15" customHeight="1" thickBot="1" x14ac:dyDescent="0.25">
      <c r="A51" s="350">
        <v>7.1</v>
      </c>
      <c r="B51" s="351" t="s">
        <v>732</v>
      </c>
      <c r="C51" s="352">
        <v>1</v>
      </c>
      <c r="D51" s="413">
        <v>1</v>
      </c>
      <c r="E51" s="207" t="s">
        <v>30</v>
      </c>
      <c r="F51" s="415">
        <v>0</v>
      </c>
      <c r="G51" s="416">
        <f>F51*C51</f>
        <v>0</v>
      </c>
      <c r="H51" s="415">
        <v>21500</v>
      </c>
      <c r="I51" s="415">
        <f>H51*C51</f>
        <v>21500</v>
      </c>
      <c r="J51" s="415">
        <f>H51+F51</f>
        <v>21500</v>
      </c>
      <c r="K51" s="415">
        <f>I51+G51</f>
        <v>21500</v>
      </c>
      <c r="L51" s="353"/>
      <c r="M51" s="353"/>
      <c r="N51" s="353"/>
      <c r="P51" s="718"/>
    </row>
    <row r="52" spans="1:16" s="4" customFormat="1" ht="15" customHeight="1" thickBot="1" x14ac:dyDescent="0.25">
      <c r="A52" s="870" t="s">
        <v>703</v>
      </c>
      <c r="B52" s="871"/>
      <c r="C52" s="871"/>
      <c r="D52" s="871"/>
      <c r="E52" s="871"/>
      <c r="F52" s="417">
        <v>0</v>
      </c>
      <c r="G52" s="418"/>
      <c r="H52" s="419">
        <v>0</v>
      </c>
      <c r="I52" s="419"/>
      <c r="J52" s="419"/>
      <c r="K52" s="419"/>
      <c r="L52" s="338"/>
      <c r="M52" s="338"/>
      <c r="N52" s="338"/>
      <c r="O52" s="354"/>
      <c r="P52" s="718"/>
    </row>
    <row r="53" spans="1:16" s="349" customFormat="1" ht="15" customHeight="1" x14ac:dyDescent="0.2">
      <c r="A53" s="250">
        <v>8</v>
      </c>
      <c r="B53" s="340" t="s">
        <v>733</v>
      </c>
      <c r="C53" s="356"/>
      <c r="D53" s="356"/>
      <c r="E53" s="385"/>
      <c r="F53" s="358">
        <v>0</v>
      </c>
      <c r="G53" s="360"/>
      <c r="H53" s="365">
        <v>0</v>
      </c>
      <c r="I53" s="365"/>
      <c r="J53" s="365"/>
      <c r="K53" s="365"/>
      <c r="L53" s="365"/>
      <c r="M53" s="365"/>
      <c r="N53" s="365"/>
      <c r="O53" s="354"/>
      <c r="P53" s="718"/>
    </row>
    <row r="54" spans="1:16" s="379" customFormat="1" ht="15" customHeight="1" thickBot="1" x14ac:dyDescent="0.25">
      <c r="A54" s="350">
        <v>8.1</v>
      </c>
      <c r="B54" s="386" t="s">
        <v>734</v>
      </c>
      <c r="C54" s="352">
        <v>1</v>
      </c>
      <c r="D54" s="413">
        <v>1</v>
      </c>
      <c r="E54" s="207" t="s">
        <v>30</v>
      </c>
      <c r="F54" s="415">
        <v>107500</v>
      </c>
      <c r="G54" s="416">
        <f>F54*C54</f>
        <v>107500</v>
      </c>
      <c r="H54" s="415">
        <v>43000</v>
      </c>
      <c r="I54" s="415">
        <f>H54*C54</f>
        <v>43000</v>
      </c>
      <c r="J54" s="415">
        <f>H54+F54</f>
        <v>150500</v>
      </c>
      <c r="K54" s="415">
        <f>I54+G54</f>
        <v>150500</v>
      </c>
      <c r="L54" s="353"/>
      <c r="M54" s="353"/>
      <c r="N54" s="353"/>
      <c r="O54" s="354"/>
      <c r="P54" s="718"/>
    </row>
    <row r="55" spans="1:16" s="4" customFormat="1" ht="15" customHeight="1" thickBot="1" x14ac:dyDescent="0.25">
      <c r="A55" s="870" t="s">
        <v>703</v>
      </c>
      <c r="B55" s="871"/>
      <c r="C55" s="871"/>
      <c r="D55" s="871"/>
      <c r="E55" s="871"/>
      <c r="F55" s="417">
        <v>0</v>
      </c>
      <c r="G55" s="418"/>
      <c r="H55" s="419">
        <v>0</v>
      </c>
      <c r="I55" s="419"/>
      <c r="J55" s="419"/>
      <c r="K55" s="419"/>
      <c r="L55" s="338"/>
      <c r="M55" s="338"/>
      <c r="N55" s="338"/>
      <c r="O55" s="354"/>
      <c r="P55" s="718"/>
    </row>
    <row r="56" spans="1:16" s="349" customFormat="1" ht="15" customHeight="1" x14ac:dyDescent="0.2">
      <c r="A56" s="250">
        <v>9</v>
      </c>
      <c r="B56" s="340" t="s">
        <v>735</v>
      </c>
      <c r="C56" s="356"/>
      <c r="D56" s="356"/>
      <c r="E56" s="190"/>
      <c r="F56" s="420">
        <v>0</v>
      </c>
      <c r="G56" s="421"/>
      <c r="H56" s="365">
        <v>0</v>
      </c>
      <c r="I56" s="365"/>
      <c r="J56" s="365"/>
      <c r="K56" s="365"/>
      <c r="L56" s="365"/>
      <c r="M56" s="365"/>
      <c r="N56" s="365"/>
      <c r="O56" s="354"/>
      <c r="P56" s="718"/>
    </row>
    <row r="57" spans="1:16" s="354" customFormat="1" ht="15" customHeight="1" thickBot="1" x14ac:dyDescent="0.25">
      <c r="A57" s="362">
        <v>9.1</v>
      </c>
      <c r="B57" s="387" t="s">
        <v>736</v>
      </c>
      <c r="C57" s="352">
        <v>1</v>
      </c>
      <c r="D57" s="413">
        <v>1</v>
      </c>
      <c r="E57" s="207" t="s">
        <v>30</v>
      </c>
      <c r="F57" s="415">
        <v>146200</v>
      </c>
      <c r="G57" s="416">
        <f>F57*C57</f>
        <v>146200</v>
      </c>
      <c r="H57" s="415">
        <v>43000</v>
      </c>
      <c r="I57" s="415">
        <f>H57*C57</f>
        <v>43000</v>
      </c>
      <c r="J57" s="415">
        <f>H57+F57</f>
        <v>189200</v>
      </c>
      <c r="K57" s="415">
        <f>I57+G57</f>
        <v>189200</v>
      </c>
      <c r="L57" s="353"/>
      <c r="M57" s="353"/>
      <c r="N57" s="353"/>
      <c r="P57" s="718"/>
    </row>
    <row r="58" spans="1:16" s="4" customFormat="1" ht="15" customHeight="1" thickBot="1" x14ac:dyDescent="0.25">
      <c r="A58" s="870" t="s">
        <v>703</v>
      </c>
      <c r="B58" s="871"/>
      <c r="C58" s="871"/>
      <c r="D58" s="871"/>
      <c r="E58" s="871"/>
      <c r="F58" s="417">
        <v>0</v>
      </c>
      <c r="G58" s="418"/>
      <c r="H58" s="419">
        <v>0</v>
      </c>
      <c r="I58" s="419"/>
      <c r="J58" s="419"/>
      <c r="K58" s="419"/>
      <c r="L58" s="338"/>
      <c r="M58" s="338"/>
      <c r="N58" s="338"/>
      <c r="O58" s="354"/>
      <c r="P58" s="718"/>
    </row>
    <row r="59" spans="1:16" s="349" customFormat="1" ht="15" customHeight="1" x14ac:dyDescent="0.2">
      <c r="A59" s="250">
        <v>10</v>
      </c>
      <c r="B59" s="340" t="s">
        <v>14</v>
      </c>
      <c r="C59" s="356"/>
      <c r="D59" s="356"/>
      <c r="E59" s="190"/>
      <c r="F59" s="420">
        <v>0</v>
      </c>
      <c r="G59" s="421"/>
      <c r="H59" s="365">
        <v>0</v>
      </c>
      <c r="I59" s="365"/>
      <c r="J59" s="365"/>
      <c r="K59" s="365"/>
      <c r="L59" s="365"/>
      <c r="M59" s="365"/>
      <c r="N59" s="365"/>
      <c r="O59" s="354"/>
      <c r="P59" s="718"/>
    </row>
    <row r="60" spans="1:16" s="354" customFormat="1" ht="15" customHeight="1" x14ac:dyDescent="0.2">
      <c r="A60" s="350">
        <v>10.1</v>
      </c>
      <c r="B60" s="351" t="s">
        <v>737</v>
      </c>
      <c r="C60" s="352">
        <v>1</v>
      </c>
      <c r="D60" s="413">
        <v>1</v>
      </c>
      <c r="E60" s="207" t="s">
        <v>30</v>
      </c>
      <c r="F60" s="415">
        <v>21500</v>
      </c>
      <c r="G60" s="416">
        <f t="shared" ref="G60:G63" si="16">F60*C60</f>
        <v>21500</v>
      </c>
      <c r="H60" s="415">
        <v>4300</v>
      </c>
      <c r="I60" s="415">
        <f t="shared" ref="I60:I63" si="17">H60*C60</f>
        <v>4300</v>
      </c>
      <c r="J60" s="415">
        <f t="shared" ref="J60:J63" si="18">H60+F60</f>
        <v>25800</v>
      </c>
      <c r="K60" s="415">
        <f t="shared" ref="K60:K63" si="19">I60+G60</f>
        <v>25800</v>
      </c>
      <c r="L60" s="353"/>
      <c r="M60" s="353"/>
      <c r="N60" s="353"/>
      <c r="P60" s="718"/>
    </row>
    <row r="61" spans="1:16" s="354" customFormat="1" ht="15" customHeight="1" x14ac:dyDescent="0.2">
      <c r="A61" s="350">
        <v>10.199999999999999</v>
      </c>
      <c r="B61" s="351" t="s">
        <v>738</v>
      </c>
      <c r="C61" s="352">
        <v>1</v>
      </c>
      <c r="D61" s="413">
        <v>1</v>
      </c>
      <c r="E61" s="207" t="s">
        <v>30</v>
      </c>
      <c r="F61" s="415">
        <v>8600</v>
      </c>
      <c r="G61" s="416">
        <f t="shared" si="16"/>
        <v>8600</v>
      </c>
      <c r="H61" s="415">
        <v>8600</v>
      </c>
      <c r="I61" s="415">
        <f t="shared" si="17"/>
        <v>8600</v>
      </c>
      <c r="J61" s="415">
        <f t="shared" si="18"/>
        <v>17200</v>
      </c>
      <c r="K61" s="415">
        <f t="shared" si="19"/>
        <v>17200</v>
      </c>
      <c r="L61" s="353"/>
      <c r="M61" s="353"/>
      <c r="N61" s="353"/>
      <c r="P61" s="718"/>
    </row>
    <row r="62" spans="1:16" s="4" customFormat="1" ht="25.5" customHeight="1" x14ac:dyDescent="0.2">
      <c r="A62" s="350">
        <v>10.3</v>
      </c>
      <c r="B62" s="388" t="s">
        <v>739</v>
      </c>
      <c r="C62" s="352">
        <v>1</v>
      </c>
      <c r="D62" s="413">
        <v>1</v>
      </c>
      <c r="E62" s="207" t="s">
        <v>30</v>
      </c>
      <c r="F62" s="415">
        <v>12900</v>
      </c>
      <c r="G62" s="416">
        <f t="shared" si="16"/>
        <v>12900</v>
      </c>
      <c r="H62" s="415">
        <v>4300</v>
      </c>
      <c r="I62" s="415">
        <f t="shared" si="17"/>
        <v>4300</v>
      </c>
      <c r="J62" s="415">
        <f t="shared" si="18"/>
        <v>17200</v>
      </c>
      <c r="K62" s="415">
        <f t="shared" si="19"/>
        <v>17200</v>
      </c>
      <c r="L62" s="353"/>
      <c r="M62" s="353"/>
      <c r="N62" s="353"/>
      <c r="O62" s="354"/>
      <c r="P62" s="718"/>
    </row>
    <row r="63" spans="1:16" s="4" customFormat="1" ht="15" customHeight="1" thickBot="1" x14ac:dyDescent="0.25">
      <c r="A63" s="350">
        <v>10.4</v>
      </c>
      <c r="B63" s="351" t="s">
        <v>35</v>
      </c>
      <c r="C63" s="352">
        <v>1</v>
      </c>
      <c r="D63" s="413">
        <v>1</v>
      </c>
      <c r="E63" s="207" t="s">
        <v>30</v>
      </c>
      <c r="F63" s="415">
        <v>4300</v>
      </c>
      <c r="G63" s="416">
        <f t="shared" si="16"/>
        <v>4300</v>
      </c>
      <c r="H63" s="415">
        <v>4300</v>
      </c>
      <c r="I63" s="415">
        <f t="shared" si="17"/>
        <v>4300</v>
      </c>
      <c r="J63" s="415">
        <f t="shared" si="18"/>
        <v>8600</v>
      </c>
      <c r="K63" s="415">
        <f t="shared" si="19"/>
        <v>8600</v>
      </c>
      <c r="L63" s="353"/>
      <c r="M63" s="353"/>
      <c r="N63" s="353"/>
      <c r="O63" s="354"/>
      <c r="P63" s="718"/>
    </row>
    <row r="64" spans="1:16" s="4" customFormat="1" ht="15" customHeight="1" thickBot="1" x14ac:dyDescent="0.25">
      <c r="A64" s="868" t="s">
        <v>703</v>
      </c>
      <c r="B64" s="869"/>
      <c r="C64" s="869"/>
      <c r="D64" s="869"/>
      <c r="E64" s="869"/>
      <c r="F64" s="427"/>
      <c r="G64" s="428"/>
      <c r="H64" s="429"/>
      <c r="I64" s="429"/>
      <c r="J64" s="429"/>
      <c r="K64" s="429"/>
      <c r="L64" s="414"/>
      <c r="M64" s="342"/>
      <c r="N64" s="342"/>
    </row>
    <row r="65" spans="1:14" s="4" customFormat="1" ht="15" customHeight="1" thickBot="1" x14ac:dyDescent="0.25">
      <c r="A65" s="868" t="s">
        <v>745</v>
      </c>
      <c r="B65" s="869"/>
      <c r="C65" s="869"/>
      <c r="D65" s="869"/>
      <c r="E65" s="869"/>
      <c r="F65" s="427"/>
      <c r="G65" s="437">
        <f>SUM(G6:G64)</f>
        <v>6469436</v>
      </c>
      <c r="H65" s="437"/>
      <c r="I65" s="437">
        <f>SUM(I6:I64)</f>
        <v>1390413.6</v>
      </c>
      <c r="J65" s="437"/>
      <c r="K65" s="437">
        <f>SUM(K6:K64)</f>
        <v>7859849.5999999996</v>
      </c>
      <c r="L65" s="414"/>
      <c r="M65" s="342"/>
      <c r="N65" s="342"/>
    </row>
    <row r="66" spans="1:14" s="336" customFormat="1" ht="12" x14ac:dyDescent="0.2">
      <c r="A66" s="389"/>
      <c r="E66" s="390"/>
      <c r="F66" s="392"/>
      <c r="G66" s="391"/>
    </row>
    <row r="67" spans="1:14" s="336" customFormat="1" ht="12" x14ac:dyDescent="0.2">
      <c r="A67" s="389"/>
      <c r="E67" s="390"/>
      <c r="F67" s="392"/>
      <c r="G67" s="391"/>
    </row>
    <row r="68" spans="1:14" s="336" customFormat="1" ht="12" x14ac:dyDescent="0.2">
      <c r="A68" s="389"/>
      <c r="E68" s="390"/>
      <c r="F68" s="392"/>
      <c r="G68" s="391"/>
    </row>
    <row r="69" spans="1:14" s="336" customFormat="1" ht="12" x14ac:dyDescent="0.2">
      <c r="A69" s="389"/>
      <c r="E69" s="390"/>
      <c r="F69" s="392"/>
      <c r="G69" s="391"/>
    </row>
    <row r="70" spans="1:14" s="336" customFormat="1" ht="12" x14ac:dyDescent="0.2">
      <c r="A70" s="389"/>
      <c r="E70" s="390"/>
      <c r="F70" s="392"/>
      <c r="G70" s="391"/>
    </row>
    <row r="71" spans="1:14" s="336" customFormat="1" ht="12" x14ac:dyDescent="0.2">
      <c r="A71" s="389"/>
      <c r="E71" s="390"/>
      <c r="F71" s="392"/>
      <c r="G71" s="391"/>
    </row>
    <row r="72" spans="1:14" s="336" customFormat="1" ht="12" x14ac:dyDescent="0.2">
      <c r="A72" s="389"/>
      <c r="E72" s="390"/>
      <c r="F72" s="392"/>
      <c r="G72" s="391"/>
    </row>
    <row r="73" spans="1:14" s="336" customFormat="1" ht="12" x14ac:dyDescent="0.2">
      <c r="A73" s="389"/>
      <c r="E73" s="390"/>
      <c r="F73" s="392"/>
      <c r="G73" s="391"/>
    </row>
    <row r="74" spans="1:14" s="336" customFormat="1" ht="12" x14ac:dyDescent="0.2">
      <c r="A74" s="389"/>
      <c r="E74" s="390"/>
      <c r="F74" s="392"/>
      <c r="G74" s="391"/>
    </row>
    <row r="75" spans="1:14" s="336" customFormat="1" ht="12" x14ac:dyDescent="0.2">
      <c r="A75" s="389"/>
      <c r="E75" s="390"/>
      <c r="F75" s="392"/>
      <c r="G75" s="391"/>
    </row>
    <row r="76" spans="1:14" s="336" customFormat="1" ht="12" x14ac:dyDescent="0.2">
      <c r="A76" s="389"/>
      <c r="E76" s="390"/>
      <c r="F76" s="392"/>
      <c r="G76" s="391"/>
    </row>
    <row r="77" spans="1:14" s="336" customFormat="1" ht="12" x14ac:dyDescent="0.2">
      <c r="A77" s="389"/>
      <c r="E77" s="390"/>
      <c r="F77" s="392"/>
      <c r="G77" s="391"/>
    </row>
    <row r="78" spans="1:14" s="336" customFormat="1" ht="12" x14ac:dyDescent="0.2">
      <c r="A78" s="389"/>
      <c r="E78" s="390"/>
      <c r="F78" s="392"/>
      <c r="G78" s="391"/>
    </row>
    <row r="79" spans="1:14" s="336" customFormat="1" ht="12" x14ac:dyDescent="0.2">
      <c r="A79" s="389"/>
      <c r="E79" s="390"/>
      <c r="F79" s="392"/>
      <c r="G79" s="391"/>
    </row>
    <row r="80" spans="1:14" s="336" customFormat="1" ht="12" x14ac:dyDescent="0.2">
      <c r="A80" s="389"/>
      <c r="E80" s="390"/>
      <c r="F80" s="392"/>
      <c r="G80" s="391"/>
    </row>
    <row r="81" spans="1:7" s="336" customFormat="1" ht="12" x14ac:dyDescent="0.2">
      <c r="A81" s="389"/>
      <c r="E81" s="390"/>
      <c r="F81" s="392"/>
      <c r="G81" s="391"/>
    </row>
    <row r="82" spans="1:7" s="336" customFormat="1" ht="12" x14ac:dyDescent="0.2">
      <c r="A82" s="389"/>
      <c r="E82" s="390"/>
      <c r="F82" s="392"/>
      <c r="G82" s="391"/>
    </row>
    <row r="83" spans="1:7" s="336" customFormat="1" ht="12" x14ac:dyDescent="0.2">
      <c r="A83" s="389"/>
      <c r="E83" s="390"/>
      <c r="F83" s="392"/>
      <c r="G83" s="391"/>
    </row>
    <row r="84" spans="1:7" s="336" customFormat="1" ht="12" x14ac:dyDescent="0.2">
      <c r="A84" s="389"/>
      <c r="E84" s="390"/>
      <c r="F84" s="392"/>
      <c r="G84" s="391"/>
    </row>
    <row r="85" spans="1:7" s="336" customFormat="1" ht="12" x14ac:dyDescent="0.2">
      <c r="A85" s="389"/>
      <c r="E85" s="390"/>
      <c r="F85" s="392"/>
      <c r="G85" s="391"/>
    </row>
    <row r="86" spans="1:7" s="336" customFormat="1" ht="12" x14ac:dyDescent="0.2">
      <c r="A86" s="389"/>
      <c r="E86" s="390"/>
      <c r="F86" s="392"/>
      <c r="G86" s="391"/>
    </row>
    <row r="87" spans="1:7" s="336" customFormat="1" ht="12" x14ac:dyDescent="0.2">
      <c r="A87" s="389"/>
      <c r="E87" s="390"/>
      <c r="F87" s="392"/>
      <c r="G87" s="391"/>
    </row>
    <row r="88" spans="1:7" s="336" customFormat="1" ht="12" x14ac:dyDescent="0.2">
      <c r="A88" s="389"/>
      <c r="E88" s="390"/>
      <c r="F88" s="392"/>
      <c r="G88" s="391"/>
    </row>
    <row r="89" spans="1:7" s="336" customFormat="1" ht="12" x14ac:dyDescent="0.2">
      <c r="A89" s="389"/>
      <c r="E89" s="390"/>
      <c r="F89" s="392"/>
      <c r="G89" s="391"/>
    </row>
    <row r="90" spans="1:7" s="336" customFormat="1" ht="12" x14ac:dyDescent="0.2">
      <c r="A90" s="389"/>
      <c r="E90" s="390"/>
      <c r="F90" s="392"/>
      <c r="G90" s="391"/>
    </row>
    <row r="91" spans="1:7" s="336" customFormat="1" ht="12" x14ac:dyDescent="0.2">
      <c r="A91" s="389"/>
      <c r="E91" s="390"/>
      <c r="F91" s="392"/>
      <c r="G91" s="391"/>
    </row>
    <row r="92" spans="1:7" s="336" customFormat="1" ht="12" x14ac:dyDescent="0.2">
      <c r="A92" s="389"/>
      <c r="E92" s="390"/>
      <c r="F92" s="392"/>
      <c r="G92" s="391"/>
    </row>
    <row r="93" spans="1:7" s="336" customFormat="1" ht="12" x14ac:dyDescent="0.2">
      <c r="A93" s="389"/>
      <c r="E93" s="390"/>
      <c r="F93" s="392"/>
      <c r="G93" s="391"/>
    </row>
    <row r="94" spans="1:7" s="336" customFormat="1" ht="12" x14ac:dyDescent="0.2">
      <c r="A94" s="389"/>
      <c r="E94" s="390"/>
      <c r="F94" s="392"/>
      <c r="G94" s="391"/>
    </row>
    <row r="95" spans="1:7" s="336" customFormat="1" ht="12" x14ac:dyDescent="0.2">
      <c r="A95" s="389"/>
      <c r="E95" s="390"/>
      <c r="F95" s="392"/>
      <c r="G95" s="391"/>
    </row>
    <row r="96" spans="1:7" s="336" customFormat="1" ht="12" x14ac:dyDescent="0.2">
      <c r="A96" s="389"/>
      <c r="E96" s="390"/>
      <c r="F96" s="392"/>
      <c r="G96" s="391"/>
    </row>
    <row r="97" spans="1:7" s="336" customFormat="1" ht="12" x14ac:dyDescent="0.2">
      <c r="A97" s="389"/>
      <c r="E97" s="390"/>
      <c r="F97" s="392"/>
      <c r="G97" s="391"/>
    </row>
    <row r="98" spans="1:7" s="336" customFormat="1" ht="12" x14ac:dyDescent="0.2">
      <c r="A98" s="389"/>
      <c r="E98" s="390"/>
      <c r="F98" s="392"/>
      <c r="G98" s="391"/>
    </row>
    <row r="99" spans="1:7" s="336" customFormat="1" ht="12" x14ac:dyDescent="0.2">
      <c r="A99" s="389"/>
      <c r="E99" s="390"/>
      <c r="F99" s="392"/>
      <c r="G99" s="391"/>
    </row>
    <row r="100" spans="1:7" s="336" customFormat="1" ht="12" x14ac:dyDescent="0.2">
      <c r="A100" s="389"/>
      <c r="E100" s="390"/>
      <c r="F100" s="392"/>
      <c r="G100" s="391"/>
    </row>
    <row r="101" spans="1:7" s="336" customFormat="1" ht="12" x14ac:dyDescent="0.2">
      <c r="A101" s="389"/>
      <c r="E101" s="390"/>
      <c r="F101" s="392"/>
      <c r="G101" s="391"/>
    </row>
    <row r="102" spans="1:7" s="336" customFormat="1" ht="12" x14ac:dyDescent="0.2">
      <c r="A102" s="389"/>
      <c r="E102" s="390"/>
      <c r="F102" s="392"/>
      <c r="G102" s="391"/>
    </row>
    <row r="103" spans="1:7" s="336" customFormat="1" ht="12" x14ac:dyDescent="0.2">
      <c r="A103" s="389"/>
      <c r="E103" s="390"/>
      <c r="F103" s="392"/>
      <c r="G103" s="391"/>
    </row>
    <row r="104" spans="1:7" s="336" customFormat="1" ht="12" x14ac:dyDescent="0.2">
      <c r="A104" s="389"/>
      <c r="E104" s="390"/>
      <c r="F104" s="392"/>
      <c r="G104" s="391"/>
    </row>
    <row r="105" spans="1:7" s="336" customFormat="1" ht="12" x14ac:dyDescent="0.2">
      <c r="A105" s="389"/>
      <c r="E105" s="390"/>
      <c r="F105" s="392"/>
      <c r="G105" s="391"/>
    </row>
    <row r="106" spans="1:7" s="336" customFormat="1" ht="12" x14ac:dyDescent="0.2">
      <c r="A106" s="389"/>
      <c r="E106" s="390"/>
      <c r="F106" s="392"/>
      <c r="G106" s="391"/>
    </row>
    <row r="107" spans="1:7" s="336" customFormat="1" ht="12" x14ac:dyDescent="0.2">
      <c r="A107" s="389"/>
      <c r="E107" s="390"/>
      <c r="F107" s="392"/>
      <c r="G107" s="391"/>
    </row>
    <row r="108" spans="1:7" s="336" customFormat="1" ht="12" x14ac:dyDescent="0.2">
      <c r="A108" s="389"/>
      <c r="E108" s="390"/>
      <c r="F108" s="392"/>
      <c r="G108" s="391"/>
    </row>
    <row r="109" spans="1:7" s="336" customFormat="1" ht="12" x14ac:dyDescent="0.2">
      <c r="A109" s="389"/>
      <c r="E109" s="390"/>
      <c r="F109" s="392"/>
      <c r="G109" s="391"/>
    </row>
    <row r="110" spans="1:7" s="336" customFormat="1" ht="12" x14ac:dyDescent="0.2">
      <c r="A110" s="389"/>
      <c r="E110" s="390"/>
      <c r="F110" s="392"/>
      <c r="G110" s="391"/>
    </row>
    <row r="111" spans="1:7" s="336" customFormat="1" ht="12" x14ac:dyDescent="0.2">
      <c r="A111" s="389"/>
      <c r="E111" s="390"/>
      <c r="F111" s="392"/>
      <c r="G111" s="391"/>
    </row>
    <row r="112" spans="1:7" s="336" customFormat="1" ht="12" x14ac:dyDescent="0.2">
      <c r="A112" s="389"/>
      <c r="E112" s="390"/>
      <c r="F112" s="392"/>
      <c r="G112" s="391"/>
    </row>
    <row r="113" spans="1:7" s="336" customFormat="1" ht="12" x14ac:dyDescent="0.2">
      <c r="A113" s="389"/>
      <c r="E113" s="390"/>
      <c r="F113" s="392"/>
      <c r="G113" s="391"/>
    </row>
    <row r="114" spans="1:7" s="336" customFormat="1" ht="12" x14ac:dyDescent="0.2">
      <c r="A114" s="389"/>
      <c r="E114" s="390"/>
      <c r="F114" s="392"/>
      <c r="G114" s="391"/>
    </row>
    <row r="115" spans="1:7" s="336" customFormat="1" ht="12" x14ac:dyDescent="0.2">
      <c r="A115" s="389"/>
      <c r="E115" s="390"/>
      <c r="F115" s="392"/>
      <c r="G115" s="391"/>
    </row>
    <row r="116" spans="1:7" s="336" customFormat="1" ht="12" x14ac:dyDescent="0.2">
      <c r="A116" s="389"/>
      <c r="E116" s="390"/>
      <c r="F116" s="392"/>
      <c r="G116" s="391"/>
    </row>
    <row r="117" spans="1:7" s="336" customFormat="1" ht="12" x14ac:dyDescent="0.2">
      <c r="A117" s="389"/>
      <c r="E117" s="390"/>
      <c r="F117" s="392"/>
      <c r="G117" s="391"/>
    </row>
    <row r="118" spans="1:7" s="336" customFormat="1" ht="12" x14ac:dyDescent="0.2">
      <c r="A118" s="389"/>
      <c r="E118" s="390"/>
      <c r="F118" s="392"/>
      <c r="G118" s="391"/>
    </row>
    <row r="119" spans="1:7" s="336" customFormat="1" ht="12" x14ac:dyDescent="0.2">
      <c r="A119" s="389"/>
      <c r="E119" s="390"/>
      <c r="F119" s="392"/>
      <c r="G119" s="391"/>
    </row>
    <row r="120" spans="1:7" s="336" customFormat="1" ht="12" x14ac:dyDescent="0.2">
      <c r="A120" s="389"/>
      <c r="E120" s="390"/>
      <c r="F120" s="392"/>
      <c r="G120" s="391"/>
    </row>
    <row r="121" spans="1:7" s="336" customFormat="1" ht="12" x14ac:dyDescent="0.2">
      <c r="A121" s="389"/>
      <c r="E121" s="390"/>
      <c r="F121" s="392"/>
      <c r="G121" s="391"/>
    </row>
    <row r="122" spans="1:7" s="336" customFormat="1" ht="12" x14ac:dyDescent="0.2">
      <c r="A122" s="389"/>
      <c r="E122" s="390"/>
      <c r="F122" s="392"/>
      <c r="G122" s="391"/>
    </row>
    <row r="123" spans="1:7" s="336" customFormat="1" ht="12" x14ac:dyDescent="0.2">
      <c r="A123" s="389"/>
      <c r="E123" s="390"/>
      <c r="F123" s="392"/>
      <c r="G123" s="391"/>
    </row>
    <row r="124" spans="1:7" s="336" customFormat="1" ht="12" x14ac:dyDescent="0.2">
      <c r="A124" s="389"/>
      <c r="E124" s="390"/>
      <c r="F124" s="392"/>
      <c r="G124" s="391"/>
    </row>
    <row r="125" spans="1:7" s="336" customFormat="1" ht="12" x14ac:dyDescent="0.2">
      <c r="A125" s="389"/>
      <c r="E125" s="390"/>
      <c r="F125" s="392"/>
      <c r="G125" s="391"/>
    </row>
    <row r="126" spans="1:7" s="336" customFormat="1" ht="12" x14ac:dyDescent="0.2">
      <c r="A126" s="389"/>
      <c r="E126" s="390"/>
      <c r="F126" s="392"/>
      <c r="G126" s="391"/>
    </row>
    <row r="127" spans="1:7" s="336" customFormat="1" ht="12" x14ac:dyDescent="0.2">
      <c r="A127" s="389"/>
      <c r="E127" s="390"/>
      <c r="F127" s="392"/>
      <c r="G127" s="391"/>
    </row>
    <row r="128" spans="1:7" s="336" customFormat="1" ht="12" x14ac:dyDescent="0.2">
      <c r="A128" s="389"/>
      <c r="E128" s="390"/>
      <c r="F128" s="392"/>
      <c r="G128" s="391"/>
    </row>
    <row r="129" spans="1:7" s="336" customFormat="1" ht="12" x14ac:dyDescent="0.2">
      <c r="A129" s="389"/>
      <c r="E129" s="390"/>
      <c r="F129" s="392"/>
      <c r="G129" s="391"/>
    </row>
    <row r="130" spans="1:7" s="336" customFormat="1" ht="12" x14ac:dyDescent="0.2">
      <c r="A130" s="389"/>
      <c r="E130" s="390"/>
      <c r="F130" s="392"/>
      <c r="G130" s="391"/>
    </row>
    <row r="131" spans="1:7" s="336" customFormat="1" ht="12" x14ac:dyDescent="0.2">
      <c r="A131" s="389"/>
      <c r="E131" s="390"/>
      <c r="F131" s="392"/>
      <c r="G131" s="391"/>
    </row>
    <row r="132" spans="1:7" s="336" customFormat="1" ht="12" x14ac:dyDescent="0.2">
      <c r="A132" s="389"/>
      <c r="E132" s="390"/>
      <c r="F132" s="392"/>
      <c r="G132" s="391"/>
    </row>
    <row r="133" spans="1:7" s="336" customFormat="1" ht="12" x14ac:dyDescent="0.2">
      <c r="A133" s="389"/>
      <c r="E133" s="390"/>
      <c r="F133" s="392"/>
      <c r="G133" s="391"/>
    </row>
    <row r="134" spans="1:7" s="336" customFormat="1" ht="12" x14ac:dyDescent="0.2">
      <c r="A134" s="389"/>
      <c r="E134" s="390"/>
      <c r="F134" s="392"/>
      <c r="G134" s="391"/>
    </row>
    <row r="135" spans="1:7" s="336" customFormat="1" ht="12" x14ac:dyDescent="0.2">
      <c r="A135" s="389"/>
      <c r="E135" s="390"/>
      <c r="F135" s="392"/>
      <c r="G135" s="391"/>
    </row>
    <row r="136" spans="1:7" s="336" customFormat="1" ht="12" x14ac:dyDescent="0.2">
      <c r="A136" s="389"/>
      <c r="E136" s="390"/>
      <c r="F136" s="392"/>
      <c r="G136" s="391"/>
    </row>
    <row r="137" spans="1:7" s="336" customFormat="1" ht="12" x14ac:dyDescent="0.2">
      <c r="A137" s="389"/>
      <c r="E137" s="390"/>
      <c r="F137" s="392"/>
      <c r="G137" s="391"/>
    </row>
    <row r="138" spans="1:7" s="336" customFormat="1" ht="12" x14ac:dyDescent="0.2">
      <c r="A138" s="389"/>
      <c r="E138" s="390"/>
      <c r="F138" s="392"/>
      <c r="G138" s="391"/>
    </row>
    <row r="139" spans="1:7" s="336" customFormat="1" ht="12" x14ac:dyDescent="0.2">
      <c r="A139" s="389"/>
      <c r="E139" s="390"/>
      <c r="F139" s="392"/>
      <c r="G139" s="391"/>
    </row>
    <row r="140" spans="1:7" s="336" customFormat="1" ht="12" x14ac:dyDescent="0.2">
      <c r="A140" s="389"/>
      <c r="E140" s="390"/>
      <c r="F140" s="392"/>
      <c r="G140" s="393"/>
    </row>
    <row r="141" spans="1:7" s="336" customFormat="1" ht="12" x14ac:dyDescent="0.2">
      <c r="A141" s="389"/>
      <c r="E141" s="390"/>
      <c r="F141" s="392"/>
      <c r="G141" s="393"/>
    </row>
    <row r="142" spans="1:7" s="336" customFormat="1" ht="12" x14ac:dyDescent="0.2">
      <c r="A142" s="389"/>
      <c r="E142" s="390"/>
      <c r="F142" s="392"/>
      <c r="G142" s="393"/>
    </row>
    <row r="143" spans="1:7" s="336" customFormat="1" ht="12" x14ac:dyDescent="0.2">
      <c r="A143" s="389"/>
      <c r="E143" s="390"/>
      <c r="F143" s="392"/>
      <c r="G143" s="393"/>
    </row>
    <row r="144" spans="1:7" s="336" customFormat="1" ht="12" x14ac:dyDescent="0.2">
      <c r="A144" s="389"/>
      <c r="E144" s="390"/>
      <c r="F144" s="392"/>
      <c r="G144" s="393"/>
    </row>
    <row r="145" spans="1:7" s="336" customFormat="1" ht="12" x14ac:dyDescent="0.2">
      <c r="A145" s="389"/>
      <c r="E145" s="390"/>
      <c r="F145" s="392"/>
      <c r="G145" s="393"/>
    </row>
    <row r="146" spans="1:7" s="336" customFormat="1" ht="12" x14ac:dyDescent="0.2">
      <c r="A146" s="389"/>
      <c r="E146" s="390"/>
      <c r="F146" s="392"/>
      <c r="G146" s="393"/>
    </row>
    <row r="147" spans="1:7" s="336" customFormat="1" ht="12" x14ac:dyDescent="0.2">
      <c r="A147" s="389"/>
      <c r="E147" s="390"/>
      <c r="F147" s="392"/>
      <c r="G147" s="393"/>
    </row>
    <row r="148" spans="1:7" s="336" customFormat="1" ht="12" x14ac:dyDescent="0.2">
      <c r="A148" s="389"/>
      <c r="E148" s="390"/>
      <c r="F148" s="392"/>
      <c r="G148" s="393"/>
    </row>
    <row r="149" spans="1:7" s="336" customFormat="1" ht="12" x14ac:dyDescent="0.2">
      <c r="A149" s="389"/>
      <c r="E149" s="390"/>
      <c r="F149" s="392"/>
      <c r="G149" s="393"/>
    </row>
    <row r="150" spans="1:7" s="336" customFormat="1" ht="12" x14ac:dyDescent="0.2">
      <c r="A150" s="389"/>
      <c r="E150" s="390"/>
      <c r="F150" s="392"/>
      <c r="G150" s="393"/>
    </row>
    <row r="151" spans="1:7" s="336" customFormat="1" ht="12" x14ac:dyDescent="0.2">
      <c r="A151" s="389"/>
      <c r="E151" s="390"/>
      <c r="F151" s="392"/>
      <c r="G151" s="393"/>
    </row>
    <row r="152" spans="1:7" s="336" customFormat="1" ht="12" x14ac:dyDescent="0.2">
      <c r="A152" s="389"/>
      <c r="E152" s="390"/>
      <c r="F152" s="392"/>
      <c r="G152" s="393"/>
    </row>
    <row r="153" spans="1:7" s="336" customFormat="1" ht="12" x14ac:dyDescent="0.2">
      <c r="A153" s="389"/>
      <c r="E153" s="390"/>
      <c r="F153" s="392"/>
      <c r="G153" s="393"/>
    </row>
    <row r="154" spans="1:7" s="336" customFormat="1" ht="12" x14ac:dyDescent="0.2">
      <c r="A154" s="389"/>
      <c r="E154" s="390"/>
      <c r="F154" s="392"/>
      <c r="G154" s="393"/>
    </row>
    <row r="155" spans="1:7" s="336" customFormat="1" ht="12" x14ac:dyDescent="0.2">
      <c r="A155" s="389"/>
      <c r="E155" s="390"/>
      <c r="F155" s="392"/>
      <c r="G155" s="393"/>
    </row>
    <row r="156" spans="1:7" s="336" customFormat="1" ht="12" x14ac:dyDescent="0.2">
      <c r="A156" s="389"/>
      <c r="E156" s="390"/>
      <c r="F156" s="392"/>
      <c r="G156" s="393"/>
    </row>
    <row r="157" spans="1:7" s="336" customFormat="1" ht="12" x14ac:dyDescent="0.2">
      <c r="A157" s="389"/>
      <c r="E157" s="390"/>
      <c r="F157" s="392"/>
      <c r="G157" s="393"/>
    </row>
    <row r="158" spans="1:7" s="336" customFormat="1" ht="12" x14ac:dyDescent="0.2">
      <c r="A158" s="389"/>
      <c r="E158" s="390"/>
      <c r="F158" s="392"/>
      <c r="G158" s="393"/>
    </row>
    <row r="159" spans="1:7" s="336" customFormat="1" ht="12" x14ac:dyDescent="0.2">
      <c r="A159" s="389"/>
      <c r="E159" s="390"/>
      <c r="F159" s="392"/>
      <c r="G159" s="393"/>
    </row>
    <row r="160" spans="1:7" s="336" customFormat="1" ht="12" x14ac:dyDescent="0.2">
      <c r="A160" s="389"/>
      <c r="E160" s="390"/>
      <c r="F160" s="392"/>
      <c r="G160" s="393"/>
    </row>
    <row r="161" spans="1:7" s="336" customFormat="1" ht="12" x14ac:dyDescent="0.2">
      <c r="A161" s="389"/>
      <c r="E161" s="390"/>
      <c r="F161" s="392"/>
      <c r="G161" s="393"/>
    </row>
    <row r="162" spans="1:7" s="336" customFormat="1" ht="12" x14ac:dyDescent="0.2">
      <c r="A162" s="389"/>
      <c r="E162" s="390"/>
      <c r="F162" s="392"/>
      <c r="G162" s="393"/>
    </row>
    <row r="163" spans="1:7" s="336" customFormat="1" ht="12" x14ac:dyDescent="0.2">
      <c r="A163" s="389"/>
      <c r="E163" s="390"/>
      <c r="F163" s="392"/>
      <c r="G163" s="393"/>
    </row>
  </sheetData>
  <mergeCells count="32">
    <mergeCell ref="L3:L5"/>
    <mergeCell ref="M3:M5"/>
    <mergeCell ref="N3:N5"/>
    <mergeCell ref="A1:N1"/>
    <mergeCell ref="A34:E34"/>
    <mergeCell ref="A3:A5"/>
    <mergeCell ref="F3:G3"/>
    <mergeCell ref="H3:I3"/>
    <mergeCell ref="J3:K3"/>
    <mergeCell ref="A13:E13"/>
    <mergeCell ref="A16:E16"/>
    <mergeCell ref="A20:E20"/>
    <mergeCell ref="B3:B5"/>
    <mergeCell ref="L7:L12"/>
    <mergeCell ref="M7:M12"/>
    <mergeCell ref="L18:L19"/>
    <mergeCell ref="A65:E65"/>
    <mergeCell ref="C3:C5"/>
    <mergeCell ref="E3:E5"/>
    <mergeCell ref="D3:D5"/>
    <mergeCell ref="A64:E64"/>
    <mergeCell ref="A31:E31"/>
    <mergeCell ref="A49:E49"/>
    <mergeCell ref="A52:E52"/>
    <mergeCell ref="A55:E55"/>
    <mergeCell ref="A58:E58"/>
    <mergeCell ref="N23:N30"/>
    <mergeCell ref="M18:M19"/>
    <mergeCell ref="L23:L30"/>
    <mergeCell ref="M23:M30"/>
    <mergeCell ref="L37:L48"/>
    <mergeCell ref="M37:M48"/>
  </mergeCells>
  <printOptions horizontalCentered="1"/>
  <pageMargins left="0.51181102362204722" right="0.23622047244094491" top="0.74803149606299213" bottom="0.47244094488188981" header="0.31496062992125984" footer="0.15748031496062992"/>
  <pageSetup paperSize="9" scale="72" firstPageNumber="5" fitToHeight="0" orientation="landscape" useFirstPageNumber="1" r:id="rId1"/>
  <headerFooter alignWithMargins="0">
    <oddHeader>&amp;C250131-FND-1909-TD H-BOQ-001_BOQ HVAC Local Works_Rev00</oddHeader>
    <oddFooter xml:space="preserve">&amp;L&amp;"Arial,Bold"Fahim, Nanji &amp;&amp; deSouza (Pvt.) Ltd.
&amp;"Arial,Regular"Consulting Engineers&amp;R&amp;"Arial,Bold"Page -&amp;P
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K461"/>
  <sheetViews>
    <sheetView showGridLines="0" view="pageBreakPreview" zoomScaleNormal="100" zoomScaleSheetLayoutView="100" workbookViewId="0">
      <selection activeCell="H10" sqref="H10"/>
    </sheetView>
  </sheetViews>
  <sheetFormatPr defaultColWidth="9.140625" defaultRowHeight="12.75" x14ac:dyDescent="0.2"/>
  <cols>
    <col min="1" max="1" width="8.42578125" style="66" customWidth="1"/>
    <col min="2" max="2" width="6.7109375" style="7" customWidth="1"/>
    <col min="3" max="3" width="32" style="7" customWidth="1"/>
    <col min="4" max="4" width="38.28515625" style="7" customWidth="1"/>
    <col min="5" max="5" width="11" style="83" customWidth="1"/>
    <col min="6" max="6" width="5.28515625" style="66" bestFit="1" customWidth="1"/>
    <col min="7" max="8" width="11" style="66" customWidth="1"/>
    <col min="9" max="12" width="11" style="20" customWidth="1"/>
    <col min="13" max="16384" width="9.140625" style="7"/>
  </cols>
  <sheetData>
    <row r="1" spans="1:63" s="1" customFormat="1" ht="15" x14ac:dyDescent="0.2">
      <c r="A1" s="1" t="s">
        <v>146</v>
      </c>
      <c r="E1" s="6"/>
      <c r="F1" s="6"/>
      <c r="G1" s="6"/>
      <c r="H1" s="6"/>
      <c r="I1" s="6"/>
      <c r="L1" s="6" t="s">
        <v>494</v>
      </c>
    </row>
    <row r="2" spans="1:63" s="1" customFormat="1" ht="15" x14ac:dyDescent="0.2">
      <c r="A2" s="94" t="s">
        <v>493</v>
      </c>
      <c r="E2" s="6"/>
      <c r="F2" s="6"/>
      <c r="G2" s="6"/>
      <c r="H2" s="6"/>
      <c r="I2" s="6"/>
      <c r="L2" s="6" t="s">
        <v>490</v>
      </c>
    </row>
    <row r="3" spans="1:63" s="1" customFormat="1" ht="15" x14ac:dyDescent="0.2">
      <c r="A3" s="94"/>
      <c r="E3" s="6"/>
      <c r="F3" s="6"/>
      <c r="G3" s="6"/>
      <c r="H3" s="6"/>
      <c r="I3" s="6"/>
      <c r="L3" s="6"/>
    </row>
    <row r="4" spans="1:63" s="1" customFormat="1" ht="15" x14ac:dyDescent="0.2">
      <c r="A4" s="760" t="s">
        <v>148</v>
      </c>
      <c r="B4" s="760"/>
      <c r="C4" s="760"/>
      <c r="D4" s="760"/>
      <c r="E4" s="760"/>
      <c r="F4" s="760"/>
      <c r="G4" s="760"/>
      <c r="H4" s="760"/>
      <c r="I4" s="760"/>
      <c r="J4" s="760"/>
      <c r="K4" s="760"/>
      <c r="L4" s="760"/>
    </row>
    <row r="5" spans="1:63" s="95" customFormat="1" ht="6.95" customHeight="1" thickBot="1" x14ac:dyDescent="0.25">
      <c r="A5" s="1"/>
      <c r="B5" s="1"/>
      <c r="C5" s="1"/>
      <c r="D5" s="1"/>
      <c r="E5" s="166"/>
      <c r="F5" s="6"/>
      <c r="G5" s="6"/>
      <c r="H5" s="6"/>
      <c r="I5" s="6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</row>
    <row r="6" spans="1:63" s="98" customFormat="1" ht="14.25" customHeight="1" x14ac:dyDescent="0.2">
      <c r="A6" s="96" t="s">
        <v>104</v>
      </c>
      <c r="B6" s="893" t="s">
        <v>105</v>
      </c>
      <c r="C6" s="894"/>
      <c r="D6" s="894"/>
      <c r="E6" s="194" t="s">
        <v>106</v>
      </c>
      <c r="F6" s="195" t="s">
        <v>107</v>
      </c>
      <c r="G6" s="118" t="s">
        <v>108</v>
      </c>
      <c r="H6" s="119" t="s">
        <v>109</v>
      </c>
      <c r="I6" s="120" t="s">
        <v>110</v>
      </c>
      <c r="J6" s="97" t="s">
        <v>135</v>
      </c>
      <c r="K6" s="121" t="s">
        <v>136</v>
      </c>
      <c r="L6" s="97" t="s">
        <v>137</v>
      </c>
    </row>
    <row r="7" spans="1:63" s="98" customFormat="1" ht="12.75" customHeight="1" x14ac:dyDescent="0.2">
      <c r="A7" s="895" t="s">
        <v>27</v>
      </c>
      <c r="B7" s="897" t="s">
        <v>138</v>
      </c>
      <c r="C7" s="898"/>
      <c r="D7" s="898"/>
      <c r="E7" s="901" t="s">
        <v>47</v>
      </c>
      <c r="F7" s="902" t="s">
        <v>26</v>
      </c>
      <c r="G7" s="903" t="s">
        <v>139</v>
      </c>
      <c r="H7" s="903"/>
      <c r="I7" s="904" t="s">
        <v>140</v>
      </c>
      <c r="J7" s="905"/>
      <c r="K7" s="904" t="s">
        <v>141</v>
      </c>
      <c r="L7" s="905"/>
    </row>
    <row r="8" spans="1:63" s="98" customFormat="1" x14ac:dyDescent="0.2">
      <c r="A8" s="895"/>
      <c r="B8" s="897"/>
      <c r="C8" s="898"/>
      <c r="D8" s="898"/>
      <c r="E8" s="901"/>
      <c r="F8" s="902"/>
      <c r="G8" s="111" t="s">
        <v>24</v>
      </c>
      <c r="H8" s="100" t="s">
        <v>25</v>
      </c>
      <c r="I8" s="99" t="s">
        <v>24</v>
      </c>
      <c r="J8" s="101" t="s">
        <v>25</v>
      </c>
      <c r="K8" s="99" t="s">
        <v>24</v>
      </c>
      <c r="L8" s="101" t="s">
        <v>25</v>
      </c>
    </row>
    <row r="9" spans="1:63" s="98" customFormat="1" x14ac:dyDescent="0.2">
      <c r="A9" s="896"/>
      <c r="B9" s="899"/>
      <c r="C9" s="900"/>
      <c r="D9" s="900"/>
      <c r="E9" s="901"/>
      <c r="F9" s="902"/>
      <c r="G9" s="112" t="s">
        <v>23</v>
      </c>
      <c r="H9" s="103" t="s">
        <v>23</v>
      </c>
      <c r="I9" s="102" t="s">
        <v>23</v>
      </c>
      <c r="J9" s="104" t="s">
        <v>23</v>
      </c>
      <c r="K9" s="102" t="s">
        <v>23</v>
      </c>
      <c r="L9" s="104" t="s">
        <v>23</v>
      </c>
    </row>
    <row r="10" spans="1:63" s="98" customFormat="1" ht="12" customHeight="1" x14ac:dyDescent="0.2">
      <c r="A10" s="105"/>
      <c r="B10" s="906"/>
      <c r="C10" s="907"/>
      <c r="D10" s="907"/>
      <c r="E10" s="212"/>
      <c r="F10" s="213"/>
      <c r="G10" s="113"/>
      <c r="H10" s="106" t="s">
        <v>142</v>
      </c>
      <c r="I10" s="107"/>
      <c r="J10" s="108" t="s">
        <v>143</v>
      </c>
      <c r="K10" s="107" t="s">
        <v>144</v>
      </c>
      <c r="L10" s="108" t="s">
        <v>145</v>
      </c>
    </row>
    <row r="11" spans="1:63" ht="14.25" customHeight="1" x14ac:dyDescent="0.2">
      <c r="A11" s="61">
        <v>1</v>
      </c>
      <c r="B11" s="37" t="s">
        <v>151</v>
      </c>
      <c r="C11" s="78"/>
      <c r="D11" s="78"/>
      <c r="E11" s="170"/>
      <c r="F11" s="171"/>
      <c r="G11" s="171"/>
      <c r="H11" s="171"/>
      <c r="I11" s="172"/>
      <c r="J11" s="172"/>
      <c r="K11" s="172"/>
      <c r="L11" s="173"/>
      <c r="N11" s="7" t="s">
        <v>151</v>
      </c>
    </row>
    <row r="12" spans="1:63" s="22" customFormat="1" ht="14.25" customHeight="1" x14ac:dyDescent="0.2">
      <c r="A12" s="55">
        <v>1.1000000000000001</v>
      </c>
      <c r="B12" s="22" t="s">
        <v>152</v>
      </c>
      <c r="C12" s="117"/>
      <c r="D12" s="117"/>
      <c r="E12" s="196">
        <v>186</v>
      </c>
      <c r="F12" s="197" t="s">
        <v>29</v>
      </c>
      <c r="G12" s="125"/>
      <c r="H12" s="89"/>
      <c r="I12" s="30"/>
      <c r="J12" s="51"/>
      <c r="K12" s="30"/>
      <c r="L12" s="51"/>
      <c r="Q12" s="22">
        <v>18</v>
      </c>
      <c r="R12" s="22" t="s">
        <v>43</v>
      </c>
    </row>
    <row r="13" spans="1:63" s="22" customFormat="1" ht="14.25" customHeight="1" x14ac:dyDescent="0.2">
      <c r="A13" s="55">
        <v>1.2</v>
      </c>
      <c r="B13" s="152" t="s">
        <v>153</v>
      </c>
      <c r="C13" s="117"/>
      <c r="D13" s="117"/>
      <c r="E13" s="196">
        <v>4</v>
      </c>
      <c r="F13" s="197" t="s">
        <v>29</v>
      </c>
      <c r="G13" s="125"/>
      <c r="H13" s="89"/>
      <c r="I13" s="30"/>
      <c r="J13" s="51"/>
      <c r="K13" s="30"/>
      <c r="L13" s="51"/>
      <c r="Q13" s="22">
        <v>68</v>
      </c>
      <c r="R13" s="22" t="s">
        <v>43</v>
      </c>
    </row>
    <row r="14" spans="1:63" s="22" customFormat="1" ht="14.25" customHeight="1" x14ac:dyDescent="0.2">
      <c r="A14" s="55">
        <v>1.3</v>
      </c>
      <c r="B14" s="152" t="s">
        <v>154</v>
      </c>
      <c r="C14" s="117"/>
      <c r="D14" s="117"/>
      <c r="E14" s="196">
        <v>45</v>
      </c>
      <c r="F14" s="197" t="s">
        <v>29</v>
      </c>
      <c r="G14" s="125"/>
      <c r="H14" s="116"/>
      <c r="I14" s="30"/>
      <c r="J14" s="51"/>
      <c r="K14" s="30"/>
      <c r="L14" s="51"/>
      <c r="Q14" s="22">
        <v>74</v>
      </c>
      <c r="R14" s="22" t="s">
        <v>43</v>
      </c>
    </row>
    <row r="15" spans="1:63" s="22" customFormat="1" ht="14.25" customHeight="1" x14ac:dyDescent="0.2">
      <c r="A15" s="55">
        <v>1.4</v>
      </c>
      <c r="B15" s="152" t="s">
        <v>155</v>
      </c>
      <c r="C15" s="117"/>
      <c r="D15" s="117"/>
      <c r="E15" s="196">
        <v>29</v>
      </c>
      <c r="F15" s="197" t="s">
        <v>29</v>
      </c>
      <c r="G15" s="125"/>
      <c r="H15" s="116"/>
      <c r="I15" s="30"/>
      <c r="J15" s="51"/>
      <c r="K15" s="30"/>
      <c r="L15" s="51"/>
      <c r="Q15" s="22">
        <v>10</v>
      </c>
      <c r="R15" s="22" t="s">
        <v>43</v>
      </c>
    </row>
    <row r="16" spans="1:63" s="22" customFormat="1" ht="14.25" customHeight="1" x14ac:dyDescent="0.2">
      <c r="A16" s="55">
        <v>1.5</v>
      </c>
      <c r="B16" s="152" t="s">
        <v>164</v>
      </c>
      <c r="C16" s="117"/>
      <c r="D16" s="117"/>
      <c r="E16" s="196">
        <v>1</v>
      </c>
      <c r="F16" s="197" t="s">
        <v>29</v>
      </c>
      <c r="G16" s="125"/>
      <c r="H16" s="89"/>
      <c r="I16" s="30"/>
      <c r="J16" s="51"/>
      <c r="K16" s="30"/>
      <c r="L16" s="51"/>
      <c r="N16" s="22" t="s">
        <v>156</v>
      </c>
      <c r="Q16" s="22">
        <v>2</v>
      </c>
      <c r="R16" s="22" t="s">
        <v>43</v>
      </c>
    </row>
    <row r="17" spans="1:18" s="22" customFormat="1" ht="14.25" customHeight="1" x14ac:dyDescent="0.2">
      <c r="A17" s="55">
        <v>1.6</v>
      </c>
      <c r="B17" s="152" t="s">
        <v>491</v>
      </c>
      <c r="C17" s="117"/>
      <c r="D17" s="117"/>
      <c r="E17" s="196">
        <v>2</v>
      </c>
      <c r="F17" s="197" t="s">
        <v>29</v>
      </c>
      <c r="G17" s="125"/>
      <c r="H17" s="89"/>
      <c r="I17" s="30"/>
      <c r="J17" s="51"/>
      <c r="K17" s="30"/>
      <c r="L17" s="51"/>
      <c r="N17" s="22" t="s">
        <v>157</v>
      </c>
      <c r="Q17" s="22">
        <v>2</v>
      </c>
      <c r="R17" s="22" t="s">
        <v>43</v>
      </c>
    </row>
    <row r="18" spans="1:18" s="22" customFormat="1" ht="14.25" customHeight="1" x14ac:dyDescent="0.2">
      <c r="A18" s="55">
        <v>1.7</v>
      </c>
      <c r="B18" s="152" t="s">
        <v>165</v>
      </c>
      <c r="C18" s="117"/>
      <c r="D18" s="117"/>
      <c r="E18" s="196">
        <v>1</v>
      </c>
      <c r="F18" s="197" t="s">
        <v>29</v>
      </c>
      <c r="G18" s="125"/>
      <c r="H18" s="89"/>
      <c r="I18" s="30"/>
      <c r="J18" s="51"/>
      <c r="K18" s="30"/>
      <c r="L18" s="51"/>
      <c r="N18" s="22" t="s">
        <v>158</v>
      </c>
      <c r="Q18" s="22">
        <v>2</v>
      </c>
      <c r="R18" s="22" t="s">
        <v>43</v>
      </c>
    </row>
    <row r="19" spans="1:18" s="22" customFormat="1" ht="14.25" customHeight="1" x14ac:dyDescent="0.2">
      <c r="A19" s="55">
        <v>1.8</v>
      </c>
      <c r="B19" s="152" t="s">
        <v>166</v>
      </c>
      <c r="C19" s="117"/>
      <c r="D19" s="117"/>
      <c r="E19" s="196">
        <v>2</v>
      </c>
      <c r="F19" s="197" t="s">
        <v>29</v>
      </c>
      <c r="G19" s="125"/>
      <c r="H19" s="89"/>
      <c r="I19" s="30"/>
      <c r="J19" s="51"/>
      <c r="K19" s="30"/>
      <c r="L19" s="51"/>
      <c r="N19" s="22" t="s">
        <v>158</v>
      </c>
      <c r="Q19" s="22">
        <v>2</v>
      </c>
      <c r="R19" s="22" t="s">
        <v>43</v>
      </c>
    </row>
    <row r="20" spans="1:18" s="22" customFormat="1" ht="14.25" customHeight="1" x14ac:dyDescent="0.2">
      <c r="A20" s="55">
        <v>1.9</v>
      </c>
      <c r="B20" s="152" t="s">
        <v>167</v>
      </c>
      <c r="C20" s="117"/>
      <c r="D20" s="117"/>
      <c r="E20" s="196">
        <v>2</v>
      </c>
      <c r="F20" s="197" t="s">
        <v>29</v>
      </c>
      <c r="G20" s="125"/>
      <c r="H20" s="89"/>
      <c r="I20" s="30"/>
      <c r="J20" s="51"/>
      <c r="K20" s="30"/>
      <c r="L20" s="51"/>
      <c r="N20" s="22" t="s">
        <v>158</v>
      </c>
      <c r="Q20" s="22">
        <v>2</v>
      </c>
      <c r="R20" s="22" t="s">
        <v>43</v>
      </c>
    </row>
    <row r="21" spans="1:18" s="22" customFormat="1" ht="14.25" customHeight="1" x14ac:dyDescent="0.2">
      <c r="A21" s="58">
        <v>1.1000000000000001</v>
      </c>
      <c r="B21" s="116" t="s">
        <v>84</v>
      </c>
      <c r="C21" s="117"/>
      <c r="D21" s="117"/>
      <c r="E21" s="196">
        <v>1</v>
      </c>
      <c r="F21" s="197" t="s">
        <v>30</v>
      </c>
      <c r="G21" s="125"/>
      <c r="H21" s="89"/>
      <c r="I21" s="30"/>
      <c r="J21" s="51"/>
      <c r="K21" s="30"/>
      <c r="L21" s="51"/>
      <c r="N21" s="22" t="s">
        <v>159</v>
      </c>
      <c r="Q21" s="22">
        <v>1</v>
      </c>
      <c r="R21" s="22" t="s">
        <v>43</v>
      </c>
    </row>
    <row r="22" spans="1:18" s="22" customFormat="1" ht="25.5" customHeight="1" x14ac:dyDescent="0.2">
      <c r="A22" s="58">
        <v>1.1100000000000001</v>
      </c>
      <c r="B22" s="886" t="s">
        <v>301</v>
      </c>
      <c r="C22" s="887"/>
      <c r="D22" s="887"/>
      <c r="E22" s="196">
        <v>1</v>
      </c>
      <c r="F22" s="197" t="s">
        <v>30</v>
      </c>
      <c r="G22" s="125"/>
      <c r="H22" s="89"/>
      <c r="I22" s="30"/>
      <c r="J22" s="51"/>
      <c r="K22" s="30"/>
      <c r="L22" s="51"/>
      <c r="N22" s="22" t="s">
        <v>160</v>
      </c>
      <c r="Q22" s="22">
        <v>1</v>
      </c>
      <c r="R22" s="22" t="s">
        <v>43</v>
      </c>
    </row>
    <row r="23" spans="1:18" s="22" customFormat="1" ht="14.25" customHeight="1" x14ac:dyDescent="0.2">
      <c r="A23" s="58">
        <v>1.1200000000000001</v>
      </c>
      <c r="B23" s="156" t="s">
        <v>186</v>
      </c>
      <c r="C23" s="117"/>
      <c r="D23" s="117"/>
      <c r="E23" s="196">
        <v>1</v>
      </c>
      <c r="F23" s="197" t="s">
        <v>30</v>
      </c>
      <c r="G23" s="125"/>
      <c r="H23" s="89"/>
      <c r="I23" s="30"/>
      <c r="J23" s="51"/>
      <c r="K23" s="30"/>
      <c r="L23" s="51"/>
      <c r="N23" s="22" t="s">
        <v>161</v>
      </c>
      <c r="Q23" s="22">
        <v>2</v>
      </c>
      <c r="R23" s="22" t="s">
        <v>43</v>
      </c>
    </row>
    <row r="24" spans="1:18" s="22" customFormat="1" ht="14.25" customHeight="1" x14ac:dyDescent="0.2">
      <c r="A24" s="58">
        <v>1.1299999999999999</v>
      </c>
      <c r="B24" s="156" t="s">
        <v>31</v>
      </c>
      <c r="C24" s="117"/>
      <c r="D24" s="117"/>
      <c r="E24" s="196">
        <v>1</v>
      </c>
      <c r="F24" s="197" t="s">
        <v>30</v>
      </c>
      <c r="G24" s="125"/>
      <c r="H24" s="89"/>
      <c r="I24" s="30"/>
      <c r="J24" s="51"/>
      <c r="K24" s="30"/>
      <c r="L24" s="51"/>
      <c r="N24" s="22" t="s">
        <v>162</v>
      </c>
      <c r="Q24" s="22">
        <v>1</v>
      </c>
      <c r="R24" s="22" t="s">
        <v>43</v>
      </c>
    </row>
    <row r="25" spans="1:18" s="23" customFormat="1" ht="14.25" customHeight="1" x14ac:dyDescent="0.2">
      <c r="A25" s="58">
        <v>1.1399999999999999</v>
      </c>
      <c r="B25" s="156" t="s">
        <v>279</v>
      </c>
      <c r="C25" s="157"/>
      <c r="D25" s="110"/>
      <c r="E25" s="196">
        <v>382</v>
      </c>
      <c r="F25" s="197" t="s">
        <v>29</v>
      </c>
      <c r="G25" s="126"/>
      <c r="H25" s="91"/>
      <c r="I25" s="42"/>
      <c r="J25" s="51"/>
      <c r="K25" s="42"/>
      <c r="L25" s="51"/>
    </row>
    <row r="26" spans="1:18" s="23" customFormat="1" ht="14.25" customHeight="1" thickBot="1" x14ac:dyDescent="0.25">
      <c r="A26" s="58">
        <v>1.1499999999999999</v>
      </c>
      <c r="B26" s="156" t="s">
        <v>179</v>
      </c>
      <c r="C26" s="157"/>
      <c r="D26" s="110"/>
      <c r="E26" s="196">
        <v>146</v>
      </c>
      <c r="F26" s="197" t="s">
        <v>29</v>
      </c>
      <c r="G26" s="126"/>
      <c r="H26" s="91"/>
      <c r="I26" s="42"/>
      <c r="J26" s="51"/>
      <c r="K26" s="42"/>
      <c r="L26" s="51"/>
    </row>
    <row r="27" spans="1:18" s="22" customFormat="1" ht="14.25" customHeight="1" thickBot="1" x14ac:dyDescent="0.25">
      <c r="A27" s="876" t="s">
        <v>147</v>
      </c>
      <c r="B27" s="877"/>
      <c r="C27" s="877"/>
      <c r="D27" s="877"/>
      <c r="E27" s="877"/>
      <c r="F27" s="877"/>
      <c r="G27" s="877"/>
      <c r="H27" s="877"/>
      <c r="I27" s="877"/>
      <c r="J27" s="877"/>
      <c r="K27" s="878"/>
      <c r="L27" s="50"/>
      <c r="M27" s="23"/>
      <c r="N27" s="22" t="s">
        <v>84</v>
      </c>
      <c r="Q27" s="22">
        <v>181</v>
      </c>
      <c r="R27" s="22" t="s">
        <v>163</v>
      </c>
    </row>
    <row r="28" spans="1:18" ht="14.25" customHeight="1" x14ac:dyDescent="0.2">
      <c r="A28" s="61">
        <v>2</v>
      </c>
      <c r="B28" s="37" t="s">
        <v>168</v>
      </c>
      <c r="C28" s="78"/>
      <c r="D28" s="78"/>
      <c r="E28" s="170"/>
      <c r="F28" s="171"/>
      <c r="G28" s="171"/>
      <c r="H28" s="171"/>
      <c r="I28" s="172"/>
      <c r="J28" s="172"/>
      <c r="K28" s="172"/>
      <c r="L28" s="173"/>
      <c r="N28" s="7" t="s">
        <v>150</v>
      </c>
      <c r="Q28" s="7">
        <v>1</v>
      </c>
      <c r="R28" s="7" t="s">
        <v>30</v>
      </c>
    </row>
    <row r="29" spans="1:18" s="22" customFormat="1" ht="14.25" customHeight="1" x14ac:dyDescent="0.2">
      <c r="A29" s="55">
        <v>2.1</v>
      </c>
      <c r="B29" s="116" t="s">
        <v>170</v>
      </c>
      <c r="C29" s="117"/>
      <c r="D29" s="117"/>
      <c r="E29" s="198">
        <v>2</v>
      </c>
      <c r="F29" s="197" t="s">
        <v>29</v>
      </c>
      <c r="G29" s="127"/>
      <c r="H29" s="89"/>
      <c r="I29" s="30"/>
      <c r="J29" s="51"/>
      <c r="K29" s="30"/>
      <c r="L29" s="51"/>
      <c r="N29" s="22" t="s">
        <v>149</v>
      </c>
      <c r="Q29" s="22">
        <v>1</v>
      </c>
      <c r="R29" s="22" t="s">
        <v>30</v>
      </c>
    </row>
    <row r="30" spans="1:18" s="22" customFormat="1" ht="14.25" customHeight="1" x14ac:dyDescent="0.2">
      <c r="A30" s="55">
        <v>2.2000000000000002</v>
      </c>
      <c r="B30" s="116" t="s">
        <v>171</v>
      </c>
      <c r="C30" s="117"/>
      <c r="D30" s="117"/>
      <c r="E30" s="198">
        <v>2</v>
      </c>
      <c r="F30" s="197" t="s">
        <v>29</v>
      </c>
      <c r="G30" s="127"/>
      <c r="H30" s="89"/>
      <c r="I30" s="30"/>
      <c r="J30" s="51"/>
      <c r="K30" s="30"/>
      <c r="L30" s="51"/>
      <c r="N30" s="22" t="s">
        <v>31</v>
      </c>
      <c r="Q30" s="22">
        <v>1</v>
      </c>
      <c r="R30" s="22" t="s">
        <v>30</v>
      </c>
    </row>
    <row r="31" spans="1:18" s="69" customFormat="1" ht="14.25" customHeight="1" x14ac:dyDescent="0.2">
      <c r="A31" s="55">
        <v>2.2999999999999998</v>
      </c>
      <c r="B31" s="116" t="s">
        <v>84</v>
      </c>
      <c r="C31" s="117"/>
      <c r="D31" s="117"/>
      <c r="E31" s="198">
        <v>1</v>
      </c>
      <c r="F31" s="21" t="s">
        <v>30</v>
      </c>
      <c r="G31" s="126"/>
      <c r="H31" s="91"/>
      <c r="I31" s="30"/>
      <c r="J31" s="51"/>
      <c r="K31" s="30"/>
      <c r="L31" s="51"/>
    </row>
    <row r="32" spans="1:18" s="23" customFormat="1" ht="14.25" customHeight="1" x14ac:dyDescent="0.2">
      <c r="A32" s="55">
        <v>2.4</v>
      </c>
      <c r="B32" s="38" t="s">
        <v>175</v>
      </c>
      <c r="C32" s="8"/>
      <c r="D32" s="8"/>
      <c r="E32" s="199">
        <v>1</v>
      </c>
      <c r="F32" s="21" t="s">
        <v>30</v>
      </c>
      <c r="G32" s="128"/>
      <c r="H32" s="90"/>
      <c r="I32" s="30"/>
      <c r="J32" s="51"/>
      <c r="K32" s="30"/>
      <c r="L32" s="51"/>
    </row>
    <row r="33" spans="1:13" s="23" customFormat="1" ht="14.25" customHeight="1" thickBot="1" x14ac:dyDescent="0.25">
      <c r="A33" s="55">
        <v>2.5</v>
      </c>
      <c r="B33" s="18" t="s">
        <v>31</v>
      </c>
      <c r="C33" s="8"/>
      <c r="D33" s="8"/>
      <c r="E33" s="199">
        <v>1</v>
      </c>
      <c r="F33" s="21" t="s">
        <v>30</v>
      </c>
      <c r="G33" s="128"/>
      <c r="H33" s="90"/>
      <c r="I33" s="68"/>
      <c r="J33" s="51"/>
      <c r="K33" s="68"/>
      <c r="L33" s="51"/>
    </row>
    <row r="34" spans="1:13" s="22" customFormat="1" ht="14.25" customHeight="1" thickBot="1" x14ac:dyDescent="0.25">
      <c r="A34" s="876" t="s">
        <v>147</v>
      </c>
      <c r="B34" s="877"/>
      <c r="C34" s="877"/>
      <c r="D34" s="877"/>
      <c r="E34" s="877"/>
      <c r="F34" s="877"/>
      <c r="G34" s="877"/>
      <c r="H34" s="877"/>
      <c r="I34" s="877"/>
      <c r="J34" s="877"/>
      <c r="K34" s="878"/>
      <c r="L34" s="50"/>
      <c r="M34" s="23"/>
    </row>
    <row r="35" spans="1:13" ht="14.25" customHeight="1" x14ac:dyDescent="0.2">
      <c r="A35" s="61">
        <v>3</v>
      </c>
      <c r="B35" s="37" t="s">
        <v>127</v>
      </c>
      <c r="C35" s="78"/>
      <c r="D35" s="78"/>
      <c r="E35" s="170"/>
      <c r="F35" s="171"/>
      <c r="G35" s="171"/>
      <c r="H35" s="171"/>
      <c r="I35" s="172"/>
      <c r="J35" s="172"/>
      <c r="K35" s="172"/>
      <c r="L35" s="173"/>
    </row>
    <row r="36" spans="1:13" s="67" customFormat="1" ht="14.25" customHeight="1" x14ac:dyDescent="0.2">
      <c r="A36" s="55">
        <v>3.1</v>
      </c>
      <c r="B36" s="17" t="s">
        <v>181</v>
      </c>
      <c r="C36" s="16"/>
      <c r="D36" s="16"/>
      <c r="E36" s="198">
        <v>3</v>
      </c>
      <c r="F36" s="197" t="s">
        <v>29</v>
      </c>
      <c r="G36" s="126"/>
      <c r="H36" s="138"/>
      <c r="I36" s="30"/>
      <c r="J36" s="51"/>
      <c r="K36" s="30"/>
      <c r="L36" s="51"/>
    </row>
    <row r="37" spans="1:13" s="67" customFormat="1" ht="14.25" customHeight="1" x14ac:dyDescent="0.2">
      <c r="A37" s="55">
        <v>3.2</v>
      </c>
      <c r="B37" s="17" t="s">
        <v>182</v>
      </c>
      <c r="C37" s="16"/>
      <c r="D37" s="16"/>
      <c r="E37" s="198">
        <v>2</v>
      </c>
      <c r="F37" s="197" t="s">
        <v>29</v>
      </c>
      <c r="G37" s="126"/>
      <c r="H37" s="138"/>
      <c r="I37" s="30"/>
      <c r="J37" s="51"/>
      <c r="K37" s="30"/>
      <c r="L37" s="51"/>
    </row>
    <row r="38" spans="1:13" s="22" customFormat="1" ht="14.25" customHeight="1" x14ac:dyDescent="0.2">
      <c r="A38" s="55">
        <v>3.3</v>
      </c>
      <c r="B38" s="116" t="s">
        <v>111</v>
      </c>
      <c r="C38" s="117"/>
      <c r="D38" s="117"/>
      <c r="E38" s="198">
        <v>1</v>
      </c>
      <c r="F38" s="21" t="s">
        <v>30</v>
      </c>
      <c r="G38" s="126"/>
      <c r="H38" s="138"/>
      <c r="I38" s="30"/>
      <c r="J38" s="51"/>
      <c r="K38" s="30"/>
      <c r="L38" s="51"/>
    </row>
    <row r="39" spans="1:13" s="67" customFormat="1" ht="14.25" customHeight="1" x14ac:dyDescent="0.2">
      <c r="A39" s="55">
        <v>3.4</v>
      </c>
      <c r="B39" s="114" t="s">
        <v>176</v>
      </c>
      <c r="C39" s="76"/>
      <c r="D39" s="76"/>
      <c r="E39" s="198">
        <v>1</v>
      </c>
      <c r="F39" s="21" t="s">
        <v>30</v>
      </c>
      <c r="G39" s="126"/>
      <c r="H39" s="138"/>
      <c r="I39" s="30"/>
      <c r="J39" s="51"/>
      <c r="K39" s="30"/>
      <c r="L39" s="51"/>
    </row>
    <row r="40" spans="1:13" s="67" customFormat="1" ht="14.25" customHeight="1" thickBot="1" x14ac:dyDescent="0.25">
      <c r="A40" s="55">
        <v>3.5</v>
      </c>
      <c r="B40" s="17" t="s">
        <v>4</v>
      </c>
      <c r="C40" s="16"/>
      <c r="D40" s="16"/>
      <c r="E40" s="198">
        <v>1</v>
      </c>
      <c r="F40" s="21" t="s">
        <v>30</v>
      </c>
      <c r="G40" s="126"/>
      <c r="H40" s="138"/>
      <c r="I40" s="30"/>
      <c r="J40" s="51"/>
      <c r="K40" s="30"/>
      <c r="L40" s="51"/>
    </row>
    <row r="41" spans="1:13" s="22" customFormat="1" ht="14.25" customHeight="1" thickBot="1" x14ac:dyDescent="0.25">
      <c r="A41" s="876" t="s">
        <v>147</v>
      </c>
      <c r="B41" s="877"/>
      <c r="C41" s="877"/>
      <c r="D41" s="877"/>
      <c r="E41" s="877"/>
      <c r="F41" s="877"/>
      <c r="G41" s="877"/>
      <c r="H41" s="877"/>
      <c r="I41" s="877"/>
      <c r="J41" s="877"/>
      <c r="K41" s="878"/>
      <c r="L41" s="50"/>
      <c r="M41" s="23"/>
    </row>
    <row r="42" spans="1:13" ht="14.25" customHeight="1" x14ac:dyDescent="0.2">
      <c r="A42" s="61">
        <v>4</v>
      </c>
      <c r="B42" s="37" t="s">
        <v>187</v>
      </c>
      <c r="C42" s="78"/>
      <c r="D42" s="78"/>
      <c r="E42" s="170"/>
      <c r="F42" s="171"/>
      <c r="G42" s="171"/>
      <c r="H42" s="171"/>
      <c r="I42" s="172"/>
      <c r="J42" s="172"/>
      <c r="K42" s="172"/>
      <c r="L42" s="173"/>
    </row>
    <row r="43" spans="1:13" s="67" customFormat="1" ht="14.25" customHeight="1" x14ac:dyDescent="0.2">
      <c r="A43" s="55">
        <v>4.0999999999999996</v>
      </c>
      <c r="B43" s="116" t="s">
        <v>188</v>
      </c>
      <c r="C43" s="16"/>
      <c r="D43" s="16"/>
      <c r="E43" s="198">
        <v>2</v>
      </c>
      <c r="F43" s="197" t="s">
        <v>29</v>
      </c>
      <c r="G43" s="126"/>
      <c r="H43" s="138"/>
      <c r="I43" s="30"/>
      <c r="J43" s="51"/>
      <c r="K43" s="30"/>
      <c r="L43" s="51"/>
    </row>
    <row r="44" spans="1:13" s="67" customFormat="1" ht="14.25" customHeight="1" x14ac:dyDescent="0.2">
      <c r="A44" s="55">
        <v>4.2</v>
      </c>
      <c r="B44" s="116" t="s">
        <v>189</v>
      </c>
      <c r="C44" s="16"/>
      <c r="D44" s="16"/>
      <c r="E44" s="198">
        <v>2</v>
      </c>
      <c r="F44" s="197" t="s">
        <v>29</v>
      </c>
      <c r="G44" s="126"/>
      <c r="H44" s="138"/>
      <c r="I44" s="30"/>
      <c r="J44" s="51"/>
      <c r="K44" s="30"/>
      <c r="L44" s="51"/>
    </row>
    <row r="45" spans="1:13" s="22" customFormat="1" ht="14.25" customHeight="1" x14ac:dyDescent="0.2">
      <c r="A45" s="55">
        <v>4.3</v>
      </c>
      <c r="B45" s="116" t="s">
        <v>111</v>
      </c>
      <c r="C45" s="117"/>
      <c r="D45" s="117"/>
      <c r="E45" s="198">
        <v>1</v>
      </c>
      <c r="F45" s="21" t="s">
        <v>30</v>
      </c>
      <c r="G45" s="126"/>
      <c r="H45" s="138"/>
      <c r="I45" s="30"/>
      <c r="J45" s="51"/>
      <c r="K45" s="30"/>
      <c r="L45" s="51"/>
    </row>
    <row r="46" spans="1:13" s="67" customFormat="1" ht="14.25" customHeight="1" x14ac:dyDescent="0.2">
      <c r="A46" s="55">
        <v>4.4000000000000004</v>
      </c>
      <c r="B46" s="114" t="s">
        <v>176</v>
      </c>
      <c r="C46" s="76"/>
      <c r="D46" s="76"/>
      <c r="E46" s="198">
        <v>1</v>
      </c>
      <c r="F46" s="21" t="s">
        <v>30</v>
      </c>
      <c r="G46" s="126"/>
      <c r="H46" s="138"/>
      <c r="I46" s="30"/>
      <c r="J46" s="51"/>
      <c r="K46" s="30"/>
      <c r="L46" s="51"/>
    </row>
    <row r="47" spans="1:13" s="67" customFormat="1" ht="14.25" customHeight="1" thickBot="1" x14ac:dyDescent="0.25">
      <c r="A47" s="55">
        <v>4.5</v>
      </c>
      <c r="B47" s="17" t="s">
        <v>4</v>
      </c>
      <c r="C47" s="16"/>
      <c r="D47" s="16"/>
      <c r="E47" s="198">
        <v>1</v>
      </c>
      <c r="F47" s="21" t="s">
        <v>30</v>
      </c>
      <c r="G47" s="126"/>
      <c r="H47" s="138"/>
      <c r="I47" s="30"/>
      <c r="J47" s="51"/>
      <c r="K47" s="30"/>
      <c r="L47" s="51"/>
    </row>
    <row r="48" spans="1:13" s="22" customFormat="1" ht="14.25" customHeight="1" thickBot="1" x14ac:dyDescent="0.25">
      <c r="A48" s="876" t="s">
        <v>147</v>
      </c>
      <c r="B48" s="877"/>
      <c r="C48" s="877"/>
      <c r="D48" s="877"/>
      <c r="E48" s="877"/>
      <c r="F48" s="877"/>
      <c r="G48" s="877"/>
      <c r="H48" s="877"/>
      <c r="I48" s="877"/>
      <c r="J48" s="877"/>
      <c r="K48" s="878"/>
      <c r="L48" s="50"/>
      <c r="M48" s="23"/>
    </row>
    <row r="49" spans="1:13" ht="14.25" customHeight="1" x14ac:dyDescent="0.2">
      <c r="A49" s="61">
        <v>5</v>
      </c>
      <c r="B49" s="37" t="s">
        <v>169</v>
      </c>
      <c r="C49" s="78"/>
      <c r="D49" s="78"/>
      <c r="E49" s="170"/>
      <c r="F49" s="171"/>
      <c r="G49" s="171"/>
      <c r="H49" s="171"/>
      <c r="I49" s="172"/>
      <c r="J49" s="172"/>
      <c r="K49" s="172"/>
      <c r="L49" s="173"/>
    </row>
    <row r="50" spans="1:13" s="22" customFormat="1" ht="14.25" customHeight="1" x14ac:dyDescent="0.2">
      <c r="A50" s="56">
        <v>5.0999999999999996</v>
      </c>
      <c r="B50" s="116" t="s">
        <v>172</v>
      </c>
      <c r="C50" s="117"/>
      <c r="D50" s="117"/>
      <c r="E50" s="196">
        <v>50</v>
      </c>
      <c r="F50" s="197" t="s">
        <v>29</v>
      </c>
      <c r="G50" s="126"/>
      <c r="H50" s="89"/>
      <c r="I50" s="30"/>
      <c r="J50" s="51"/>
      <c r="K50" s="30"/>
      <c r="L50" s="51"/>
    </row>
    <row r="51" spans="1:13" s="22" customFormat="1" ht="14.25" customHeight="1" x14ac:dyDescent="0.2">
      <c r="A51" s="56">
        <v>5.2</v>
      </c>
      <c r="B51" s="116" t="s">
        <v>173</v>
      </c>
      <c r="C51" s="117"/>
      <c r="D51" s="117"/>
      <c r="E51" s="196">
        <v>8</v>
      </c>
      <c r="F51" s="197" t="s">
        <v>29</v>
      </c>
      <c r="G51" s="125"/>
      <c r="H51" s="89"/>
      <c r="I51" s="30"/>
      <c r="J51" s="51"/>
      <c r="K51" s="30"/>
      <c r="L51" s="51"/>
    </row>
    <row r="52" spans="1:13" s="22" customFormat="1" ht="14.25" customHeight="1" x14ac:dyDescent="0.2">
      <c r="A52" s="56">
        <v>5.3</v>
      </c>
      <c r="B52" s="116" t="s">
        <v>174</v>
      </c>
      <c r="C52" s="117"/>
      <c r="D52" s="117"/>
      <c r="E52" s="196">
        <v>2</v>
      </c>
      <c r="F52" s="197" t="s">
        <v>29</v>
      </c>
      <c r="G52" s="126"/>
      <c r="H52" s="89"/>
      <c r="I52" s="30"/>
      <c r="J52" s="51"/>
      <c r="K52" s="30"/>
      <c r="L52" s="51"/>
    </row>
    <row r="53" spans="1:13" s="22" customFormat="1" ht="14.25" customHeight="1" x14ac:dyDescent="0.2">
      <c r="A53" s="56">
        <v>5.4</v>
      </c>
      <c r="B53" s="116" t="s">
        <v>84</v>
      </c>
      <c r="C53" s="117"/>
      <c r="D53" s="117"/>
      <c r="E53" s="198">
        <v>1</v>
      </c>
      <c r="F53" s="200" t="s">
        <v>30</v>
      </c>
      <c r="G53" s="126"/>
      <c r="H53" s="89"/>
      <c r="I53" s="30"/>
      <c r="J53" s="51"/>
      <c r="K53" s="30"/>
      <c r="L53" s="51"/>
    </row>
    <row r="54" spans="1:13" s="22" customFormat="1" ht="25.5" customHeight="1" x14ac:dyDescent="0.2">
      <c r="A54" s="56">
        <v>5.5</v>
      </c>
      <c r="B54" s="886" t="s">
        <v>302</v>
      </c>
      <c r="C54" s="887"/>
      <c r="D54" s="887"/>
      <c r="E54" s="196">
        <v>1</v>
      </c>
      <c r="F54" s="197" t="s">
        <v>30</v>
      </c>
      <c r="G54" s="125"/>
      <c r="H54" s="89"/>
      <c r="I54" s="30"/>
      <c r="J54" s="51"/>
      <c r="K54" s="30"/>
      <c r="L54" s="51"/>
    </row>
    <row r="55" spans="1:13" s="23" customFormat="1" ht="14.25" customHeight="1" x14ac:dyDescent="0.2">
      <c r="A55" s="56">
        <v>5.6</v>
      </c>
      <c r="B55" s="18" t="s">
        <v>4</v>
      </c>
      <c r="C55" s="8"/>
      <c r="D55" s="8"/>
      <c r="E55" s="196">
        <v>1</v>
      </c>
      <c r="F55" s="21" t="s">
        <v>30</v>
      </c>
      <c r="G55" s="126"/>
      <c r="H55" s="90"/>
      <c r="I55" s="29"/>
      <c r="J55" s="51"/>
      <c r="K55" s="29"/>
      <c r="L55" s="51"/>
    </row>
    <row r="56" spans="1:13" s="23" customFormat="1" ht="14.25" customHeight="1" x14ac:dyDescent="0.2">
      <c r="A56" s="56">
        <v>5.7</v>
      </c>
      <c r="B56" s="156" t="s">
        <v>177</v>
      </c>
      <c r="C56" s="157"/>
      <c r="D56" s="110"/>
      <c r="E56" s="196">
        <v>116</v>
      </c>
      <c r="F56" s="197" t="s">
        <v>29</v>
      </c>
      <c r="G56" s="126"/>
      <c r="H56" s="90"/>
      <c r="I56" s="29"/>
      <c r="J56" s="51"/>
      <c r="K56" s="29"/>
      <c r="L56" s="51"/>
    </row>
    <row r="57" spans="1:13" s="23" customFormat="1" ht="14.25" customHeight="1" x14ac:dyDescent="0.2">
      <c r="A57" s="56">
        <v>5.8</v>
      </c>
      <c r="B57" s="156" t="s">
        <v>178</v>
      </c>
      <c r="C57" s="157"/>
      <c r="D57" s="110"/>
      <c r="E57" s="196">
        <v>4</v>
      </c>
      <c r="F57" s="197" t="s">
        <v>29</v>
      </c>
      <c r="G57" s="126"/>
      <c r="H57" s="90"/>
      <c r="I57" s="29"/>
      <c r="J57" s="51"/>
      <c r="K57" s="29"/>
      <c r="L57" s="51"/>
    </row>
    <row r="58" spans="1:13" s="23" customFormat="1" ht="14.25" customHeight="1" x14ac:dyDescent="0.2">
      <c r="A58" s="56">
        <v>5.9</v>
      </c>
      <c r="B58" s="156" t="s">
        <v>279</v>
      </c>
      <c r="C58" s="157"/>
      <c r="D58" s="110"/>
      <c r="E58" s="196">
        <v>84</v>
      </c>
      <c r="F58" s="197" t="s">
        <v>29</v>
      </c>
      <c r="G58" s="126"/>
      <c r="H58" s="91"/>
      <c r="I58" s="42"/>
      <c r="J58" s="51"/>
      <c r="K58" s="42"/>
      <c r="L58" s="51"/>
    </row>
    <row r="59" spans="1:13" s="23" customFormat="1" ht="14.25" customHeight="1" thickBot="1" x14ac:dyDescent="0.25">
      <c r="A59" s="167">
        <v>5.0999999999999996</v>
      </c>
      <c r="B59" s="156" t="s">
        <v>179</v>
      </c>
      <c r="C59" s="157"/>
      <c r="D59" s="110"/>
      <c r="E59" s="196">
        <v>36</v>
      </c>
      <c r="F59" s="197" t="s">
        <v>29</v>
      </c>
      <c r="G59" s="126"/>
      <c r="H59" s="91"/>
      <c r="I59" s="42"/>
      <c r="J59" s="51"/>
      <c r="K59" s="42"/>
      <c r="L59" s="51"/>
    </row>
    <row r="60" spans="1:13" s="22" customFormat="1" ht="14.25" customHeight="1" thickBot="1" x14ac:dyDescent="0.25">
      <c r="A60" s="876" t="s">
        <v>147</v>
      </c>
      <c r="B60" s="877"/>
      <c r="C60" s="877"/>
      <c r="D60" s="877"/>
      <c r="E60" s="877"/>
      <c r="F60" s="877"/>
      <c r="G60" s="877"/>
      <c r="H60" s="877"/>
      <c r="I60" s="877"/>
      <c r="J60" s="877"/>
      <c r="K60" s="878"/>
      <c r="L60" s="50"/>
      <c r="M60" s="23"/>
    </row>
    <row r="61" spans="1:13" ht="14.25" customHeight="1" x14ac:dyDescent="0.2">
      <c r="A61" s="61">
        <v>6</v>
      </c>
      <c r="B61" s="37" t="s">
        <v>185</v>
      </c>
      <c r="C61" s="78"/>
      <c r="D61" s="78"/>
      <c r="E61" s="170"/>
      <c r="F61" s="171"/>
      <c r="G61" s="171"/>
      <c r="H61" s="171"/>
      <c r="I61" s="172"/>
      <c r="J61" s="172"/>
      <c r="K61" s="172"/>
      <c r="L61" s="173"/>
    </row>
    <row r="62" spans="1:13" s="4" customFormat="1" ht="14.25" customHeight="1" x14ac:dyDescent="0.2">
      <c r="A62" s="55">
        <v>6.1</v>
      </c>
      <c r="B62" s="122" t="s">
        <v>180</v>
      </c>
      <c r="C62" s="123"/>
      <c r="D62" s="123"/>
      <c r="E62" s="201">
        <v>2</v>
      </c>
      <c r="F62" s="84" t="s">
        <v>29</v>
      </c>
      <c r="G62" s="161"/>
      <c r="H62" s="158"/>
      <c r="I62" s="45"/>
      <c r="J62" s="51"/>
      <c r="K62" s="45"/>
      <c r="L62" s="51"/>
    </row>
    <row r="63" spans="1:13" s="4" customFormat="1" ht="14.25" customHeight="1" x14ac:dyDescent="0.2">
      <c r="A63" s="55">
        <v>6.2</v>
      </c>
      <c r="B63" s="122" t="s">
        <v>492</v>
      </c>
      <c r="C63" s="123"/>
      <c r="D63" s="123"/>
      <c r="E63" s="201">
        <v>2</v>
      </c>
      <c r="F63" s="84" t="s">
        <v>29</v>
      </c>
      <c r="G63" s="161"/>
      <c r="H63" s="158"/>
      <c r="I63" s="45"/>
      <c r="J63" s="51"/>
      <c r="K63" s="45"/>
      <c r="L63" s="51"/>
    </row>
    <row r="64" spans="1:13" s="23" customFormat="1" ht="14.25" customHeight="1" x14ac:dyDescent="0.2">
      <c r="A64" s="55">
        <v>6.3</v>
      </c>
      <c r="B64" s="122" t="s">
        <v>176</v>
      </c>
      <c r="C64" s="123"/>
      <c r="D64" s="123"/>
      <c r="E64" s="201">
        <v>1</v>
      </c>
      <c r="F64" s="84" t="s">
        <v>30</v>
      </c>
      <c r="G64" s="162"/>
      <c r="H64" s="159"/>
      <c r="I64" s="45"/>
      <c r="J64" s="51"/>
      <c r="K64" s="45"/>
      <c r="L64" s="51"/>
    </row>
    <row r="65" spans="1:12" s="22" customFormat="1" ht="14.25" customHeight="1" x14ac:dyDescent="0.2">
      <c r="A65" s="55">
        <v>6.4</v>
      </c>
      <c r="B65" s="116" t="s">
        <v>84</v>
      </c>
      <c r="C65" s="117"/>
      <c r="D65" s="117"/>
      <c r="E65" s="198">
        <v>1</v>
      </c>
      <c r="F65" s="200" t="s">
        <v>30</v>
      </c>
      <c r="G65" s="126"/>
      <c r="H65" s="89"/>
      <c r="I65" s="30"/>
      <c r="J65" s="51"/>
      <c r="K65" s="30"/>
      <c r="L65" s="51"/>
    </row>
    <row r="66" spans="1:12" s="23" customFormat="1" ht="14.25" customHeight="1" thickBot="1" x14ac:dyDescent="0.25">
      <c r="A66" s="55">
        <v>6.5</v>
      </c>
      <c r="B66" s="122" t="s">
        <v>31</v>
      </c>
      <c r="C66" s="123"/>
      <c r="D66" s="123"/>
      <c r="E66" s="202">
        <v>1</v>
      </c>
      <c r="F66" s="21" t="s">
        <v>30</v>
      </c>
      <c r="G66" s="163"/>
      <c r="H66" s="160"/>
      <c r="I66" s="45"/>
      <c r="J66" s="88"/>
      <c r="K66" s="45"/>
      <c r="L66" s="88"/>
    </row>
    <row r="67" spans="1:12" s="23" customFormat="1" ht="14.25" customHeight="1" thickBot="1" x14ac:dyDescent="0.25">
      <c r="A67" s="876" t="s">
        <v>147</v>
      </c>
      <c r="B67" s="877"/>
      <c r="C67" s="877"/>
      <c r="D67" s="877"/>
      <c r="E67" s="877"/>
      <c r="F67" s="877"/>
      <c r="G67" s="877"/>
      <c r="H67" s="877"/>
      <c r="I67" s="877"/>
      <c r="J67" s="877"/>
      <c r="K67" s="878"/>
      <c r="L67" s="87"/>
    </row>
    <row r="68" spans="1:12" ht="14.25" customHeight="1" x14ac:dyDescent="0.2">
      <c r="A68" s="61">
        <v>7</v>
      </c>
      <c r="B68" s="37" t="s">
        <v>197</v>
      </c>
      <c r="C68" s="78"/>
      <c r="D68" s="78"/>
      <c r="E68" s="170"/>
      <c r="F68" s="171"/>
      <c r="G68" s="171"/>
      <c r="H68" s="171"/>
      <c r="I68" s="172"/>
      <c r="J68" s="172"/>
      <c r="K68" s="172"/>
      <c r="L68" s="173"/>
    </row>
    <row r="69" spans="1:12" s="23" customFormat="1" ht="14.25" customHeight="1" x14ac:dyDescent="0.2">
      <c r="A69" s="55">
        <v>7.1</v>
      </c>
      <c r="B69" s="122" t="s">
        <v>195</v>
      </c>
      <c r="C69" s="123"/>
      <c r="D69" s="123"/>
      <c r="E69" s="202">
        <v>2</v>
      </c>
      <c r="F69" s="21" t="s">
        <v>29</v>
      </c>
      <c r="G69" s="155"/>
      <c r="H69" s="90"/>
      <c r="I69" s="46"/>
      <c r="J69" s="51"/>
      <c r="K69" s="46"/>
      <c r="L69" s="51"/>
    </row>
    <row r="70" spans="1:12" s="23" customFormat="1" ht="14.25" customHeight="1" x14ac:dyDescent="0.2">
      <c r="A70" s="55">
        <v>7.2</v>
      </c>
      <c r="B70" s="122" t="s">
        <v>196</v>
      </c>
      <c r="C70" s="123"/>
      <c r="D70" s="123"/>
      <c r="E70" s="202">
        <v>4</v>
      </c>
      <c r="F70" s="21" t="s">
        <v>29</v>
      </c>
      <c r="G70" s="155"/>
      <c r="H70" s="90"/>
      <c r="I70" s="46"/>
      <c r="J70" s="51"/>
      <c r="K70" s="46"/>
      <c r="L70" s="51"/>
    </row>
    <row r="71" spans="1:12" s="23" customFormat="1" ht="14.25" customHeight="1" x14ac:dyDescent="0.2">
      <c r="A71" s="55">
        <v>7.3</v>
      </c>
      <c r="B71" s="122" t="s">
        <v>183</v>
      </c>
      <c r="C71" s="123"/>
      <c r="D71" s="123"/>
      <c r="E71" s="202">
        <v>2</v>
      </c>
      <c r="F71" s="21" t="s">
        <v>29</v>
      </c>
      <c r="G71" s="155"/>
      <c r="H71" s="90"/>
      <c r="I71" s="46"/>
      <c r="J71" s="51"/>
      <c r="K71" s="46"/>
      <c r="L71" s="51"/>
    </row>
    <row r="72" spans="1:12" s="23" customFormat="1" ht="14.25" customHeight="1" x14ac:dyDescent="0.2">
      <c r="A72" s="55">
        <v>7.4</v>
      </c>
      <c r="B72" s="122" t="s">
        <v>184</v>
      </c>
      <c r="C72" s="123"/>
      <c r="D72" s="123"/>
      <c r="E72" s="202">
        <v>2</v>
      </c>
      <c r="F72" s="21" t="s">
        <v>29</v>
      </c>
      <c r="G72" s="155"/>
      <c r="H72" s="90"/>
      <c r="I72" s="46"/>
      <c r="J72" s="51"/>
      <c r="K72" s="46"/>
      <c r="L72" s="51"/>
    </row>
    <row r="73" spans="1:12" s="23" customFormat="1" ht="14.25" customHeight="1" x14ac:dyDescent="0.2">
      <c r="A73" s="55">
        <v>7.5</v>
      </c>
      <c r="B73" s="122" t="s">
        <v>190</v>
      </c>
      <c r="C73" s="123"/>
      <c r="D73" s="123"/>
      <c r="E73" s="202">
        <v>46</v>
      </c>
      <c r="F73" s="21" t="s">
        <v>29</v>
      </c>
      <c r="G73" s="155"/>
      <c r="H73" s="90"/>
      <c r="I73" s="46"/>
      <c r="J73" s="51"/>
      <c r="K73" s="46"/>
      <c r="L73" s="51"/>
    </row>
    <row r="74" spans="1:12" s="23" customFormat="1" ht="14.25" customHeight="1" x14ac:dyDescent="0.2">
      <c r="A74" s="55">
        <v>7.6</v>
      </c>
      <c r="B74" s="122" t="s">
        <v>191</v>
      </c>
      <c r="C74" s="123"/>
      <c r="D74" s="123"/>
      <c r="E74" s="202">
        <v>12</v>
      </c>
      <c r="F74" s="21" t="s">
        <v>29</v>
      </c>
      <c r="G74" s="155"/>
      <c r="H74" s="90"/>
      <c r="I74" s="46"/>
      <c r="J74" s="51"/>
      <c r="K74" s="46"/>
      <c r="L74" s="51"/>
    </row>
    <row r="75" spans="1:12" s="23" customFormat="1" ht="14.25" customHeight="1" x14ac:dyDescent="0.2">
      <c r="A75" s="55">
        <v>7.7</v>
      </c>
      <c r="B75" s="122" t="s">
        <v>192</v>
      </c>
      <c r="C75" s="123"/>
      <c r="D75" s="123"/>
      <c r="E75" s="202">
        <v>2</v>
      </c>
      <c r="F75" s="21" t="s">
        <v>29</v>
      </c>
      <c r="G75" s="155"/>
      <c r="H75" s="90"/>
      <c r="I75" s="46"/>
      <c r="J75" s="51"/>
      <c r="K75" s="46"/>
      <c r="L75" s="51"/>
    </row>
    <row r="76" spans="1:12" s="23" customFormat="1" ht="14.25" customHeight="1" x14ac:dyDescent="0.2">
      <c r="A76" s="55">
        <v>7.8</v>
      </c>
      <c r="B76" s="122" t="s">
        <v>193</v>
      </c>
      <c r="C76" s="123"/>
      <c r="D76" s="123"/>
      <c r="E76" s="202">
        <v>1</v>
      </c>
      <c r="F76" s="21" t="s">
        <v>83</v>
      </c>
      <c r="G76" s="155"/>
      <c r="H76" s="90"/>
      <c r="I76" s="46"/>
      <c r="J76" s="51"/>
      <c r="K76" s="46"/>
      <c r="L76" s="51"/>
    </row>
    <row r="77" spans="1:12" s="23" customFormat="1" ht="14.25" customHeight="1" x14ac:dyDescent="0.2">
      <c r="A77" s="55">
        <v>7.9</v>
      </c>
      <c r="B77" s="122" t="s">
        <v>194</v>
      </c>
      <c r="C77" s="123"/>
      <c r="D77" s="123"/>
      <c r="E77" s="202">
        <v>2</v>
      </c>
      <c r="F77" s="21" t="s">
        <v>29</v>
      </c>
      <c r="G77" s="155"/>
      <c r="H77" s="90"/>
      <c r="I77" s="46"/>
      <c r="J77" s="51"/>
      <c r="K77" s="46"/>
      <c r="L77" s="51"/>
    </row>
    <row r="78" spans="1:12" s="23" customFormat="1" ht="14.25" customHeight="1" x14ac:dyDescent="0.2">
      <c r="A78" s="58">
        <v>7.1</v>
      </c>
      <c r="B78" s="122" t="s">
        <v>84</v>
      </c>
      <c r="C78" s="123"/>
      <c r="D78" s="123"/>
      <c r="E78" s="202">
        <v>1</v>
      </c>
      <c r="F78" s="21" t="s">
        <v>30</v>
      </c>
      <c r="G78" s="155"/>
      <c r="H78" s="90"/>
      <c r="I78" s="71"/>
      <c r="J78" s="51"/>
      <c r="K78" s="71"/>
      <c r="L78" s="51"/>
    </row>
    <row r="79" spans="1:12" s="23" customFormat="1" ht="14.25" customHeight="1" x14ac:dyDescent="0.2">
      <c r="A79" s="58">
        <v>7.11</v>
      </c>
      <c r="B79" s="148" t="s">
        <v>176</v>
      </c>
      <c r="C79" s="8"/>
      <c r="D79" s="8"/>
      <c r="E79" s="201">
        <v>1</v>
      </c>
      <c r="F79" s="21" t="s">
        <v>30</v>
      </c>
      <c r="G79" s="133"/>
      <c r="H79" s="90"/>
      <c r="I79" s="71"/>
      <c r="J79" s="51"/>
      <c r="K79" s="71"/>
      <c r="L79" s="51"/>
    </row>
    <row r="80" spans="1:12" s="23" customFormat="1" ht="14.25" customHeight="1" thickBot="1" x14ac:dyDescent="0.25">
      <c r="A80" s="58">
        <v>7.12</v>
      </c>
      <c r="B80" s="18" t="s">
        <v>31</v>
      </c>
      <c r="C80" s="8"/>
      <c r="D80" s="8"/>
      <c r="E80" s="201">
        <v>1</v>
      </c>
      <c r="F80" s="21" t="s">
        <v>30</v>
      </c>
      <c r="G80" s="133"/>
      <c r="H80" s="90"/>
      <c r="I80" s="46"/>
      <c r="J80" s="51"/>
      <c r="K80" s="46"/>
      <c r="L80" s="51"/>
    </row>
    <row r="81" spans="1:13" s="22" customFormat="1" ht="14.25" customHeight="1" thickBot="1" x14ac:dyDescent="0.25">
      <c r="A81" s="876" t="s">
        <v>147</v>
      </c>
      <c r="B81" s="877"/>
      <c r="C81" s="877"/>
      <c r="D81" s="877"/>
      <c r="E81" s="877"/>
      <c r="F81" s="877"/>
      <c r="G81" s="877"/>
      <c r="H81" s="877"/>
      <c r="I81" s="877"/>
      <c r="J81" s="877"/>
      <c r="K81" s="878"/>
      <c r="L81" s="50"/>
      <c r="M81" s="23"/>
    </row>
    <row r="82" spans="1:13" ht="14.25" customHeight="1" x14ac:dyDescent="0.2">
      <c r="A82" s="61">
        <v>8</v>
      </c>
      <c r="B82" s="37" t="s">
        <v>48</v>
      </c>
      <c r="C82" s="78"/>
      <c r="D82" s="78"/>
      <c r="E82" s="170"/>
      <c r="F82" s="171"/>
      <c r="G82" s="171"/>
      <c r="H82" s="171"/>
      <c r="I82" s="172"/>
      <c r="J82" s="172"/>
      <c r="K82" s="172"/>
      <c r="L82" s="173"/>
    </row>
    <row r="83" spans="1:13" s="23" customFormat="1" ht="14.25" customHeight="1" x14ac:dyDescent="0.2">
      <c r="A83" s="55">
        <v>8.1</v>
      </c>
      <c r="B83" s="3" t="s">
        <v>115</v>
      </c>
      <c r="C83" s="16"/>
      <c r="D83" s="16"/>
      <c r="E83" s="203">
        <f>32+14</f>
        <v>46</v>
      </c>
      <c r="F83" s="21" t="s">
        <v>29</v>
      </c>
      <c r="G83" s="129"/>
      <c r="H83" s="90"/>
      <c r="I83" s="30"/>
      <c r="J83" s="51"/>
      <c r="K83" s="30"/>
      <c r="L83" s="51"/>
    </row>
    <row r="84" spans="1:13" s="23" customFormat="1" ht="14.25" customHeight="1" x14ac:dyDescent="0.2">
      <c r="A84" s="55">
        <v>8.1999999999999993</v>
      </c>
      <c r="B84" s="3" t="s">
        <v>116</v>
      </c>
      <c r="C84" s="16"/>
      <c r="D84" s="16"/>
      <c r="E84" s="203">
        <f>32+14</f>
        <v>46</v>
      </c>
      <c r="F84" s="21" t="s">
        <v>29</v>
      </c>
      <c r="G84" s="131"/>
      <c r="H84" s="90"/>
      <c r="I84" s="30"/>
      <c r="J84" s="51"/>
      <c r="K84" s="30"/>
      <c r="L84" s="51"/>
    </row>
    <row r="85" spans="1:13" s="23" customFormat="1" ht="14.25" customHeight="1" x14ac:dyDescent="0.2">
      <c r="A85" s="55">
        <v>8.3000000000000007</v>
      </c>
      <c r="B85" s="3" t="s">
        <v>117</v>
      </c>
      <c r="C85" s="16"/>
      <c r="D85" s="16"/>
      <c r="E85" s="203">
        <f>36+12</f>
        <v>48</v>
      </c>
      <c r="F85" s="21" t="s">
        <v>29</v>
      </c>
      <c r="G85" s="129"/>
      <c r="H85" s="90"/>
      <c r="I85" s="30"/>
      <c r="J85" s="51"/>
      <c r="K85" s="30"/>
      <c r="L85" s="51"/>
    </row>
    <row r="86" spans="1:13" s="23" customFormat="1" ht="14.25" customHeight="1" thickBot="1" x14ac:dyDescent="0.25">
      <c r="A86" s="55">
        <v>8.4</v>
      </c>
      <c r="B86" s="3" t="s">
        <v>282</v>
      </c>
      <c r="C86" s="16"/>
      <c r="D86" s="16"/>
      <c r="E86" s="203">
        <v>59</v>
      </c>
      <c r="F86" s="21" t="s">
        <v>29</v>
      </c>
      <c r="G86" s="129"/>
      <c r="H86" s="90"/>
      <c r="I86" s="30"/>
      <c r="J86" s="51"/>
      <c r="K86" s="30"/>
      <c r="L86" s="51"/>
    </row>
    <row r="87" spans="1:13" s="22" customFormat="1" ht="14.25" customHeight="1" thickBot="1" x14ac:dyDescent="0.25">
      <c r="A87" s="876" t="s">
        <v>147</v>
      </c>
      <c r="B87" s="877"/>
      <c r="C87" s="877"/>
      <c r="D87" s="877"/>
      <c r="E87" s="877"/>
      <c r="F87" s="877"/>
      <c r="G87" s="877"/>
      <c r="H87" s="877"/>
      <c r="I87" s="877"/>
      <c r="J87" s="877"/>
      <c r="K87" s="878"/>
      <c r="L87" s="50"/>
      <c r="M87" s="23"/>
    </row>
    <row r="88" spans="1:13" ht="14.25" customHeight="1" x14ac:dyDescent="0.2">
      <c r="A88" s="61">
        <f>A82+1</f>
        <v>9</v>
      </c>
      <c r="B88" s="37" t="s">
        <v>482</v>
      </c>
      <c r="C88" s="78"/>
      <c r="D88" s="78"/>
      <c r="E88" s="170"/>
      <c r="F88" s="171"/>
      <c r="G88" s="171"/>
      <c r="H88" s="171"/>
      <c r="I88" s="172"/>
      <c r="J88" s="172"/>
      <c r="K88" s="172"/>
      <c r="L88" s="173"/>
    </row>
    <row r="89" spans="1:13" s="24" customFormat="1" ht="14.25" customHeight="1" x14ac:dyDescent="0.2">
      <c r="A89" s="59">
        <f>A88+0.1</f>
        <v>9.1</v>
      </c>
      <c r="B89" s="40" t="s">
        <v>118</v>
      </c>
      <c r="C89" s="8"/>
      <c r="D89" s="26"/>
      <c r="E89" s="174"/>
      <c r="F89" s="27"/>
      <c r="G89" s="27"/>
      <c r="H89" s="27"/>
      <c r="I89" s="47"/>
      <c r="J89" s="47"/>
      <c r="K89" s="47"/>
      <c r="L89" s="53"/>
    </row>
    <row r="90" spans="1:13" s="23" customFormat="1" ht="14.25" customHeight="1" x14ac:dyDescent="0.2">
      <c r="A90" s="55" t="s">
        <v>63</v>
      </c>
      <c r="B90" s="17" t="s">
        <v>40</v>
      </c>
      <c r="C90" s="16"/>
      <c r="D90" s="109"/>
      <c r="E90" s="204">
        <v>30</v>
      </c>
      <c r="F90" s="21" t="s">
        <v>22</v>
      </c>
      <c r="G90" s="130"/>
      <c r="H90" s="90"/>
      <c r="I90" s="30"/>
      <c r="J90" s="51"/>
      <c r="K90" s="30"/>
      <c r="L90" s="51"/>
    </row>
    <row r="91" spans="1:13" s="23" customFormat="1" ht="14.25" customHeight="1" x14ac:dyDescent="0.2">
      <c r="A91" s="55" t="s">
        <v>64</v>
      </c>
      <c r="B91" s="17" t="s">
        <v>39</v>
      </c>
      <c r="C91" s="16"/>
      <c r="D91" s="109"/>
      <c r="E91" s="204">
        <v>600</v>
      </c>
      <c r="F91" s="21" t="s">
        <v>22</v>
      </c>
      <c r="G91" s="130"/>
      <c r="H91" s="90"/>
      <c r="I91" s="30"/>
      <c r="J91" s="51"/>
      <c r="K91" s="30"/>
      <c r="L91" s="51"/>
    </row>
    <row r="92" spans="1:13" s="23" customFormat="1" ht="14.25" customHeight="1" x14ac:dyDescent="0.2">
      <c r="A92" s="55" t="s">
        <v>65</v>
      </c>
      <c r="B92" s="17" t="s">
        <v>5</v>
      </c>
      <c r="C92" s="16"/>
      <c r="D92" s="109"/>
      <c r="E92" s="204">
        <v>1200</v>
      </c>
      <c r="F92" s="21" t="s">
        <v>22</v>
      </c>
      <c r="G92" s="130"/>
      <c r="H92" s="90"/>
      <c r="I92" s="30"/>
      <c r="J92" s="51"/>
      <c r="K92" s="30"/>
      <c r="L92" s="51"/>
    </row>
    <row r="93" spans="1:13" s="23" customFormat="1" ht="14.25" customHeight="1" x14ac:dyDescent="0.2">
      <c r="A93" s="55" t="s">
        <v>66</v>
      </c>
      <c r="B93" s="17" t="s">
        <v>6</v>
      </c>
      <c r="C93" s="16"/>
      <c r="D93" s="109"/>
      <c r="E93" s="204">
        <v>1000</v>
      </c>
      <c r="F93" s="21" t="s">
        <v>22</v>
      </c>
      <c r="G93" s="130"/>
      <c r="H93" s="90"/>
      <c r="I93" s="30"/>
      <c r="J93" s="51"/>
      <c r="K93" s="30"/>
      <c r="L93" s="51"/>
    </row>
    <row r="94" spans="1:13" s="23" customFormat="1" ht="14.25" customHeight="1" x14ac:dyDescent="0.2">
      <c r="A94" s="55" t="s">
        <v>67</v>
      </c>
      <c r="B94" s="17" t="s">
        <v>33</v>
      </c>
      <c r="C94" s="16"/>
      <c r="D94" s="109"/>
      <c r="E94" s="204">
        <v>200</v>
      </c>
      <c r="F94" s="21" t="s">
        <v>22</v>
      </c>
      <c r="G94" s="130"/>
      <c r="H94" s="90"/>
      <c r="I94" s="30"/>
      <c r="J94" s="51"/>
      <c r="K94" s="30"/>
      <c r="L94" s="51"/>
    </row>
    <row r="95" spans="1:13" s="23" customFormat="1" ht="14.25" customHeight="1" x14ac:dyDescent="0.2">
      <c r="A95" s="55" t="s">
        <v>68</v>
      </c>
      <c r="B95" s="17" t="s">
        <v>7</v>
      </c>
      <c r="C95" s="16"/>
      <c r="D95" s="109"/>
      <c r="E95" s="204">
        <v>200</v>
      </c>
      <c r="F95" s="21" t="s">
        <v>22</v>
      </c>
      <c r="G95" s="130"/>
      <c r="H95" s="90"/>
      <c r="I95" s="30"/>
      <c r="J95" s="51"/>
      <c r="K95" s="30"/>
      <c r="L95" s="51"/>
    </row>
    <row r="96" spans="1:13" s="23" customFormat="1" ht="14.25" customHeight="1" x14ac:dyDescent="0.2">
      <c r="A96" s="55" t="s">
        <v>69</v>
      </c>
      <c r="B96" s="17" t="s">
        <v>38</v>
      </c>
      <c r="C96" s="16"/>
      <c r="D96" s="109"/>
      <c r="E96" s="204">
        <v>550</v>
      </c>
      <c r="F96" s="21" t="s">
        <v>22</v>
      </c>
      <c r="G96" s="130"/>
      <c r="H96" s="90"/>
      <c r="I96" s="30"/>
      <c r="J96" s="51"/>
      <c r="K96" s="30"/>
      <c r="L96" s="51"/>
    </row>
    <row r="97" spans="1:12" s="23" customFormat="1" ht="14.25" customHeight="1" x14ac:dyDescent="0.2">
      <c r="A97" s="55" t="s">
        <v>70</v>
      </c>
      <c r="B97" s="17" t="s">
        <v>19</v>
      </c>
      <c r="C97" s="16"/>
      <c r="D97" s="109"/>
      <c r="E97" s="204">
        <v>1300</v>
      </c>
      <c r="F97" s="21" t="s">
        <v>22</v>
      </c>
      <c r="G97" s="130"/>
      <c r="H97" s="90"/>
      <c r="I97" s="30"/>
      <c r="J97" s="51"/>
      <c r="K97" s="30"/>
      <c r="L97" s="51"/>
    </row>
    <row r="98" spans="1:12" s="23" customFormat="1" ht="14.25" customHeight="1" x14ac:dyDescent="0.2">
      <c r="A98" s="55" t="s">
        <v>71</v>
      </c>
      <c r="B98" s="17" t="s">
        <v>20</v>
      </c>
      <c r="C98" s="16"/>
      <c r="D98" s="109"/>
      <c r="E98" s="204">
        <v>18000</v>
      </c>
      <c r="F98" s="21" t="s">
        <v>22</v>
      </c>
      <c r="G98" s="130"/>
      <c r="H98" s="90"/>
      <c r="I98" s="30"/>
      <c r="J98" s="51"/>
      <c r="K98" s="30"/>
      <c r="L98" s="51"/>
    </row>
    <row r="99" spans="1:12" s="23" customFormat="1" ht="14.25" customHeight="1" x14ac:dyDescent="0.2">
      <c r="A99" s="55" t="s">
        <v>72</v>
      </c>
      <c r="B99" s="17" t="s">
        <v>8</v>
      </c>
      <c r="C99" s="16"/>
      <c r="D99" s="109"/>
      <c r="E99" s="204">
        <v>4800</v>
      </c>
      <c r="F99" s="21" t="s">
        <v>22</v>
      </c>
      <c r="G99" s="130"/>
      <c r="H99" s="90"/>
      <c r="I99" s="30"/>
      <c r="J99" s="51"/>
      <c r="K99" s="30"/>
      <c r="L99" s="51"/>
    </row>
    <row r="100" spans="1:12" s="23" customFormat="1" ht="14.25" customHeight="1" x14ac:dyDescent="0.2">
      <c r="A100" s="55" t="s">
        <v>73</v>
      </c>
      <c r="B100" s="17" t="s">
        <v>9</v>
      </c>
      <c r="C100" s="16"/>
      <c r="D100" s="109"/>
      <c r="E100" s="204">
        <v>2200</v>
      </c>
      <c r="F100" s="21" t="s">
        <v>22</v>
      </c>
      <c r="G100" s="130"/>
      <c r="H100" s="90"/>
      <c r="I100" s="30"/>
      <c r="J100" s="51"/>
      <c r="K100" s="30"/>
      <c r="L100" s="51"/>
    </row>
    <row r="101" spans="1:12" s="23" customFormat="1" ht="14.25" customHeight="1" x14ac:dyDescent="0.2">
      <c r="A101" s="55" t="s">
        <v>260</v>
      </c>
      <c r="B101" s="17" t="s">
        <v>10</v>
      </c>
      <c r="C101" s="16"/>
      <c r="D101" s="109"/>
      <c r="E101" s="204">
        <v>975</v>
      </c>
      <c r="F101" s="21" t="s">
        <v>22</v>
      </c>
      <c r="G101" s="130"/>
      <c r="H101" s="90"/>
      <c r="I101" s="30"/>
      <c r="J101" s="51"/>
      <c r="K101" s="30"/>
      <c r="L101" s="51"/>
    </row>
    <row r="102" spans="1:12" s="23" customFormat="1" ht="14.25" customHeight="1" x14ac:dyDescent="0.2">
      <c r="A102" s="55">
        <v>9.1999999999999993</v>
      </c>
      <c r="B102" s="18" t="s">
        <v>35</v>
      </c>
      <c r="C102" s="8"/>
      <c r="D102" s="8"/>
      <c r="E102" s="205">
        <v>1</v>
      </c>
      <c r="F102" s="21" t="s">
        <v>30</v>
      </c>
      <c r="G102" s="132"/>
      <c r="H102" s="90"/>
      <c r="I102" s="46"/>
      <c r="J102" s="51"/>
      <c r="K102" s="46"/>
      <c r="L102" s="51"/>
    </row>
    <row r="103" spans="1:12" s="23" customFormat="1" ht="14.25" customHeight="1" x14ac:dyDescent="0.2">
      <c r="A103" s="55">
        <v>9.3000000000000007</v>
      </c>
      <c r="B103" s="122" t="s">
        <v>216</v>
      </c>
      <c r="C103" s="123"/>
      <c r="D103" s="123"/>
      <c r="E103" s="205">
        <v>1</v>
      </c>
      <c r="F103" s="21" t="s">
        <v>30</v>
      </c>
      <c r="G103" s="132"/>
      <c r="H103" s="90"/>
      <c r="I103" s="46"/>
      <c r="J103" s="51"/>
      <c r="K103" s="46"/>
      <c r="L103" s="51"/>
    </row>
    <row r="104" spans="1:12" s="23" customFormat="1" ht="14.25" customHeight="1" x14ac:dyDescent="0.2">
      <c r="A104" s="55">
        <v>9.4</v>
      </c>
      <c r="B104" s="114" t="s">
        <v>45</v>
      </c>
      <c r="C104" s="115"/>
      <c r="D104" s="115"/>
      <c r="E104" s="205">
        <v>1</v>
      </c>
      <c r="F104" s="21" t="s">
        <v>30</v>
      </c>
      <c r="G104" s="132"/>
      <c r="H104" s="90"/>
      <c r="I104" s="46"/>
      <c r="J104" s="51"/>
      <c r="K104" s="46"/>
      <c r="L104" s="51"/>
    </row>
    <row r="105" spans="1:12" s="24" customFormat="1" ht="14.25" customHeight="1" x14ac:dyDescent="0.2">
      <c r="A105" s="59">
        <v>9.5</v>
      </c>
      <c r="B105" s="40" t="s">
        <v>217</v>
      </c>
      <c r="C105" s="8"/>
      <c r="D105" s="26"/>
      <c r="E105" s="174"/>
      <c r="F105" s="27"/>
      <c r="G105" s="27"/>
      <c r="H105" s="27"/>
      <c r="I105" s="47"/>
      <c r="J105" s="47"/>
      <c r="K105" s="47"/>
      <c r="L105" s="53"/>
    </row>
    <row r="106" spans="1:12" s="23" customFormat="1" ht="14.25" customHeight="1" x14ac:dyDescent="0.2">
      <c r="A106" s="55" t="s">
        <v>74</v>
      </c>
      <c r="B106" s="17" t="s">
        <v>219</v>
      </c>
      <c r="C106" s="16"/>
      <c r="D106" s="109"/>
      <c r="E106" s="204" t="s">
        <v>198</v>
      </c>
      <c r="F106" s="21" t="s">
        <v>22</v>
      </c>
      <c r="G106" s="130"/>
      <c r="H106" s="90" t="s">
        <v>228</v>
      </c>
      <c r="I106" s="30"/>
      <c r="J106" s="90" t="s">
        <v>228</v>
      </c>
      <c r="K106" s="30"/>
      <c r="L106" s="21" t="s">
        <v>228</v>
      </c>
    </row>
    <row r="107" spans="1:12" s="23" customFormat="1" ht="14.25" customHeight="1" x14ac:dyDescent="0.2">
      <c r="A107" s="55" t="s">
        <v>75</v>
      </c>
      <c r="B107" s="17" t="s">
        <v>220</v>
      </c>
      <c r="C107" s="16"/>
      <c r="D107" s="109"/>
      <c r="E107" s="204">
        <v>400</v>
      </c>
      <c r="F107" s="21" t="s">
        <v>22</v>
      </c>
      <c r="G107" s="130"/>
      <c r="H107" s="90"/>
      <c r="I107" s="30"/>
      <c r="J107" s="51"/>
      <c r="K107" s="30"/>
      <c r="L107" s="51"/>
    </row>
    <row r="108" spans="1:12" s="23" customFormat="1" ht="14.25" customHeight="1" x14ac:dyDescent="0.2">
      <c r="A108" s="55" t="s">
        <v>76</v>
      </c>
      <c r="B108" s="17" t="s">
        <v>221</v>
      </c>
      <c r="C108" s="16"/>
      <c r="D108" s="109"/>
      <c r="E108" s="204">
        <v>1500</v>
      </c>
      <c r="F108" s="21" t="s">
        <v>22</v>
      </c>
      <c r="G108" s="130"/>
      <c r="H108" s="90"/>
      <c r="I108" s="30"/>
      <c r="J108" s="51"/>
      <c r="K108" s="30"/>
      <c r="L108" s="51"/>
    </row>
    <row r="109" spans="1:12" s="23" customFormat="1" ht="14.25" customHeight="1" x14ac:dyDescent="0.2">
      <c r="A109" s="55" t="s">
        <v>77</v>
      </c>
      <c r="B109" s="17" t="s">
        <v>227</v>
      </c>
      <c r="C109" s="16"/>
      <c r="D109" s="109"/>
      <c r="E109" s="204" t="s">
        <v>198</v>
      </c>
      <c r="F109" s="21" t="s">
        <v>22</v>
      </c>
      <c r="G109" s="130"/>
      <c r="H109" s="90" t="s">
        <v>228</v>
      </c>
      <c r="I109" s="30"/>
      <c r="J109" s="90" t="s">
        <v>228</v>
      </c>
      <c r="K109" s="30"/>
      <c r="L109" s="21" t="s">
        <v>228</v>
      </c>
    </row>
    <row r="110" spans="1:12" s="23" customFormat="1" ht="14.25" customHeight="1" x14ac:dyDescent="0.2">
      <c r="A110" s="55" t="s">
        <v>78</v>
      </c>
      <c r="B110" s="17" t="s">
        <v>222</v>
      </c>
      <c r="C110" s="16"/>
      <c r="D110" s="109"/>
      <c r="E110" s="204">
        <v>700</v>
      </c>
      <c r="F110" s="21" t="s">
        <v>22</v>
      </c>
      <c r="G110" s="130"/>
      <c r="H110" s="90"/>
      <c r="I110" s="30"/>
      <c r="J110" s="51"/>
      <c r="K110" s="30"/>
      <c r="L110" s="51"/>
    </row>
    <row r="111" spans="1:12" s="23" customFormat="1" ht="14.25" customHeight="1" x14ac:dyDescent="0.2">
      <c r="A111" s="55" t="s">
        <v>79</v>
      </c>
      <c r="B111" s="17" t="s">
        <v>223</v>
      </c>
      <c r="C111" s="16"/>
      <c r="D111" s="109"/>
      <c r="E111" s="204">
        <v>350</v>
      </c>
      <c r="F111" s="21" t="s">
        <v>22</v>
      </c>
      <c r="G111" s="130"/>
      <c r="H111" s="90"/>
      <c r="I111" s="30"/>
      <c r="J111" s="51"/>
      <c r="K111" s="30"/>
      <c r="L111" s="51"/>
    </row>
    <row r="112" spans="1:12" s="23" customFormat="1" ht="14.25" customHeight="1" x14ac:dyDescent="0.2">
      <c r="A112" s="55" t="s">
        <v>80</v>
      </c>
      <c r="B112" s="17" t="s">
        <v>224</v>
      </c>
      <c r="C112" s="16"/>
      <c r="D112" s="109"/>
      <c r="E112" s="204" t="s">
        <v>198</v>
      </c>
      <c r="F112" s="21" t="s">
        <v>22</v>
      </c>
      <c r="G112" s="130"/>
      <c r="H112" s="90" t="s">
        <v>228</v>
      </c>
      <c r="I112" s="30"/>
      <c r="J112" s="90" t="s">
        <v>228</v>
      </c>
      <c r="K112" s="30"/>
      <c r="L112" s="21" t="s">
        <v>228</v>
      </c>
    </row>
    <row r="113" spans="1:12" s="23" customFormat="1" ht="14.25" customHeight="1" x14ac:dyDescent="0.2">
      <c r="A113" s="55" t="s">
        <v>303</v>
      </c>
      <c r="B113" s="17" t="s">
        <v>225</v>
      </c>
      <c r="C113" s="16"/>
      <c r="D113" s="109"/>
      <c r="E113" s="206">
        <v>5700</v>
      </c>
      <c r="F113" s="84" t="s">
        <v>22</v>
      </c>
      <c r="G113" s="137"/>
      <c r="H113" s="92"/>
      <c r="I113" s="45"/>
      <c r="J113" s="51"/>
      <c r="K113" s="45"/>
      <c r="L113" s="51"/>
    </row>
    <row r="114" spans="1:12" s="23" customFormat="1" ht="14.25" customHeight="1" x14ac:dyDescent="0.2">
      <c r="A114" s="55" t="s">
        <v>304</v>
      </c>
      <c r="B114" s="17" t="s">
        <v>226</v>
      </c>
      <c r="C114" s="16"/>
      <c r="D114" s="109"/>
      <c r="E114" s="204" t="s">
        <v>198</v>
      </c>
      <c r="F114" s="21" t="s">
        <v>22</v>
      </c>
      <c r="G114" s="130"/>
      <c r="H114" s="90" t="s">
        <v>228</v>
      </c>
      <c r="I114" s="30"/>
      <c r="J114" s="90" t="s">
        <v>228</v>
      </c>
      <c r="K114" s="30"/>
      <c r="L114" s="21" t="s">
        <v>228</v>
      </c>
    </row>
    <row r="115" spans="1:12" s="23" customFormat="1" ht="14.25" customHeight="1" x14ac:dyDescent="0.2">
      <c r="A115" s="55">
        <v>9.6</v>
      </c>
      <c r="B115" s="18" t="s">
        <v>35</v>
      </c>
      <c r="C115" s="8"/>
      <c r="D115" s="8"/>
      <c r="E115" s="205">
        <v>1</v>
      </c>
      <c r="F115" s="21" t="s">
        <v>30</v>
      </c>
      <c r="G115" s="132"/>
      <c r="H115" s="90"/>
      <c r="I115" s="46"/>
      <c r="J115" s="51"/>
      <c r="K115" s="46"/>
      <c r="L115" s="51"/>
    </row>
    <row r="116" spans="1:12" s="23" customFormat="1" ht="14.25" customHeight="1" x14ac:dyDescent="0.2">
      <c r="A116" s="55">
        <v>9.6999999999999993</v>
      </c>
      <c r="B116" s="122" t="s">
        <v>216</v>
      </c>
      <c r="C116" s="123"/>
      <c r="D116" s="123"/>
      <c r="E116" s="205">
        <v>1</v>
      </c>
      <c r="F116" s="21" t="s">
        <v>30</v>
      </c>
      <c r="G116" s="132"/>
      <c r="H116" s="90"/>
      <c r="I116" s="46"/>
      <c r="J116" s="51"/>
      <c r="K116" s="46"/>
      <c r="L116" s="51"/>
    </row>
    <row r="117" spans="1:12" s="23" customFormat="1" ht="14.25" customHeight="1" x14ac:dyDescent="0.2">
      <c r="A117" s="55">
        <v>9.8000000000000007</v>
      </c>
      <c r="B117" s="114" t="s">
        <v>45</v>
      </c>
      <c r="C117" s="115"/>
      <c r="D117" s="115"/>
      <c r="E117" s="205">
        <v>1</v>
      </c>
      <c r="F117" s="21" t="s">
        <v>30</v>
      </c>
      <c r="G117" s="132"/>
      <c r="H117" s="90"/>
      <c r="I117" s="46"/>
      <c r="J117" s="51"/>
      <c r="K117" s="46"/>
      <c r="L117" s="51"/>
    </row>
    <row r="118" spans="1:12" s="24" customFormat="1" ht="14.25" customHeight="1" x14ac:dyDescent="0.2">
      <c r="A118" s="59">
        <v>9.9</v>
      </c>
      <c r="B118" s="40" t="s">
        <v>218</v>
      </c>
      <c r="C118" s="8"/>
      <c r="D118" s="26"/>
      <c r="E118" s="174"/>
      <c r="F118" s="27"/>
      <c r="G118" s="27"/>
      <c r="H118" s="27"/>
      <c r="I118" s="47"/>
      <c r="J118" s="47"/>
      <c r="K118" s="47"/>
      <c r="L118" s="53"/>
    </row>
    <row r="119" spans="1:12" s="23" customFormat="1" ht="14.25" customHeight="1" x14ac:dyDescent="0.2">
      <c r="A119" s="55" t="s">
        <v>81</v>
      </c>
      <c r="B119" s="17" t="s">
        <v>39</v>
      </c>
      <c r="C119" s="16"/>
      <c r="D119" s="109"/>
      <c r="E119" s="204" t="s">
        <v>198</v>
      </c>
      <c r="F119" s="21" t="s">
        <v>22</v>
      </c>
      <c r="G119" s="130"/>
      <c r="H119" s="90" t="s">
        <v>228</v>
      </c>
      <c r="I119" s="30"/>
      <c r="J119" s="90" t="s">
        <v>228</v>
      </c>
      <c r="K119" s="30"/>
      <c r="L119" s="21" t="s">
        <v>228</v>
      </c>
    </row>
    <row r="120" spans="1:12" s="23" customFormat="1" ht="14.25" customHeight="1" x14ac:dyDescent="0.2">
      <c r="A120" s="55" t="s">
        <v>82</v>
      </c>
      <c r="B120" s="17" t="s">
        <v>5</v>
      </c>
      <c r="C120" s="16"/>
      <c r="D120" s="109"/>
      <c r="E120" s="204">
        <v>400</v>
      </c>
      <c r="F120" s="21" t="s">
        <v>22</v>
      </c>
      <c r="G120" s="130"/>
      <c r="H120" s="90"/>
      <c r="I120" s="30"/>
      <c r="J120" s="51"/>
      <c r="K120" s="30"/>
      <c r="L120" s="51"/>
    </row>
    <row r="121" spans="1:12" s="23" customFormat="1" ht="14.25" customHeight="1" x14ac:dyDescent="0.2">
      <c r="A121" s="55" t="s">
        <v>305</v>
      </c>
      <c r="B121" s="17" t="s">
        <v>6</v>
      </c>
      <c r="C121" s="16"/>
      <c r="D121" s="109"/>
      <c r="E121" s="204">
        <v>1500</v>
      </c>
      <c r="F121" s="21" t="s">
        <v>22</v>
      </c>
      <c r="G121" s="130"/>
      <c r="H121" s="90"/>
      <c r="I121" s="30"/>
      <c r="J121" s="51"/>
      <c r="K121" s="30"/>
      <c r="L121" s="51"/>
    </row>
    <row r="122" spans="1:12" s="23" customFormat="1" ht="14.25" customHeight="1" x14ac:dyDescent="0.2">
      <c r="A122" s="55" t="s">
        <v>306</v>
      </c>
      <c r="B122" s="17" t="s">
        <v>33</v>
      </c>
      <c r="C122" s="16"/>
      <c r="D122" s="109"/>
      <c r="E122" s="204" t="s">
        <v>198</v>
      </c>
      <c r="F122" s="21" t="s">
        <v>22</v>
      </c>
      <c r="G122" s="130"/>
      <c r="H122" s="90" t="s">
        <v>228</v>
      </c>
      <c r="I122" s="30"/>
      <c r="J122" s="90" t="s">
        <v>228</v>
      </c>
      <c r="K122" s="30"/>
      <c r="L122" s="21" t="s">
        <v>228</v>
      </c>
    </row>
    <row r="123" spans="1:12" s="23" customFormat="1" ht="14.25" customHeight="1" x14ac:dyDescent="0.2">
      <c r="A123" s="55" t="s">
        <v>307</v>
      </c>
      <c r="B123" s="17" t="s">
        <v>7</v>
      </c>
      <c r="C123" s="16"/>
      <c r="D123" s="109"/>
      <c r="E123" s="204">
        <v>700</v>
      </c>
      <c r="F123" s="21" t="s">
        <v>22</v>
      </c>
      <c r="G123" s="130"/>
      <c r="H123" s="90"/>
      <c r="I123" s="30"/>
      <c r="J123" s="51"/>
      <c r="K123" s="30"/>
      <c r="L123" s="51"/>
    </row>
    <row r="124" spans="1:12" s="23" customFormat="1" ht="14.25" customHeight="1" x14ac:dyDescent="0.2">
      <c r="A124" s="55" t="s">
        <v>308</v>
      </c>
      <c r="B124" s="17" t="s">
        <v>38</v>
      </c>
      <c r="C124" s="16"/>
      <c r="D124" s="109"/>
      <c r="E124" s="204">
        <v>350</v>
      </c>
      <c r="F124" s="21" t="s">
        <v>22</v>
      </c>
      <c r="G124" s="130"/>
      <c r="H124" s="90"/>
      <c r="I124" s="30"/>
      <c r="J124" s="51"/>
      <c r="K124" s="30"/>
      <c r="L124" s="51"/>
    </row>
    <row r="125" spans="1:12" s="23" customFormat="1" ht="14.25" customHeight="1" x14ac:dyDescent="0.2">
      <c r="A125" s="55" t="s">
        <v>309</v>
      </c>
      <c r="B125" s="17" t="s">
        <v>19</v>
      </c>
      <c r="C125" s="16"/>
      <c r="D125" s="109"/>
      <c r="E125" s="204" t="s">
        <v>198</v>
      </c>
      <c r="F125" s="21" t="s">
        <v>22</v>
      </c>
      <c r="G125" s="130"/>
      <c r="H125" s="90" t="s">
        <v>228</v>
      </c>
      <c r="I125" s="30"/>
      <c r="J125" s="90" t="s">
        <v>228</v>
      </c>
      <c r="K125" s="30"/>
      <c r="L125" s="21" t="s">
        <v>228</v>
      </c>
    </row>
    <row r="126" spans="1:12" s="23" customFormat="1" ht="14.25" customHeight="1" x14ac:dyDescent="0.2">
      <c r="A126" s="55" t="s">
        <v>310</v>
      </c>
      <c r="B126" s="17" t="s">
        <v>20</v>
      </c>
      <c r="C126" s="16"/>
      <c r="D126" s="109"/>
      <c r="E126" s="206">
        <v>5700</v>
      </c>
      <c r="F126" s="84" t="s">
        <v>22</v>
      </c>
      <c r="G126" s="137"/>
      <c r="H126" s="92"/>
      <c r="I126" s="45"/>
      <c r="J126" s="51"/>
      <c r="K126" s="45"/>
      <c r="L126" s="51"/>
    </row>
    <row r="127" spans="1:12" s="23" customFormat="1" ht="14.25" customHeight="1" x14ac:dyDescent="0.2">
      <c r="A127" s="55" t="s">
        <v>311</v>
      </c>
      <c r="B127" s="17" t="s">
        <v>8</v>
      </c>
      <c r="C127" s="16"/>
      <c r="D127" s="109"/>
      <c r="E127" s="204" t="s">
        <v>198</v>
      </c>
      <c r="F127" s="21" t="s">
        <v>22</v>
      </c>
      <c r="G127" s="130"/>
      <c r="H127" s="90" t="s">
        <v>228</v>
      </c>
      <c r="I127" s="30"/>
      <c r="J127" s="90" t="s">
        <v>228</v>
      </c>
      <c r="K127" s="30"/>
      <c r="L127" s="21" t="s">
        <v>228</v>
      </c>
    </row>
    <row r="128" spans="1:12" s="23" customFormat="1" ht="14.25" customHeight="1" x14ac:dyDescent="0.2">
      <c r="A128" s="58">
        <v>9.1</v>
      </c>
      <c r="B128" s="18" t="s">
        <v>35</v>
      </c>
      <c r="C128" s="8"/>
      <c r="D128" s="8"/>
      <c r="E128" s="205">
        <v>1</v>
      </c>
      <c r="F128" s="21" t="s">
        <v>30</v>
      </c>
      <c r="G128" s="132"/>
      <c r="H128" s="90"/>
      <c r="I128" s="46"/>
      <c r="J128" s="51"/>
      <c r="K128" s="46"/>
      <c r="L128" s="51"/>
    </row>
    <row r="129" spans="1:13" s="23" customFormat="1" ht="14.25" customHeight="1" x14ac:dyDescent="0.2">
      <c r="A129" s="58">
        <v>9.11</v>
      </c>
      <c r="B129" s="122" t="s">
        <v>216</v>
      </c>
      <c r="C129" s="123"/>
      <c r="D129" s="123"/>
      <c r="E129" s="205">
        <v>1</v>
      </c>
      <c r="F129" s="21" t="s">
        <v>30</v>
      </c>
      <c r="G129" s="132"/>
      <c r="H129" s="90"/>
      <c r="I129" s="46"/>
      <c r="J129" s="51"/>
      <c r="K129" s="46"/>
      <c r="L129" s="51"/>
    </row>
    <row r="130" spans="1:13" s="23" customFormat="1" ht="14.25" customHeight="1" x14ac:dyDescent="0.2">
      <c r="A130" s="58">
        <v>9.1199999999999992</v>
      </c>
      <c r="B130" s="114" t="s">
        <v>45</v>
      </c>
      <c r="C130" s="115"/>
      <c r="D130" s="115"/>
      <c r="E130" s="205">
        <v>1</v>
      </c>
      <c r="F130" s="21" t="s">
        <v>30</v>
      </c>
      <c r="G130" s="132"/>
      <c r="H130" s="90"/>
      <c r="I130" s="46"/>
      <c r="J130" s="51"/>
      <c r="K130" s="46"/>
      <c r="L130" s="51"/>
    </row>
    <row r="131" spans="1:13" s="24" customFormat="1" ht="14.25" customHeight="1" x14ac:dyDescent="0.2">
      <c r="A131" s="168">
        <v>9.1300000000000008</v>
      </c>
      <c r="B131" s="40" t="s">
        <v>113</v>
      </c>
      <c r="C131" s="8"/>
      <c r="D131" s="26"/>
      <c r="E131" s="174"/>
      <c r="F131" s="27"/>
      <c r="G131" s="27"/>
      <c r="H131" s="27"/>
      <c r="I131" s="47"/>
      <c r="J131" s="47"/>
      <c r="K131" s="47"/>
      <c r="L131" s="53"/>
    </row>
    <row r="132" spans="1:13" s="23" customFormat="1" ht="14.25" customHeight="1" x14ac:dyDescent="0.2">
      <c r="A132" s="55" t="s">
        <v>312</v>
      </c>
      <c r="B132" s="17" t="s">
        <v>38</v>
      </c>
      <c r="C132" s="16"/>
      <c r="D132" s="109"/>
      <c r="E132" s="204" t="s">
        <v>198</v>
      </c>
      <c r="F132" s="21" t="s">
        <v>22</v>
      </c>
      <c r="G132" s="130"/>
      <c r="H132" s="90" t="s">
        <v>228</v>
      </c>
      <c r="I132" s="30"/>
      <c r="J132" s="90" t="s">
        <v>228</v>
      </c>
      <c r="K132" s="30"/>
      <c r="L132" s="21" t="s">
        <v>228</v>
      </c>
    </row>
    <row r="133" spans="1:13" s="23" customFormat="1" ht="14.25" customHeight="1" x14ac:dyDescent="0.2">
      <c r="A133" s="55" t="s">
        <v>313</v>
      </c>
      <c r="B133" s="17" t="s">
        <v>19</v>
      </c>
      <c r="C133" s="16"/>
      <c r="D133" s="109"/>
      <c r="E133" s="204" t="s">
        <v>198</v>
      </c>
      <c r="F133" s="21" t="s">
        <v>22</v>
      </c>
      <c r="G133" s="130"/>
      <c r="H133" s="90" t="s">
        <v>228</v>
      </c>
      <c r="I133" s="30"/>
      <c r="J133" s="90" t="s">
        <v>228</v>
      </c>
      <c r="K133" s="30"/>
      <c r="L133" s="21" t="s">
        <v>228</v>
      </c>
    </row>
    <row r="134" spans="1:13" s="23" customFormat="1" ht="14.25" customHeight="1" x14ac:dyDescent="0.2">
      <c r="A134" s="55" t="s">
        <v>314</v>
      </c>
      <c r="B134" s="17" t="s">
        <v>20</v>
      </c>
      <c r="C134" s="16"/>
      <c r="D134" s="109"/>
      <c r="E134" s="204">
        <v>200</v>
      </c>
      <c r="F134" s="207" t="s">
        <v>22</v>
      </c>
      <c r="G134" s="132"/>
      <c r="H134" s="90"/>
      <c r="I134" s="46"/>
      <c r="J134" s="51"/>
      <c r="K134" s="46"/>
      <c r="L134" s="51"/>
    </row>
    <row r="135" spans="1:13" s="23" customFormat="1" ht="14.25" customHeight="1" x14ac:dyDescent="0.2">
      <c r="A135" s="55" t="s">
        <v>315</v>
      </c>
      <c r="B135" s="17" t="s">
        <v>8</v>
      </c>
      <c r="C135" s="16"/>
      <c r="D135" s="109"/>
      <c r="E135" s="204">
        <v>3300</v>
      </c>
      <c r="F135" s="207" t="s">
        <v>22</v>
      </c>
      <c r="G135" s="132"/>
      <c r="H135" s="90"/>
      <c r="I135" s="46"/>
      <c r="J135" s="51"/>
      <c r="K135" s="46"/>
      <c r="L135" s="51"/>
    </row>
    <row r="136" spans="1:13" s="23" customFormat="1" ht="14.25" customHeight="1" x14ac:dyDescent="0.2">
      <c r="A136" s="55" t="s">
        <v>316</v>
      </c>
      <c r="B136" s="17" t="s">
        <v>9</v>
      </c>
      <c r="C136" s="16"/>
      <c r="D136" s="109"/>
      <c r="E136" s="204">
        <v>5200</v>
      </c>
      <c r="F136" s="207" t="s">
        <v>22</v>
      </c>
      <c r="G136" s="132"/>
      <c r="H136" s="90"/>
      <c r="I136" s="30"/>
      <c r="J136" s="51"/>
      <c r="K136" s="30"/>
      <c r="L136" s="51"/>
    </row>
    <row r="137" spans="1:13" s="23" customFormat="1" ht="14.25" customHeight="1" x14ac:dyDescent="0.2">
      <c r="A137" s="55" t="s">
        <v>317</v>
      </c>
      <c r="B137" s="17" t="s">
        <v>10</v>
      </c>
      <c r="C137" s="16"/>
      <c r="D137" s="109"/>
      <c r="E137" s="204">
        <v>720</v>
      </c>
      <c r="F137" s="207" t="s">
        <v>22</v>
      </c>
      <c r="G137" s="132"/>
      <c r="H137" s="90"/>
      <c r="I137" s="30"/>
      <c r="J137" s="51"/>
      <c r="K137" s="30"/>
      <c r="L137" s="51"/>
    </row>
    <row r="138" spans="1:13" s="23" customFormat="1" ht="14.25" customHeight="1" x14ac:dyDescent="0.2">
      <c r="A138" s="58">
        <v>9.14</v>
      </c>
      <c r="B138" s="18" t="s">
        <v>35</v>
      </c>
      <c r="C138" s="8"/>
      <c r="D138" s="8"/>
      <c r="E138" s="205">
        <v>1</v>
      </c>
      <c r="F138" s="21" t="s">
        <v>30</v>
      </c>
      <c r="G138" s="132"/>
      <c r="H138" s="90"/>
      <c r="I138" s="46"/>
      <c r="J138" s="51"/>
      <c r="K138" s="46"/>
      <c r="L138" s="51"/>
    </row>
    <row r="139" spans="1:13" s="23" customFormat="1" ht="14.25" customHeight="1" x14ac:dyDescent="0.2">
      <c r="A139" s="58">
        <v>9.15</v>
      </c>
      <c r="B139" s="122" t="s">
        <v>199</v>
      </c>
      <c r="C139" s="123"/>
      <c r="D139" s="123"/>
      <c r="E139" s="205">
        <v>1</v>
      </c>
      <c r="F139" s="21" t="s">
        <v>30</v>
      </c>
      <c r="G139" s="132"/>
      <c r="H139" s="90"/>
      <c r="I139" s="46"/>
      <c r="J139" s="51"/>
      <c r="K139" s="46"/>
      <c r="L139" s="51"/>
    </row>
    <row r="140" spans="1:13" s="23" customFormat="1" ht="14.25" customHeight="1" thickBot="1" x14ac:dyDescent="0.25">
      <c r="A140" s="58">
        <v>9.16</v>
      </c>
      <c r="B140" s="114" t="s">
        <v>45</v>
      </c>
      <c r="C140" s="115"/>
      <c r="D140" s="115"/>
      <c r="E140" s="205">
        <v>1</v>
      </c>
      <c r="F140" s="21" t="s">
        <v>30</v>
      </c>
      <c r="G140" s="132"/>
      <c r="H140" s="90"/>
      <c r="I140" s="46"/>
      <c r="J140" s="51"/>
      <c r="K140" s="46"/>
      <c r="L140" s="51"/>
    </row>
    <row r="141" spans="1:13" s="22" customFormat="1" ht="14.25" customHeight="1" thickBot="1" x14ac:dyDescent="0.25">
      <c r="A141" s="876" t="s">
        <v>147</v>
      </c>
      <c r="B141" s="877"/>
      <c r="C141" s="877"/>
      <c r="D141" s="877"/>
      <c r="E141" s="877"/>
      <c r="F141" s="877"/>
      <c r="G141" s="877"/>
      <c r="H141" s="877"/>
      <c r="I141" s="877"/>
      <c r="J141" s="877"/>
      <c r="K141" s="878"/>
      <c r="L141" s="50"/>
      <c r="M141" s="23"/>
    </row>
    <row r="142" spans="1:13" s="12" customFormat="1" ht="14.25" customHeight="1" x14ac:dyDescent="0.2">
      <c r="A142" s="61">
        <v>10</v>
      </c>
      <c r="B142" s="37" t="s">
        <v>124</v>
      </c>
      <c r="C142" s="5"/>
      <c r="D142" s="5"/>
      <c r="E142" s="175"/>
      <c r="F142" s="13"/>
      <c r="G142" s="13"/>
      <c r="H142" s="13"/>
      <c r="I142" s="142"/>
      <c r="J142" s="142"/>
      <c r="K142" s="142"/>
      <c r="L142" s="52"/>
    </row>
    <row r="143" spans="1:13" s="24" customFormat="1" ht="14.25" customHeight="1" x14ac:dyDescent="0.2">
      <c r="A143" s="62">
        <v>10.1</v>
      </c>
      <c r="B143" s="40" t="s">
        <v>119</v>
      </c>
      <c r="C143" s="8"/>
      <c r="D143" s="8"/>
      <c r="E143" s="174"/>
      <c r="F143" s="27"/>
      <c r="G143" s="27"/>
      <c r="H143" s="27"/>
      <c r="I143" s="47"/>
      <c r="J143" s="47"/>
      <c r="K143" s="47"/>
      <c r="L143" s="53"/>
    </row>
    <row r="144" spans="1:13" s="23" customFormat="1" ht="14.25" customHeight="1" x14ac:dyDescent="0.2">
      <c r="A144" s="55" t="s">
        <v>253</v>
      </c>
      <c r="B144" s="17" t="s">
        <v>39</v>
      </c>
      <c r="C144" s="16"/>
      <c r="D144" s="16"/>
      <c r="E144" s="208">
        <v>2</v>
      </c>
      <c r="F144" s="21" t="s">
        <v>29</v>
      </c>
      <c r="G144" s="27"/>
      <c r="H144" s="91"/>
      <c r="I144" s="30"/>
      <c r="J144" s="51"/>
      <c r="K144" s="30"/>
      <c r="L144" s="51"/>
    </row>
    <row r="145" spans="1:13" s="23" customFormat="1" ht="14.25" customHeight="1" x14ac:dyDescent="0.2">
      <c r="A145" s="55" t="s">
        <v>254</v>
      </c>
      <c r="B145" s="17" t="s">
        <v>5</v>
      </c>
      <c r="C145" s="16"/>
      <c r="D145" s="16"/>
      <c r="E145" s="205">
        <f>1+2</f>
        <v>3</v>
      </c>
      <c r="F145" s="21" t="s">
        <v>29</v>
      </c>
      <c r="G145" s="27"/>
      <c r="H145" s="91"/>
      <c r="I145" s="30"/>
      <c r="J145" s="51"/>
      <c r="K145" s="30"/>
      <c r="L145" s="51"/>
    </row>
    <row r="146" spans="1:13" s="23" customFormat="1" ht="14.25" customHeight="1" x14ac:dyDescent="0.2">
      <c r="A146" s="55" t="s">
        <v>255</v>
      </c>
      <c r="B146" s="17" t="s">
        <v>6</v>
      </c>
      <c r="C146" s="16"/>
      <c r="D146" s="16"/>
      <c r="E146" s="205">
        <f>12+10</f>
        <v>22</v>
      </c>
      <c r="F146" s="21" t="s">
        <v>29</v>
      </c>
      <c r="G146" s="132"/>
      <c r="H146" s="90"/>
      <c r="I146" s="30"/>
      <c r="J146" s="51"/>
      <c r="K146" s="30"/>
      <c r="L146" s="51"/>
    </row>
    <row r="147" spans="1:13" s="23" customFormat="1" ht="14.25" customHeight="1" x14ac:dyDescent="0.2">
      <c r="A147" s="55" t="s">
        <v>256</v>
      </c>
      <c r="B147" s="17" t="s">
        <v>33</v>
      </c>
      <c r="C147" s="16"/>
      <c r="D147" s="16"/>
      <c r="E147" s="205" t="s">
        <v>198</v>
      </c>
      <c r="F147" s="21" t="s">
        <v>83</v>
      </c>
      <c r="G147" s="132"/>
      <c r="H147" s="90" t="s">
        <v>228</v>
      </c>
      <c r="I147" s="30"/>
      <c r="J147" s="90" t="s">
        <v>228</v>
      </c>
      <c r="K147" s="30"/>
      <c r="L147" s="21" t="s">
        <v>228</v>
      </c>
    </row>
    <row r="148" spans="1:13" s="23" customFormat="1" ht="14.25" customHeight="1" x14ac:dyDescent="0.2">
      <c r="A148" s="55" t="s">
        <v>257</v>
      </c>
      <c r="B148" s="17" t="s">
        <v>7</v>
      </c>
      <c r="C148" s="16"/>
      <c r="D148" s="16"/>
      <c r="E148" s="205">
        <v>12</v>
      </c>
      <c r="F148" s="21" t="s">
        <v>29</v>
      </c>
      <c r="G148" s="132"/>
      <c r="H148" s="90"/>
      <c r="I148" s="30"/>
      <c r="J148" s="51"/>
      <c r="K148" s="30"/>
      <c r="L148" s="51"/>
    </row>
    <row r="149" spans="1:13" s="23" customFormat="1" ht="14.25" customHeight="1" x14ac:dyDescent="0.2">
      <c r="A149" s="55" t="s">
        <v>258</v>
      </c>
      <c r="B149" s="17" t="s">
        <v>38</v>
      </c>
      <c r="C149" s="16"/>
      <c r="D149" s="109"/>
      <c r="E149" s="205">
        <v>6</v>
      </c>
      <c r="F149" s="21" t="s">
        <v>29</v>
      </c>
      <c r="G149" s="132"/>
      <c r="H149" s="90"/>
      <c r="I149" s="30"/>
      <c r="J149" s="51"/>
      <c r="K149" s="30"/>
      <c r="L149" s="51"/>
    </row>
    <row r="150" spans="1:13" s="23" customFormat="1" ht="14.25" customHeight="1" x14ac:dyDescent="0.2">
      <c r="A150" s="55" t="s">
        <v>259</v>
      </c>
      <c r="B150" s="17" t="s">
        <v>19</v>
      </c>
      <c r="C150" s="16"/>
      <c r="D150" s="109"/>
      <c r="E150" s="205">
        <v>54</v>
      </c>
      <c r="F150" s="21" t="s">
        <v>29</v>
      </c>
      <c r="G150" s="132"/>
      <c r="H150" s="90"/>
      <c r="I150" s="30"/>
      <c r="J150" s="51"/>
      <c r="K150" s="30"/>
      <c r="L150" s="51"/>
    </row>
    <row r="151" spans="1:13" s="24" customFormat="1" ht="14.25" customHeight="1" x14ac:dyDescent="0.2">
      <c r="A151" s="62">
        <v>10.199999999999999</v>
      </c>
      <c r="B151" s="40" t="s">
        <v>252</v>
      </c>
      <c r="C151" s="8"/>
      <c r="D151" s="8"/>
      <c r="E151" s="174"/>
      <c r="F151" s="27"/>
      <c r="G151" s="27"/>
      <c r="H151" s="27"/>
      <c r="I151" s="47"/>
      <c r="J151" s="47"/>
      <c r="K151" s="47"/>
      <c r="L151" s="53"/>
    </row>
    <row r="152" spans="1:13" s="23" customFormat="1" ht="14.25" customHeight="1" x14ac:dyDescent="0.2">
      <c r="A152" s="55" t="s">
        <v>261</v>
      </c>
      <c r="B152" s="17" t="s">
        <v>39</v>
      </c>
      <c r="C152" s="16"/>
      <c r="D152" s="16"/>
      <c r="E152" s="208">
        <v>4</v>
      </c>
      <c r="F152" s="21" t="s">
        <v>29</v>
      </c>
      <c r="G152" s="27"/>
      <c r="H152" s="91"/>
      <c r="I152" s="30"/>
      <c r="J152" s="51"/>
      <c r="K152" s="30"/>
      <c r="L152" s="51"/>
    </row>
    <row r="153" spans="1:13" s="23" customFormat="1" ht="14.25" customHeight="1" x14ac:dyDescent="0.2">
      <c r="A153" s="55" t="s">
        <v>262</v>
      </c>
      <c r="B153" s="17" t="s">
        <v>5</v>
      </c>
      <c r="C153" s="16"/>
      <c r="D153" s="16"/>
      <c r="E153" s="208">
        <v>5</v>
      </c>
      <c r="F153" s="21" t="s">
        <v>29</v>
      </c>
      <c r="G153" s="27"/>
      <c r="H153" s="91"/>
      <c r="I153" s="30"/>
      <c r="J153" s="51"/>
      <c r="K153" s="30"/>
      <c r="L153" s="51"/>
    </row>
    <row r="154" spans="1:13" s="23" customFormat="1" ht="14.25" customHeight="1" x14ac:dyDescent="0.2">
      <c r="A154" s="55" t="s">
        <v>263</v>
      </c>
      <c r="B154" s="17" t="s">
        <v>6</v>
      </c>
      <c r="C154" s="16"/>
      <c r="D154" s="16"/>
      <c r="E154" s="208">
        <f>12+14</f>
        <v>26</v>
      </c>
      <c r="F154" s="21" t="s">
        <v>29</v>
      </c>
      <c r="G154" s="132"/>
      <c r="H154" s="90"/>
      <c r="I154" s="30"/>
      <c r="J154" s="51"/>
      <c r="K154" s="30"/>
      <c r="L154" s="51"/>
    </row>
    <row r="155" spans="1:13" s="23" customFormat="1" ht="14.25" customHeight="1" x14ac:dyDescent="0.2">
      <c r="A155" s="55" t="s">
        <v>264</v>
      </c>
      <c r="B155" s="17" t="s">
        <v>33</v>
      </c>
      <c r="C155" s="16"/>
      <c r="D155" s="16"/>
      <c r="E155" s="205" t="s">
        <v>198</v>
      </c>
      <c r="F155" s="21" t="s">
        <v>83</v>
      </c>
      <c r="G155" s="132"/>
      <c r="H155" s="90" t="s">
        <v>228</v>
      </c>
      <c r="I155" s="30"/>
      <c r="J155" s="90" t="s">
        <v>228</v>
      </c>
      <c r="K155" s="30"/>
      <c r="L155" s="21" t="s">
        <v>228</v>
      </c>
    </row>
    <row r="156" spans="1:13" s="23" customFormat="1" ht="14.25" customHeight="1" x14ac:dyDescent="0.2">
      <c r="A156" s="55" t="s">
        <v>265</v>
      </c>
      <c r="B156" s="17" t="s">
        <v>7</v>
      </c>
      <c r="C156" s="16"/>
      <c r="D156" s="16"/>
      <c r="E156" s="205" t="s">
        <v>198</v>
      </c>
      <c r="F156" s="21" t="s">
        <v>83</v>
      </c>
      <c r="G156" s="132"/>
      <c r="H156" s="90" t="s">
        <v>228</v>
      </c>
      <c r="I156" s="30"/>
      <c r="J156" s="90" t="s">
        <v>228</v>
      </c>
      <c r="K156" s="30"/>
      <c r="L156" s="21" t="s">
        <v>228</v>
      </c>
      <c r="M156" s="24"/>
    </row>
    <row r="157" spans="1:13" s="23" customFormat="1" ht="14.25" customHeight="1" x14ac:dyDescent="0.2">
      <c r="A157" s="55" t="s">
        <v>266</v>
      </c>
      <c r="B157" s="17" t="s">
        <v>38</v>
      </c>
      <c r="C157" s="16"/>
      <c r="D157" s="109"/>
      <c r="E157" s="205">
        <v>6</v>
      </c>
      <c r="F157" s="21" t="s">
        <v>29</v>
      </c>
      <c r="G157" s="132"/>
      <c r="H157" s="90"/>
      <c r="I157" s="30"/>
      <c r="J157" s="90"/>
      <c r="K157" s="30"/>
      <c r="L157" s="21"/>
    </row>
    <row r="158" spans="1:13" s="23" customFormat="1" ht="14.25" customHeight="1" x14ac:dyDescent="0.2">
      <c r="A158" s="55" t="s">
        <v>267</v>
      </c>
      <c r="B158" s="17" t="s">
        <v>19</v>
      </c>
      <c r="C158" s="16"/>
      <c r="D158" s="109"/>
      <c r="E158" s="208">
        <v>108</v>
      </c>
      <c r="F158" s="21" t="s">
        <v>29</v>
      </c>
      <c r="G158" s="132"/>
      <c r="H158" s="90"/>
      <c r="I158" s="30"/>
      <c r="J158" s="51"/>
      <c r="K158" s="30"/>
      <c r="L158" s="51"/>
    </row>
    <row r="159" spans="1:13" s="24" customFormat="1" ht="14.25" customHeight="1" x14ac:dyDescent="0.2">
      <c r="A159" s="62">
        <v>10.3</v>
      </c>
      <c r="B159" s="40" t="s">
        <v>120</v>
      </c>
      <c r="C159" s="8"/>
      <c r="D159" s="8"/>
      <c r="E159" s="174"/>
      <c r="F159" s="27"/>
      <c r="G159" s="27"/>
      <c r="H159" s="27"/>
      <c r="I159" s="47"/>
      <c r="J159" s="47"/>
      <c r="K159" s="47"/>
      <c r="L159" s="53"/>
    </row>
    <row r="160" spans="1:13" s="23" customFormat="1" ht="14.25" customHeight="1" x14ac:dyDescent="0.2">
      <c r="A160" s="55" t="s">
        <v>318</v>
      </c>
      <c r="B160" s="17" t="s">
        <v>20</v>
      </c>
      <c r="C160" s="16"/>
      <c r="D160" s="16"/>
      <c r="E160" s="205">
        <f>13+42</f>
        <v>55</v>
      </c>
      <c r="F160" s="21" t="s">
        <v>29</v>
      </c>
      <c r="G160" s="132"/>
      <c r="H160" s="90"/>
      <c r="I160" s="30"/>
      <c r="J160" s="51"/>
      <c r="K160" s="30"/>
      <c r="L160" s="51"/>
    </row>
    <row r="161" spans="1:12" s="23" customFormat="1" ht="14.25" customHeight="1" x14ac:dyDescent="0.2">
      <c r="A161" s="55" t="s">
        <v>319</v>
      </c>
      <c r="B161" s="17" t="s">
        <v>8</v>
      </c>
      <c r="C161" s="16"/>
      <c r="D161" s="16"/>
      <c r="E161" s="205">
        <v>54</v>
      </c>
      <c r="F161" s="21" t="s">
        <v>29</v>
      </c>
      <c r="G161" s="132"/>
      <c r="H161" s="90"/>
      <c r="I161" s="30"/>
      <c r="J161" s="51"/>
      <c r="K161" s="30"/>
      <c r="L161" s="51"/>
    </row>
    <row r="162" spans="1:12" s="23" customFormat="1" ht="14.25" customHeight="1" x14ac:dyDescent="0.2">
      <c r="A162" s="55" t="s">
        <v>320</v>
      </c>
      <c r="B162" s="17" t="s">
        <v>9</v>
      </c>
      <c r="C162" s="16"/>
      <c r="D162" s="16"/>
      <c r="E162" s="205">
        <v>150</v>
      </c>
      <c r="F162" s="21" t="s">
        <v>29</v>
      </c>
      <c r="G162" s="132"/>
      <c r="H162" s="90"/>
      <c r="I162" s="30"/>
      <c r="J162" s="51"/>
      <c r="K162" s="30"/>
      <c r="L162" s="51"/>
    </row>
    <row r="163" spans="1:12" s="23" customFormat="1" ht="14.25" customHeight="1" x14ac:dyDescent="0.2">
      <c r="A163" s="55" t="s">
        <v>321</v>
      </c>
      <c r="B163" s="17" t="s">
        <v>10</v>
      </c>
      <c r="C163" s="16"/>
      <c r="D163" s="109"/>
      <c r="E163" s="205">
        <v>32</v>
      </c>
      <c r="F163" s="21" t="s">
        <v>29</v>
      </c>
      <c r="G163" s="132"/>
      <c r="H163" s="90"/>
      <c r="I163" s="30"/>
      <c r="J163" s="51"/>
      <c r="K163" s="30"/>
      <c r="L163" s="51"/>
    </row>
    <row r="164" spans="1:12" s="23" customFormat="1" ht="14.25" customHeight="1" x14ac:dyDescent="0.2">
      <c r="A164" s="55" t="s">
        <v>322</v>
      </c>
      <c r="B164" s="17" t="s">
        <v>11</v>
      </c>
      <c r="C164" s="16"/>
      <c r="D164" s="16"/>
      <c r="E164" s="205" t="s">
        <v>198</v>
      </c>
      <c r="F164" s="21" t="s">
        <v>83</v>
      </c>
      <c r="G164" s="132"/>
      <c r="H164" s="90" t="s">
        <v>228</v>
      </c>
      <c r="I164" s="30"/>
      <c r="J164" s="90" t="s">
        <v>228</v>
      </c>
      <c r="K164" s="30"/>
      <c r="L164" s="21" t="s">
        <v>228</v>
      </c>
    </row>
    <row r="165" spans="1:12" s="24" customFormat="1" ht="14.25" customHeight="1" x14ac:dyDescent="0.2">
      <c r="A165" s="62">
        <v>10.4</v>
      </c>
      <c r="B165" s="40" t="s">
        <v>268</v>
      </c>
      <c r="C165" s="8"/>
      <c r="D165" s="8"/>
      <c r="E165" s="174"/>
      <c r="F165" s="27"/>
      <c r="G165" s="27"/>
      <c r="H165" s="27"/>
      <c r="I165" s="47"/>
      <c r="J165" s="47"/>
      <c r="K165" s="47"/>
      <c r="L165" s="53"/>
    </row>
    <row r="166" spans="1:12" s="23" customFormat="1" ht="14.25" customHeight="1" x14ac:dyDescent="0.2">
      <c r="A166" s="55" t="s">
        <v>323</v>
      </c>
      <c r="B166" s="17" t="s">
        <v>20</v>
      </c>
      <c r="C166" s="16"/>
      <c r="D166" s="16"/>
      <c r="E166" s="205">
        <f>7+76</f>
        <v>83</v>
      </c>
      <c r="F166" s="21" t="s">
        <v>29</v>
      </c>
      <c r="G166" s="132"/>
      <c r="H166" s="90"/>
      <c r="I166" s="30"/>
      <c r="J166" s="51"/>
      <c r="K166" s="30"/>
      <c r="L166" s="51"/>
    </row>
    <row r="167" spans="1:12" s="23" customFormat="1" ht="14.25" customHeight="1" x14ac:dyDescent="0.2">
      <c r="A167" s="55" t="s">
        <v>324</v>
      </c>
      <c r="B167" s="17" t="s">
        <v>8</v>
      </c>
      <c r="C167" s="16"/>
      <c r="D167" s="16"/>
      <c r="E167" s="205">
        <f>82+3</f>
        <v>85</v>
      </c>
      <c r="F167" s="21" t="s">
        <v>29</v>
      </c>
      <c r="G167" s="132"/>
      <c r="H167" s="90"/>
      <c r="I167" s="30"/>
      <c r="J167" s="51"/>
      <c r="K167" s="30"/>
      <c r="L167" s="51"/>
    </row>
    <row r="168" spans="1:12" s="23" customFormat="1" ht="14.25" customHeight="1" x14ac:dyDescent="0.2">
      <c r="A168" s="55" t="s">
        <v>325</v>
      </c>
      <c r="B168" s="17" t="s">
        <v>9</v>
      </c>
      <c r="C168" s="16"/>
      <c r="D168" s="16"/>
      <c r="E168" s="205">
        <v>382</v>
      </c>
      <c r="F168" s="21" t="s">
        <v>29</v>
      </c>
      <c r="G168" s="132"/>
      <c r="H168" s="90"/>
      <c r="I168" s="30"/>
      <c r="J168" s="51"/>
      <c r="K168" s="30"/>
      <c r="L168" s="51"/>
    </row>
    <row r="169" spans="1:12" s="23" customFormat="1" ht="14.25" customHeight="1" x14ac:dyDescent="0.2">
      <c r="A169" s="55" t="s">
        <v>326</v>
      </c>
      <c r="B169" s="17" t="s">
        <v>10</v>
      </c>
      <c r="C169" s="16"/>
      <c r="D169" s="109"/>
      <c r="E169" s="205">
        <v>86</v>
      </c>
      <c r="F169" s="21" t="s">
        <v>29</v>
      </c>
      <c r="G169" s="132"/>
      <c r="H169" s="90"/>
      <c r="I169" s="30"/>
      <c r="J169" s="51"/>
      <c r="K169" s="30"/>
      <c r="L169" s="51"/>
    </row>
    <row r="170" spans="1:12" s="23" customFormat="1" ht="14.25" customHeight="1" x14ac:dyDescent="0.2">
      <c r="A170" s="55" t="s">
        <v>327</v>
      </c>
      <c r="B170" s="17" t="s">
        <v>11</v>
      </c>
      <c r="C170" s="16"/>
      <c r="D170" s="16"/>
      <c r="E170" s="205" t="s">
        <v>198</v>
      </c>
      <c r="F170" s="21" t="s">
        <v>83</v>
      </c>
      <c r="G170" s="132"/>
      <c r="H170" s="90" t="s">
        <v>228</v>
      </c>
      <c r="I170" s="30"/>
      <c r="J170" s="90" t="s">
        <v>228</v>
      </c>
      <c r="K170" s="30"/>
      <c r="L170" s="21" t="s">
        <v>228</v>
      </c>
    </row>
    <row r="171" spans="1:12" s="24" customFormat="1" ht="14.25" customHeight="1" x14ac:dyDescent="0.2">
      <c r="A171" s="62">
        <v>10.5</v>
      </c>
      <c r="B171" s="40" t="s">
        <v>121</v>
      </c>
      <c r="C171" s="8"/>
      <c r="D171" s="8"/>
      <c r="E171" s="174"/>
      <c r="F171" s="27"/>
      <c r="G171" s="27"/>
      <c r="H171" s="27"/>
      <c r="I171" s="47"/>
      <c r="J171" s="47"/>
      <c r="K171" s="47"/>
      <c r="L171" s="53"/>
    </row>
    <row r="172" spans="1:12" s="23" customFormat="1" ht="14.25" customHeight="1" x14ac:dyDescent="0.2">
      <c r="A172" s="55" t="s">
        <v>328</v>
      </c>
      <c r="B172" s="17" t="s">
        <v>40</v>
      </c>
      <c r="C172" s="16"/>
      <c r="D172" s="16"/>
      <c r="E172" s="206" t="s">
        <v>198</v>
      </c>
      <c r="F172" s="21" t="s">
        <v>83</v>
      </c>
      <c r="G172" s="130"/>
      <c r="H172" s="90" t="s">
        <v>228</v>
      </c>
      <c r="I172" s="30"/>
      <c r="J172" s="90" t="s">
        <v>228</v>
      </c>
      <c r="K172" s="30"/>
      <c r="L172" s="21" t="s">
        <v>228</v>
      </c>
    </row>
    <row r="173" spans="1:12" s="23" customFormat="1" ht="14.25" customHeight="1" x14ac:dyDescent="0.2">
      <c r="A173" s="55" t="s">
        <v>329</v>
      </c>
      <c r="B173" s="17" t="s">
        <v>39</v>
      </c>
      <c r="C173" s="16"/>
      <c r="D173" s="16"/>
      <c r="E173" s="206" t="s">
        <v>198</v>
      </c>
      <c r="F173" s="21" t="s">
        <v>83</v>
      </c>
      <c r="G173" s="130"/>
      <c r="H173" s="90" t="s">
        <v>228</v>
      </c>
      <c r="I173" s="30"/>
      <c r="J173" s="90" t="s">
        <v>228</v>
      </c>
      <c r="K173" s="30"/>
      <c r="L173" s="21" t="s">
        <v>228</v>
      </c>
    </row>
    <row r="174" spans="1:12" s="23" customFormat="1" ht="14.25" customHeight="1" x14ac:dyDescent="0.2">
      <c r="A174" s="55" t="s">
        <v>330</v>
      </c>
      <c r="B174" s="17" t="s">
        <v>5</v>
      </c>
      <c r="C174" s="16"/>
      <c r="D174" s="16"/>
      <c r="E174" s="206" t="s">
        <v>198</v>
      </c>
      <c r="F174" s="21" t="s">
        <v>83</v>
      </c>
      <c r="G174" s="130"/>
      <c r="H174" s="90" t="s">
        <v>228</v>
      </c>
      <c r="I174" s="30"/>
      <c r="J174" s="90" t="s">
        <v>228</v>
      </c>
      <c r="K174" s="30"/>
      <c r="L174" s="21" t="s">
        <v>228</v>
      </c>
    </row>
    <row r="175" spans="1:12" s="23" customFormat="1" ht="14.25" customHeight="1" x14ac:dyDescent="0.2">
      <c r="A175" s="55" t="s">
        <v>331</v>
      </c>
      <c r="B175" s="17" t="s">
        <v>1</v>
      </c>
      <c r="C175" s="16"/>
      <c r="D175" s="16"/>
      <c r="E175" s="206" t="s">
        <v>198</v>
      </c>
      <c r="F175" s="21" t="s">
        <v>83</v>
      </c>
      <c r="G175" s="130"/>
      <c r="H175" s="90" t="s">
        <v>228</v>
      </c>
      <c r="I175" s="30"/>
      <c r="J175" s="90" t="s">
        <v>228</v>
      </c>
      <c r="K175" s="30"/>
      <c r="L175" s="21" t="s">
        <v>228</v>
      </c>
    </row>
    <row r="176" spans="1:12" s="23" customFormat="1" ht="14.25" customHeight="1" x14ac:dyDescent="0.2">
      <c r="A176" s="55" t="s">
        <v>332</v>
      </c>
      <c r="B176" s="17" t="s">
        <v>2</v>
      </c>
      <c r="C176" s="16"/>
      <c r="D176" s="16"/>
      <c r="E176" s="206" t="s">
        <v>198</v>
      </c>
      <c r="F176" s="21" t="s">
        <v>83</v>
      </c>
      <c r="G176" s="130"/>
      <c r="H176" s="90" t="s">
        <v>228</v>
      </c>
      <c r="I176" s="30"/>
      <c r="J176" s="90" t="s">
        <v>228</v>
      </c>
      <c r="K176" s="30"/>
      <c r="L176" s="21" t="s">
        <v>228</v>
      </c>
    </row>
    <row r="177" spans="1:12" s="24" customFormat="1" ht="14.25" customHeight="1" x14ac:dyDescent="0.2">
      <c r="A177" s="62">
        <v>10.6</v>
      </c>
      <c r="B177" s="40" t="s">
        <v>270</v>
      </c>
      <c r="C177" s="8"/>
      <c r="D177" s="8"/>
      <c r="E177" s="174"/>
      <c r="F177" s="27"/>
      <c r="G177" s="27"/>
      <c r="H177" s="27"/>
      <c r="I177" s="47"/>
      <c r="J177" s="47"/>
      <c r="K177" s="47"/>
      <c r="L177" s="53"/>
    </row>
    <row r="178" spans="1:12" s="23" customFormat="1" ht="14.25" customHeight="1" x14ac:dyDescent="0.2">
      <c r="A178" s="55" t="s">
        <v>333</v>
      </c>
      <c r="B178" s="17" t="s">
        <v>40</v>
      </c>
      <c r="C178" s="16"/>
      <c r="D178" s="16"/>
      <c r="E178" s="206" t="s">
        <v>198</v>
      </c>
      <c r="F178" s="21" t="s">
        <v>83</v>
      </c>
      <c r="G178" s="130"/>
      <c r="H178" s="90" t="s">
        <v>228</v>
      </c>
      <c r="I178" s="30"/>
      <c r="J178" s="90" t="s">
        <v>228</v>
      </c>
      <c r="K178" s="30"/>
      <c r="L178" s="21" t="s">
        <v>228</v>
      </c>
    </row>
    <row r="179" spans="1:12" s="23" customFormat="1" ht="14.25" customHeight="1" x14ac:dyDescent="0.2">
      <c r="A179" s="55" t="s">
        <v>334</v>
      </c>
      <c r="B179" s="17" t="s">
        <v>39</v>
      </c>
      <c r="C179" s="16"/>
      <c r="D179" s="16"/>
      <c r="E179" s="198">
        <v>2</v>
      </c>
      <c r="F179" s="21" t="s">
        <v>29</v>
      </c>
      <c r="G179" s="126"/>
      <c r="H179" s="90"/>
      <c r="I179" s="30"/>
      <c r="J179" s="51"/>
      <c r="K179" s="30"/>
      <c r="L179" s="51"/>
    </row>
    <row r="180" spans="1:12" s="23" customFormat="1" ht="14.25" customHeight="1" x14ac:dyDescent="0.2">
      <c r="A180" s="55" t="s">
        <v>335</v>
      </c>
      <c r="B180" s="17" t="s">
        <v>5</v>
      </c>
      <c r="C180" s="16"/>
      <c r="D180" s="16"/>
      <c r="E180" s="206" t="s">
        <v>198</v>
      </c>
      <c r="F180" s="21" t="s">
        <v>83</v>
      </c>
      <c r="G180" s="130"/>
      <c r="H180" s="90" t="s">
        <v>228</v>
      </c>
      <c r="I180" s="30"/>
      <c r="J180" s="90" t="s">
        <v>228</v>
      </c>
      <c r="K180" s="30"/>
      <c r="L180" s="21" t="s">
        <v>228</v>
      </c>
    </row>
    <row r="181" spans="1:12" s="23" customFormat="1" ht="14.25" customHeight="1" x14ac:dyDescent="0.2">
      <c r="A181" s="55" t="s">
        <v>336</v>
      </c>
      <c r="B181" s="17" t="s">
        <v>1</v>
      </c>
      <c r="C181" s="16"/>
      <c r="D181" s="16"/>
      <c r="E181" s="206">
        <v>2</v>
      </c>
      <c r="F181" s="21" t="s">
        <v>29</v>
      </c>
      <c r="G181" s="130"/>
      <c r="H181" s="90"/>
      <c r="I181" s="30"/>
      <c r="J181" s="90"/>
      <c r="K181" s="30"/>
      <c r="L181" s="21"/>
    </row>
    <row r="182" spans="1:12" s="23" customFormat="1" ht="14.25" customHeight="1" x14ac:dyDescent="0.2">
      <c r="A182" s="55" t="s">
        <v>337</v>
      </c>
      <c r="B182" s="17" t="s">
        <v>2</v>
      </c>
      <c r="C182" s="16"/>
      <c r="D182" s="16"/>
      <c r="E182" s="206" t="s">
        <v>198</v>
      </c>
      <c r="F182" s="21" t="s">
        <v>83</v>
      </c>
      <c r="G182" s="130"/>
      <c r="H182" s="90" t="s">
        <v>228</v>
      </c>
      <c r="I182" s="30"/>
      <c r="J182" s="90" t="s">
        <v>228</v>
      </c>
      <c r="K182" s="30"/>
      <c r="L182" s="21" t="s">
        <v>228</v>
      </c>
    </row>
    <row r="183" spans="1:12" s="23" customFormat="1" ht="14.25" customHeight="1" x14ac:dyDescent="0.2">
      <c r="A183" s="55" t="s">
        <v>338</v>
      </c>
      <c r="B183" s="17" t="s">
        <v>7</v>
      </c>
      <c r="C183" s="16"/>
      <c r="D183" s="16"/>
      <c r="E183" s="206" t="s">
        <v>198</v>
      </c>
      <c r="F183" s="21" t="s">
        <v>83</v>
      </c>
      <c r="G183" s="130"/>
      <c r="H183" s="90" t="s">
        <v>228</v>
      </c>
      <c r="I183" s="30"/>
      <c r="J183" s="90" t="s">
        <v>228</v>
      </c>
      <c r="K183" s="30"/>
      <c r="L183" s="21" t="s">
        <v>228</v>
      </c>
    </row>
    <row r="184" spans="1:12" s="23" customFormat="1" ht="14.25" customHeight="1" x14ac:dyDescent="0.2">
      <c r="A184" s="55" t="s">
        <v>339</v>
      </c>
      <c r="B184" s="17" t="s">
        <v>38</v>
      </c>
      <c r="C184" s="16"/>
      <c r="D184" s="109"/>
      <c r="E184" s="206" t="s">
        <v>198</v>
      </c>
      <c r="F184" s="21" t="s">
        <v>83</v>
      </c>
      <c r="G184" s="130"/>
      <c r="H184" s="90" t="s">
        <v>228</v>
      </c>
      <c r="I184" s="30"/>
      <c r="J184" s="90" t="s">
        <v>228</v>
      </c>
      <c r="K184" s="30"/>
      <c r="L184" s="21" t="s">
        <v>228</v>
      </c>
    </row>
    <row r="185" spans="1:12" s="23" customFormat="1" ht="14.25" customHeight="1" x14ac:dyDescent="0.2">
      <c r="A185" s="55" t="s">
        <v>340</v>
      </c>
      <c r="B185" s="17" t="s">
        <v>19</v>
      </c>
      <c r="C185" s="16"/>
      <c r="D185" s="16"/>
      <c r="E185" s="206" t="s">
        <v>198</v>
      </c>
      <c r="F185" s="21" t="s">
        <v>83</v>
      </c>
      <c r="G185" s="130"/>
      <c r="H185" s="90" t="s">
        <v>228</v>
      </c>
      <c r="I185" s="30"/>
      <c r="J185" s="90" t="s">
        <v>228</v>
      </c>
      <c r="K185" s="30"/>
      <c r="L185" s="21" t="s">
        <v>228</v>
      </c>
    </row>
    <row r="186" spans="1:12" s="23" customFormat="1" ht="14.25" customHeight="1" x14ac:dyDescent="0.2">
      <c r="A186" s="55" t="s">
        <v>341</v>
      </c>
      <c r="B186" s="17" t="s">
        <v>20</v>
      </c>
      <c r="C186" s="16"/>
      <c r="D186" s="16"/>
      <c r="E186" s="206" t="s">
        <v>198</v>
      </c>
      <c r="F186" s="21" t="s">
        <v>83</v>
      </c>
      <c r="G186" s="130"/>
      <c r="H186" s="90" t="s">
        <v>228</v>
      </c>
      <c r="I186" s="30"/>
      <c r="J186" s="90" t="s">
        <v>228</v>
      </c>
      <c r="K186" s="30"/>
      <c r="L186" s="21" t="s">
        <v>228</v>
      </c>
    </row>
    <row r="187" spans="1:12" s="23" customFormat="1" ht="14.25" customHeight="1" x14ac:dyDescent="0.2">
      <c r="A187" s="55" t="s">
        <v>342</v>
      </c>
      <c r="B187" s="17" t="s">
        <v>8</v>
      </c>
      <c r="C187" s="16"/>
      <c r="D187" s="16"/>
      <c r="E187" s="205">
        <f>4+2</f>
        <v>6</v>
      </c>
      <c r="F187" s="21" t="s">
        <v>29</v>
      </c>
      <c r="G187" s="132"/>
      <c r="H187" s="90"/>
      <c r="I187" s="30"/>
      <c r="J187" s="51"/>
      <c r="K187" s="30"/>
      <c r="L187" s="51"/>
    </row>
    <row r="188" spans="1:12" s="23" customFormat="1" ht="14.25" customHeight="1" x14ac:dyDescent="0.2">
      <c r="A188" s="55" t="s">
        <v>343</v>
      </c>
      <c r="B188" s="17" t="s">
        <v>9</v>
      </c>
      <c r="C188" s="16"/>
      <c r="D188" s="16"/>
      <c r="E188" s="206" t="s">
        <v>198</v>
      </c>
      <c r="F188" s="21" t="s">
        <v>83</v>
      </c>
      <c r="G188" s="130"/>
      <c r="H188" s="90" t="s">
        <v>228</v>
      </c>
      <c r="I188" s="30"/>
      <c r="J188" s="90" t="s">
        <v>228</v>
      </c>
      <c r="K188" s="30"/>
      <c r="L188" s="21" t="s">
        <v>228</v>
      </c>
    </row>
    <row r="189" spans="1:12" s="24" customFormat="1" ht="14.25" customHeight="1" x14ac:dyDescent="0.2">
      <c r="A189" s="62">
        <v>10.7</v>
      </c>
      <c r="B189" s="40" t="s">
        <v>280</v>
      </c>
      <c r="C189" s="8"/>
      <c r="D189" s="8"/>
      <c r="E189" s="174"/>
      <c r="F189" s="27"/>
      <c r="G189" s="27"/>
      <c r="H189" s="27"/>
      <c r="I189" s="47"/>
      <c r="J189" s="47"/>
      <c r="K189" s="47"/>
      <c r="L189" s="53"/>
    </row>
    <row r="190" spans="1:12" s="23" customFormat="1" ht="14.25" customHeight="1" x14ac:dyDescent="0.2">
      <c r="A190" s="55" t="s">
        <v>344</v>
      </c>
      <c r="B190" s="17" t="s">
        <v>9</v>
      </c>
      <c r="C190" s="16"/>
      <c r="D190" s="16"/>
      <c r="E190" s="206" t="s">
        <v>198</v>
      </c>
      <c r="F190" s="21" t="s">
        <v>83</v>
      </c>
      <c r="G190" s="130"/>
      <c r="H190" s="90" t="s">
        <v>228</v>
      </c>
      <c r="I190" s="30"/>
      <c r="J190" s="90" t="s">
        <v>228</v>
      </c>
      <c r="K190" s="30"/>
      <c r="L190" s="21" t="s">
        <v>228</v>
      </c>
    </row>
    <row r="191" spans="1:12" s="23" customFormat="1" ht="14.25" customHeight="1" x14ac:dyDescent="0.2">
      <c r="A191" s="55" t="s">
        <v>345</v>
      </c>
      <c r="B191" s="17" t="s">
        <v>10</v>
      </c>
      <c r="C191" s="16"/>
      <c r="D191" s="109"/>
      <c r="E191" s="206" t="s">
        <v>198</v>
      </c>
      <c r="F191" s="21" t="s">
        <v>83</v>
      </c>
      <c r="G191" s="130"/>
      <c r="H191" s="90" t="s">
        <v>228</v>
      </c>
      <c r="I191" s="30"/>
      <c r="J191" s="90" t="s">
        <v>228</v>
      </c>
      <c r="K191" s="30"/>
      <c r="L191" s="21" t="s">
        <v>228</v>
      </c>
    </row>
    <row r="192" spans="1:12" s="23" customFormat="1" ht="14.25" customHeight="1" x14ac:dyDescent="0.2">
      <c r="A192" s="55" t="s">
        <v>346</v>
      </c>
      <c r="B192" s="17" t="s">
        <v>11</v>
      </c>
      <c r="C192" s="16"/>
      <c r="D192" s="16"/>
      <c r="E192" s="205">
        <v>6</v>
      </c>
      <c r="F192" s="21" t="s">
        <v>29</v>
      </c>
      <c r="G192" s="132"/>
      <c r="H192" s="90"/>
      <c r="I192" s="30"/>
      <c r="J192" s="51"/>
      <c r="K192" s="30"/>
      <c r="L192" s="51"/>
    </row>
    <row r="193" spans="1:12" s="24" customFormat="1" ht="14.25" customHeight="1" x14ac:dyDescent="0.2">
      <c r="A193" s="62">
        <v>10.8</v>
      </c>
      <c r="B193" s="40" t="s">
        <v>131</v>
      </c>
      <c r="C193" s="8"/>
      <c r="D193" s="8"/>
      <c r="E193" s="174"/>
      <c r="F193" s="27"/>
      <c r="G193" s="27"/>
      <c r="H193" s="27"/>
      <c r="I193" s="47"/>
      <c r="J193" s="47"/>
      <c r="K193" s="47"/>
      <c r="L193" s="53"/>
    </row>
    <row r="194" spans="1:12" s="23" customFormat="1" ht="14.25" customHeight="1" x14ac:dyDescent="0.2">
      <c r="A194" s="55" t="s">
        <v>347</v>
      </c>
      <c r="B194" s="17" t="s">
        <v>9</v>
      </c>
      <c r="C194" s="16"/>
      <c r="D194" s="16"/>
      <c r="E194" s="206" t="s">
        <v>198</v>
      </c>
      <c r="F194" s="21" t="s">
        <v>83</v>
      </c>
      <c r="G194" s="130"/>
      <c r="H194" s="90" t="s">
        <v>228</v>
      </c>
      <c r="I194" s="30"/>
      <c r="J194" s="90" t="s">
        <v>228</v>
      </c>
      <c r="K194" s="30"/>
      <c r="L194" s="21" t="s">
        <v>228</v>
      </c>
    </row>
    <row r="195" spans="1:12" s="23" customFormat="1" ht="14.25" customHeight="1" x14ac:dyDescent="0.2">
      <c r="A195" s="55" t="s">
        <v>348</v>
      </c>
      <c r="B195" s="17" t="s">
        <v>10</v>
      </c>
      <c r="C195" s="16"/>
      <c r="D195" s="109"/>
      <c r="E195" s="206" t="s">
        <v>198</v>
      </c>
      <c r="F195" s="21" t="s">
        <v>83</v>
      </c>
      <c r="G195" s="130"/>
      <c r="H195" s="90" t="s">
        <v>228</v>
      </c>
      <c r="I195" s="30"/>
      <c r="J195" s="90" t="s">
        <v>228</v>
      </c>
      <c r="K195" s="30"/>
      <c r="L195" s="21" t="s">
        <v>228</v>
      </c>
    </row>
    <row r="196" spans="1:12" s="23" customFormat="1" ht="14.25" customHeight="1" x14ac:dyDescent="0.2">
      <c r="A196" s="55" t="s">
        <v>349</v>
      </c>
      <c r="B196" s="17" t="s">
        <v>11</v>
      </c>
      <c r="C196" s="16"/>
      <c r="D196" s="16"/>
      <c r="E196" s="205">
        <v>11</v>
      </c>
      <c r="F196" s="21" t="s">
        <v>29</v>
      </c>
      <c r="G196" s="132"/>
      <c r="H196" s="90"/>
      <c r="I196" s="30"/>
      <c r="J196" s="51"/>
      <c r="K196" s="30"/>
      <c r="L196" s="51"/>
    </row>
    <row r="197" spans="1:12" s="23" customFormat="1" ht="14.25" customHeight="1" x14ac:dyDescent="0.2">
      <c r="A197" s="55" t="s">
        <v>350</v>
      </c>
      <c r="B197" s="38" t="s">
        <v>281</v>
      </c>
      <c r="C197" s="85"/>
      <c r="D197" s="16"/>
      <c r="E197" s="201">
        <v>8</v>
      </c>
      <c r="F197" s="84" t="s">
        <v>29</v>
      </c>
      <c r="G197" s="133"/>
      <c r="H197" s="92"/>
      <c r="I197" s="45"/>
      <c r="J197" s="51"/>
      <c r="K197" s="45"/>
      <c r="L197" s="51"/>
    </row>
    <row r="198" spans="1:12" s="24" customFormat="1" ht="14.25" customHeight="1" x14ac:dyDescent="0.2">
      <c r="A198" s="62">
        <v>10.9</v>
      </c>
      <c r="B198" s="40" t="s">
        <v>122</v>
      </c>
      <c r="C198" s="8"/>
      <c r="D198" s="8"/>
      <c r="E198" s="174"/>
      <c r="F198" s="27"/>
      <c r="G198" s="27"/>
      <c r="H198" s="27"/>
      <c r="I198" s="47"/>
      <c r="J198" s="47"/>
      <c r="K198" s="47"/>
      <c r="L198" s="53"/>
    </row>
    <row r="199" spans="1:12" s="23" customFormat="1" ht="14.25" customHeight="1" x14ac:dyDescent="0.2">
      <c r="A199" s="55" t="s">
        <v>351</v>
      </c>
      <c r="B199" s="17" t="s">
        <v>40</v>
      </c>
      <c r="C199" s="16"/>
      <c r="D199" s="16"/>
      <c r="E199" s="206" t="s">
        <v>198</v>
      </c>
      <c r="F199" s="21" t="s">
        <v>83</v>
      </c>
      <c r="G199" s="130"/>
      <c r="H199" s="90" t="s">
        <v>228</v>
      </c>
      <c r="I199" s="30"/>
      <c r="J199" s="90" t="s">
        <v>228</v>
      </c>
      <c r="K199" s="30"/>
      <c r="L199" s="21" t="s">
        <v>228</v>
      </c>
    </row>
    <row r="200" spans="1:12" s="23" customFormat="1" ht="14.25" customHeight="1" x14ac:dyDescent="0.2">
      <c r="A200" s="55" t="s">
        <v>352</v>
      </c>
      <c r="B200" s="17" t="s">
        <v>39</v>
      </c>
      <c r="C200" s="16"/>
      <c r="D200" s="16"/>
      <c r="E200" s="206" t="s">
        <v>198</v>
      </c>
      <c r="F200" s="21" t="s">
        <v>83</v>
      </c>
      <c r="G200" s="130"/>
      <c r="H200" s="90" t="s">
        <v>228</v>
      </c>
      <c r="I200" s="30"/>
      <c r="J200" s="90" t="s">
        <v>228</v>
      </c>
      <c r="K200" s="30"/>
      <c r="L200" s="21" t="s">
        <v>228</v>
      </c>
    </row>
    <row r="201" spans="1:12" s="23" customFormat="1" ht="14.25" customHeight="1" x14ac:dyDescent="0.2">
      <c r="A201" s="55" t="s">
        <v>353</v>
      </c>
      <c r="B201" s="17" t="s">
        <v>5</v>
      </c>
      <c r="C201" s="16"/>
      <c r="D201" s="16"/>
      <c r="E201" s="206" t="s">
        <v>198</v>
      </c>
      <c r="F201" s="21" t="s">
        <v>83</v>
      </c>
      <c r="G201" s="130"/>
      <c r="H201" s="90" t="s">
        <v>228</v>
      </c>
      <c r="I201" s="30"/>
      <c r="J201" s="90" t="s">
        <v>228</v>
      </c>
      <c r="K201" s="30"/>
      <c r="L201" s="21" t="s">
        <v>228</v>
      </c>
    </row>
    <row r="202" spans="1:12" s="23" customFormat="1" ht="14.25" customHeight="1" x14ac:dyDescent="0.2">
      <c r="A202" s="55" t="s">
        <v>354</v>
      </c>
      <c r="B202" s="17" t="s">
        <v>1</v>
      </c>
      <c r="C202" s="16"/>
      <c r="D202" s="16"/>
      <c r="E202" s="206" t="s">
        <v>198</v>
      </c>
      <c r="F202" s="21" t="s">
        <v>83</v>
      </c>
      <c r="G202" s="130"/>
      <c r="H202" s="90" t="s">
        <v>228</v>
      </c>
      <c r="I202" s="30"/>
      <c r="J202" s="90" t="s">
        <v>228</v>
      </c>
      <c r="K202" s="30"/>
      <c r="L202" s="21" t="s">
        <v>228</v>
      </c>
    </row>
    <row r="203" spans="1:12" s="23" customFormat="1" ht="14.25" customHeight="1" x14ac:dyDescent="0.2">
      <c r="A203" s="55" t="s">
        <v>355</v>
      </c>
      <c r="B203" s="17" t="s">
        <v>2</v>
      </c>
      <c r="C203" s="16"/>
      <c r="D203" s="16"/>
      <c r="E203" s="206" t="s">
        <v>198</v>
      </c>
      <c r="F203" s="21" t="s">
        <v>83</v>
      </c>
      <c r="G203" s="130"/>
      <c r="H203" s="90" t="s">
        <v>228</v>
      </c>
      <c r="I203" s="30"/>
      <c r="J203" s="90" t="s">
        <v>228</v>
      </c>
      <c r="K203" s="30"/>
      <c r="L203" s="21" t="s">
        <v>228</v>
      </c>
    </row>
    <row r="204" spans="1:12" s="24" customFormat="1" ht="14.25" customHeight="1" x14ac:dyDescent="0.2">
      <c r="A204" s="63">
        <v>10.1</v>
      </c>
      <c r="B204" s="40" t="s">
        <v>272</v>
      </c>
      <c r="C204" s="8"/>
      <c r="D204" s="8"/>
      <c r="E204" s="174"/>
      <c r="F204" s="27"/>
      <c r="G204" s="27"/>
      <c r="H204" s="27"/>
      <c r="I204" s="47"/>
      <c r="J204" s="47"/>
      <c r="K204" s="47"/>
      <c r="L204" s="53"/>
    </row>
    <row r="205" spans="1:12" s="23" customFormat="1" ht="14.25" customHeight="1" x14ac:dyDescent="0.2">
      <c r="A205" s="55" t="s">
        <v>356</v>
      </c>
      <c r="B205" s="17" t="s">
        <v>40</v>
      </c>
      <c r="C205" s="16"/>
      <c r="D205" s="16"/>
      <c r="E205" s="206" t="s">
        <v>198</v>
      </c>
      <c r="F205" s="21" t="s">
        <v>83</v>
      </c>
      <c r="G205" s="130"/>
      <c r="H205" s="90" t="s">
        <v>228</v>
      </c>
      <c r="I205" s="30"/>
      <c r="J205" s="90" t="s">
        <v>228</v>
      </c>
      <c r="K205" s="30"/>
      <c r="L205" s="21" t="s">
        <v>228</v>
      </c>
    </row>
    <row r="206" spans="1:12" s="23" customFormat="1" ht="14.25" customHeight="1" x14ac:dyDescent="0.2">
      <c r="A206" s="55" t="s">
        <v>357</v>
      </c>
      <c r="B206" s="17" t="s">
        <v>39</v>
      </c>
      <c r="C206" s="16"/>
      <c r="D206" s="16"/>
      <c r="E206" s="198">
        <v>4</v>
      </c>
      <c r="F206" s="21" t="s">
        <v>29</v>
      </c>
      <c r="G206" s="126"/>
      <c r="H206" s="90"/>
      <c r="I206" s="30"/>
      <c r="J206" s="51"/>
      <c r="K206" s="30"/>
      <c r="L206" s="51"/>
    </row>
    <row r="207" spans="1:12" s="23" customFormat="1" ht="14.25" customHeight="1" x14ac:dyDescent="0.2">
      <c r="A207" s="55" t="s">
        <v>358</v>
      </c>
      <c r="B207" s="17" t="s">
        <v>5</v>
      </c>
      <c r="C207" s="16"/>
      <c r="D207" s="16"/>
      <c r="E207" s="206" t="s">
        <v>198</v>
      </c>
      <c r="F207" s="21" t="s">
        <v>83</v>
      </c>
      <c r="G207" s="130"/>
      <c r="H207" s="90" t="s">
        <v>228</v>
      </c>
      <c r="I207" s="30"/>
      <c r="J207" s="90" t="s">
        <v>228</v>
      </c>
      <c r="K207" s="30"/>
      <c r="L207" s="21" t="s">
        <v>228</v>
      </c>
    </row>
    <row r="208" spans="1:12" s="23" customFormat="1" ht="14.25" customHeight="1" x14ac:dyDescent="0.2">
      <c r="A208" s="55" t="s">
        <v>359</v>
      </c>
      <c r="B208" s="17" t="s">
        <v>1</v>
      </c>
      <c r="C208" s="16"/>
      <c r="D208" s="16"/>
      <c r="E208" s="206" t="s">
        <v>198</v>
      </c>
      <c r="F208" s="21" t="s">
        <v>83</v>
      </c>
      <c r="G208" s="130"/>
      <c r="H208" s="90" t="s">
        <v>228</v>
      </c>
      <c r="I208" s="30"/>
      <c r="J208" s="90" t="s">
        <v>228</v>
      </c>
      <c r="K208" s="30"/>
      <c r="L208" s="21" t="s">
        <v>228</v>
      </c>
    </row>
    <row r="209" spans="1:12" s="23" customFormat="1" ht="14.25" customHeight="1" x14ac:dyDescent="0.2">
      <c r="A209" s="55" t="s">
        <v>360</v>
      </c>
      <c r="B209" s="17" t="s">
        <v>2</v>
      </c>
      <c r="C209" s="16"/>
      <c r="D209" s="16"/>
      <c r="E209" s="206" t="s">
        <v>198</v>
      </c>
      <c r="F209" s="21" t="s">
        <v>83</v>
      </c>
      <c r="G209" s="130"/>
      <c r="H209" s="90" t="s">
        <v>228</v>
      </c>
      <c r="I209" s="30"/>
      <c r="J209" s="90" t="s">
        <v>228</v>
      </c>
      <c r="K209" s="30"/>
      <c r="L209" s="21" t="s">
        <v>228</v>
      </c>
    </row>
    <row r="210" spans="1:12" s="24" customFormat="1" ht="14.25" customHeight="1" x14ac:dyDescent="0.2">
      <c r="A210" s="63">
        <v>10.11</v>
      </c>
      <c r="B210" s="40" t="s">
        <v>132</v>
      </c>
      <c r="C210" s="8"/>
      <c r="D210" s="8"/>
      <c r="E210" s="174"/>
      <c r="F210" s="27"/>
      <c r="G210" s="27"/>
      <c r="H210" s="27"/>
      <c r="I210" s="47"/>
      <c r="J210" s="47"/>
      <c r="K210" s="47"/>
      <c r="L210" s="53"/>
    </row>
    <row r="211" spans="1:12" s="23" customFormat="1" ht="14.25" customHeight="1" x14ac:dyDescent="0.2">
      <c r="A211" s="55" t="s">
        <v>276</v>
      </c>
      <c r="B211" s="17" t="s">
        <v>39</v>
      </c>
      <c r="C211" s="16"/>
      <c r="D211" s="16"/>
      <c r="E211" s="198">
        <v>2</v>
      </c>
      <c r="F211" s="21" t="s">
        <v>29</v>
      </c>
      <c r="G211" s="126"/>
      <c r="H211" s="90"/>
      <c r="I211" s="30"/>
      <c r="J211" s="51"/>
      <c r="K211" s="30"/>
      <c r="L211" s="51"/>
    </row>
    <row r="212" spans="1:12" s="23" customFormat="1" ht="14.25" customHeight="1" x14ac:dyDescent="0.2">
      <c r="A212" s="55" t="s">
        <v>277</v>
      </c>
      <c r="B212" s="17" t="s">
        <v>5</v>
      </c>
      <c r="C212" s="16"/>
      <c r="D212" s="16"/>
      <c r="E212" s="206">
        <v>2</v>
      </c>
      <c r="F212" s="21" t="s">
        <v>29</v>
      </c>
      <c r="G212" s="130"/>
      <c r="H212" s="90"/>
      <c r="I212" s="30"/>
      <c r="J212" s="90"/>
      <c r="K212" s="30"/>
      <c r="L212" s="21"/>
    </row>
    <row r="213" spans="1:12" s="23" customFormat="1" ht="14.25" customHeight="1" x14ac:dyDescent="0.2">
      <c r="A213" s="55" t="s">
        <v>278</v>
      </c>
      <c r="B213" s="17" t="s">
        <v>6</v>
      </c>
      <c r="C213" s="16"/>
      <c r="D213" s="16"/>
      <c r="E213" s="206" t="s">
        <v>198</v>
      </c>
      <c r="F213" s="21" t="s">
        <v>83</v>
      </c>
      <c r="G213" s="130"/>
      <c r="H213" s="90" t="s">
        <v>228</v>
      </c>
      <c r="I213" s="30"/>
      <c r="J213" s="90" t="s">
        <v>228</v>
      </c>
      <c r="K213" s="30"/>
      <c r="L213" s="21" t="s">
        <v>228</v>
      </c>
    </row>
    <row r="214" spans="1:12" s="23" customFormat="1" ht="14.25" customHeight="1" x14ac:dyDescent="0.2">
      <c r="A214" s="55" t="s">
        <v>361</v>
      </c>
      <c r="B214" s="17" t="s">
        <v>33</v>
      </c>
      <c r="C214" s="16"/>
      <c r="D214" s="16"/>
      <c r="E214" s="206" t="s">
        <v>198</v>
      </c>
      <c r="F214" s="21" t="s">
        <v>83</v>
      </c>
      <c r="G214" s="130"/>
      <c r="H214" s="90" t="s">
        <v>228</v>
      </c>
      <c r="I214" s="30"/>
      <c r="J214" s="90" t="s">
        <v>228</v>
      </c>
      <c r="K214" s="30"/>
      <c r="L214" s="21" t="s">
        <v>228</v>
      </c>
    </row>
    <row r="215" spans="1:12" s="23" customFormat="1" ht="14.25" customHeight="1" x14ac:dyDescent="0.2">
      <c r="A215" s="55" t="s">
        <v>362</v>
      </c>
      <c r="B215" s="17" t="s">
        <v>7</v>
      </c>
      <c r="C215" s="16"/>
      <c r="D215" s="16"/>
      <c r="E215" s="206" t="s">
        <v>198</v>
      </c>
      <c r="F215" s="21" t="s">
        <v>83</v>
      </c>
      <c r="G215" s="130"/>
      <c r="H215" s="90" t="s">
        <v>228</v>
      </c>
      <c r="I215" s="30"/>
      <c r="J215" s="90" t="s">
        <v>228</v>
      </c>
      <c r="K215" s="30"/>
      <c r="L215" s="21" t="s">
        <v>228</v>
      </c>
    </row>
    <row r="216" spans="1:12" s="23" customFormat="1" ht="14.25" customHeight="1" x14ac:dyDescent="0.2">
      <c r="A216" s="55" t="s">
        <v>363</v>
      </c>
      <c r="B216" s="17" t="s">
        <v>38</v>
      </c>
      <c r="C216" s="16"/>
      <c r="D216" s="109"/>
      <c r="E216" s="206" t="s">
        <v>198</v>
      </c>
      <c r="F216" s="21" t="s">
        <v>83</v>
      </c>
      <c r="G216" s="130"/>
      <c r="H216" s="90" t="s">
        <v>228</v>
      </c>
      <c r="I216" s="30"/>
      <c r="J216" s="90" t="s">
        <v>228</v>
      </c>
      <c r="K216" s="30"/>
      <c r="L216" s="21" t="s">
        <v>228</v>
      </c>
    </row>
    <row r="217" spans="1:12" s="23" customFormat="1" ht="14.25" customHeight="1" x14ac:dyDescent="0.2">
      <c r="A217" s="55" t="s">
        <v>364</v>
      </c>
      <c r="B217" s="17" t="s">
        <v>19</v>
      </c>
      <c r="C217" s="16"/>
      <c r="D217" s="16"/>
      <c r="E217" s="206" t="s">
        <v>198</v>
      </c>
      <c r="F217" s="21" t="s">
        <v>83</v>
      </c>
      <c r="G217" s="130"/>
      <c r="H217" s="90" t="s">
        <v>228</v>
      </c>
      <c r="I217" s="30"/>
      <c r="J217" s="90" t="s">
        <v>228</v>
      </c>
      <c r="K217" s="30"/>
      <c r="L217" s="21" t="s">
        <v>228</v>
      </c>
    </row>
    <row r="218" spans="1:12" s="24" customFormat="1" ht="14.25" customHeight="1" x14ac:dyDescent="0.2">
      <c r="A218" s="63">
        <v>10.119999999999999</v>
      </c>
      <c r="B218" s="40" t="s">
        <v>274</v>
      </c>
      <c r="C218" s="8"/>
      <c r="D218" s="8"/>
      <c r="E218" s="174"/>
      <c r="F218" s="27"/>
      <c r="G218" s="27"/>
      <c r="H218" s="27"/>
      <c r="I218" s="47"/>
      <c r="J218" s="47"/>
      <c r="K218" s="47"/>
      <c r="L218" s="53"/>
    </row>
    <row r="219" spans="1:12" s="23" customFormat="1" ht="14.25" customHeight="1" x14ac:dyDescent="0.2">
      <c r="A219" s="55" t="s">
        <v>365</v>
      </c>
      <c r="B219" s="17" t="s">
        <v>5</v>
      </c>
      <c r="C219" s="16"/>
      <c r="D219" s="16"/>
      <c r="E219" s="205">
        <v>2</v>
      </c>
      <c r="F219" s="21" t="s">
        <v>29</v>
      </c>
      <c r="G219" s="132"/>
      <c r="H219" s="90"/>
      <c r="I219" s="30"/>
      <c r="J219" s="51"/>
      <c r="K219" s="30"/>
      <c r="L219" s="51"/>
    </row>
    <row r="220" spans="1:12" s="23" customFormat="1" ht="14.25" customHeight="1" x14ac:dyDescent="0.2">
      <c r="A220" s="55" t="s">
        <v>366</v>
      </c>
      <c r="B220" s="17" t="s">
        <v>6</v>
      </c>
      <c r="C220" s="16"/>
      <c r="D220" s="16"/>
      <c r="E220" s="205">
        <f>3+4</f>
        <v>7</v>
      </c>
      <c r="F220" s="21" t="s">
        <v>29</v>
      </c>
      <c r="G220" s="132"/>
      <c r="H220" s="90"/>
      <c r="I220" s="30"/>
      <c r="J220" s="51"/>
      <c r="K220" s="30"/>
      <c r="L220" s="51"/>
    </row>
    <row r="221" spans="1:12" s="23" customFormat="1" ht="14.25" customHeight="1" x14ac:dyDescent="0.2">
      <c r="A221" s="55" t="s">
        <v>367</v>
      </c>
      <c r="B221" s="17" t="s">
        <v>33</v>
      </c>
      <c r="C221" s="16"/>
      <c r="D221" s="16"/>
      <c r="E221" s="206" t="s">
        <v>198</v>
      </c>
      <c r="F221" s="21" t="s">
        <v>83</v>
      </c>
      <c r="G221" s="130"/>
      <c r="H221" s="90" t="s">
        <v>228</v>
      </c>
      <c r="I221" s="30"/>
      <c r="J221" s="90" t="s">
        <v>228</v>
      </c>
      <c r="K221" s="30"/>
      <c r="L221" s="21" t="s">
        <v>228</v>
      </c>
    </row>
    <row r="222" spans="1:12" s="23" customFormat="1" ht="14.25" customHeight="1" x14ac:dyDescent="0.2">
      <c r="A222" s="55" t="s">
        <v>368</v>
      </c>
      <c r="B222" s="17" t="s">
        <v>7</v>
      </c>
      <c r="C222" s="16"/>
      <c r="D222" s="16"/>
      <c r="E222" s="206" t="s">
        <v>198</v>
      </c>
      <c r="F222" s="21" t="s">
        <v>83</v>
      </c>
      <c r="G222" s="130"/>
      <c r="H222" s="90" t="s">
        <v>228</v>
      </c>
      <c r="I222" s="30"/>
      <c r="J222" s="90" t="s">
        <v>228</v>
      </c>
      <c r="K222" s="30"/>
      <c r="L222" s="21" t="s">
        <v>228</v>
      </c>
    </row>
    <row r="223" spans="1:12" s="23" customFormat="1" ht="14.25" customHeight="1" x14ac:dyDescent="0.2">
      <c r="A223" s="55" t="s">
        <v>369</v>
      </c>
      <c r="B223" s="17" t="s">
        <v>38</v>
      </c>
      <c r="C223" s="16"/>
      <c r="D223" s="109"/>
      <c r="E223" s="206" t="s">
        <v>198</v>
      </c>
      <c r="F223" s="21" t="s">
        <v>83</v>
      </c>
      <c r="G223" s="130"/>
      <c r="H223" s="90" t="s">
        <v>228</v>
      </c>
      <c r="I223" s="30"/>
      <c r="J223" s="90" t="s">
        <v>228</v>
      </c>
      <c r="K223" s="30"/>
      <c r="L223" s="21" t="s">
        <v>228</v>
      </c>
    </row>
    <row r="224" spans="1:12" s="23" customFormat="1" ht="14.25" customHeight="1" x14ac:dyDescent="0.2">
      <c r="A224" s="55" t="s">
        <v>370</v>
      </c>
      <c r="B224" s="17" t="s">
        <v>19</v>
      </c>
      <c r="C224" s="16"/>
      <c r="D224" s="16"/>
      <c r="E224" s="206" t="s">
        <v>198</v>
      </c>
      <c r="F224" s="21" t="s">
        <v>83</v>
      </c>
      <c r="G224" s="130"/>
      <c r="H224" s="90" t="s">
        <v>228</v>
      </c>
      <c r="I224" s="30"/>
      <c r="J224" s="90" t="s">
        <v>228</v>
      </c>
      <c r="K224" s="30"/>
      <c r="L224" s="21" t="s">
        <v>228</v>
      </c>
    </row>
    <row r="225" spans="1:12" s="24" customFormat="1" ht="14.25" customHeight="1" x14ac:dyDescent="0.2">
      <c r="A225" s="63">
        <v>10.130000000000001</v>
      </c>
      <c r="B225" s="40" t="s">
        <v>123</v>
      </c>
      <c r="C225" s="8"/>
      <c r="D225" s="8"/>
      <c r="E225" s="174"/>
      <c r="F225" s="27"/>
      <c r="G225" s="27"/>
      <c r="H225" s="27"/>
      <c r="I225" s="47"/>
      <c r="J225" s="47"/>
      <c r="K225" s="47"/>
      <c r="L225" s="53"/>
    </row>
    <row r="226" spans="1:12" s="23" customFormat="1" ht="14.25" customHeight="1" x14ac:dyDescent="0.2">
      <c r="A226" s="55" t="s">
        <v>371</v>
      </c>
      <c r="B226" s="17" t="s">
        <v>40</v>
      </c>
      <c r="C226" s="16"/>
      <c r="D226" s="16"/>
      <c r="E226" s="206" t="s">
        <v>198</v>
      </c>
      <c r="F226" s="21" t="s">
        <v>83</v>
      </c>
      <c r="G226" s="130"/>
      <c r="H226" s="90" t="s">
        <v>228</v>
      </c>
      <c r="I226" s="30"/>
      <c r="J226" s="90" t="s">
        <v>228</v>
      </c>
      <c r="K226" s="30"/>
      <c r="L226" s="21" t="s">
        <v>228</v>
      </c>
    </row>
    <row r="227" spans="1:12" s="23" customFormat="1" ht="14.25" customHeight="1" x14ac:dyDescent="0.2">
      <c r="A227" s="55" t="s">
        <v>372</v>
      </c>
      <c r="B227" s="17" t="s">
        <v>39</v>
      </c>
      <c r="C227" s="16"/>
      <c r="D227" s="16"/>
      <c r="E227" s="206" t="s">
        <v>198</v>
      </c>
      <c r="F227" s="21" t="s">
        <v>83</v>
      </c>
      <c r="G227" s="130"/>
      <c r="H227" s="90" t="s">
        <v>228</v>
      </c>
      <c r="I227" s="30"/>
      <c r="J227" s="90" t="s">
        <v>228</v>
      </c>
      <c r="K227" s="30"/>
      <c r="L227" s="21" t="s">
        <v>228</v>
      </c>
    </row>
    <row r="228" spans="1:12" s="23" customFormat="1" ht="14.25" customHeight="1" x14ac:dyDescent="0.2">
      <c r="A228" s="55" t="s">
        <v>373</v>
      </c>
      <c r="B228" s="17" t="s">
        <v>5</v>
      </c>
      <c r="C228" s="16"/>
      <c r="D228" s="16"/>
      <c r="E228" s="206" t="s">
        <v>198</v>
      </c>
      <c r="F228" s="21" t="s">
        <v>83</v>
      </c>
      <c r="G228" s="130"/>
      <c r="H228" s="90" t="s">
        <v>228</v>
      </c>
      <c r="I228" s="30"/>
      <c r="J228" s="90" t="s">
        <v>228</v>
      </c>
      <c r="K228" s="30"/>
      <c r="L228" s="21" t="s">
        <v>228</v>
      </c>
    </row>
    <row r="229" spans="1:12" s="23" customFormat="1" ht="14.25" customHeight="1" x14ac:dyDescent="0.2">
      <c r="A229" s="55" t="s">
        <v>374</v>
      </c>
      <c r="B229" s="17" t="s">
        <v>6</v>
      </c>
      <c r="C229" s="16"/>
      <c r="D229" s="16"/>
      <c r="E229" s="205">
        <f>3+2</f>
        <v>5</v>
      </c>
      <c r="F229" s="21" t="s">
        <v>29</v>
      </c>
      <c r="G229" s="132"/>
      <c r="H229" s="90"/>
      <c r="I229" s="30"/>
      <c r="J229" s="51"/>
      <c r="K229" s="30"/>
      <c r="L229" s="51"/>
    </row>
    <row r="230" spans="1:12" s="23" customFormat="1" ht="14.25" customHeight="1" x14ac:dyDescent="0.2">
      <c r="A230" s="55" t="s">
        <v>375</v>
      </c>
      <c r="B230" s="17" t="s">
        <v>2</v>
      </c>
      <c r="C230" s="16"/>
      <c r="D230" s="16"/>
      <c r="E230" s="206" t="s">
        <v>198</v>
      </c>
      <c r="F230" s="21" t="s">
        <v>83</v>
      </c>
      <c r="G230" s="130"/>
      <c r="H230" s="90" t="s">
        <v>228</v>
      </c>
      <c r="I230" s="30"/>
      <c r="J230" s="90" t="s">
        <v>228</v>
      </c>
      <c r="K230" s="30"/>
      <c r="L230" s="21" t="s">
        <v>228</v>
      </c>
    </row>
    <row r="231" spans="1:12" s="23" customFormat="1" ht="14.25" customHeight="1" x14ac:dyDescent="0.2">
      <c r="A231" s="55" t="s">
        <v>376</v>
      </c>
      <c r="B231" s="17" t="s">
        <v>7</v>
      </c>
      <c r="C231" s="16"/>
      <c r="D231" s="16"/>
      <c r="E231" s="205">
        <v>4</v>
      </c>
      <c r="F231" s="21" t="s">
        <v>29</v>
      </c>
      <c r="G231" s="132"/>
      <c r="H231" s="90"/>
      <c r="I231" s="45"/>
      <c r="J231" s="51"/>
      <c r="K231" s="45"/>
      <c r="L231" s="51"/>
    </row>
    <row r="232" spans="1:12" s="23" customFormat="1" ht="14.25" customHeight="1" x14ac:dyDescent="0.2">
      <c r="A232" s="55" t="s">
        <v>377</v>
      </c>
      <c r="B232" s="17" t="s">
        <v>38</v>
      </c>
      <c r="C232" s="16"/>
      <c r="D232" s="16"/>
      <c r="E232" s="206" t="s">
        <v>198</v>
      </c>
      <c r="F232" s="21" t="s">
        <v>83</v>
      </c>
      <c r="G232" s="130"/>
      <c r="H232" s="90" t="s">
        <v>228</v>
      </c>
      <c r="I232" s="30"/>
      <c r="J232" s="90" t="s">
        <v>228</v>
      </c>
      <c r="K232" s="30"/>
      <c r="L232" s="21" t="s">
        <v>228</v>
      </c>
    </row>
    <row r="233" spans="1:12" s="23" customFormat="1" ht="14.25" customHeight="1" x14ac:dyDescent="0.2">
      <c r="A233" s="55" t="s">
        <v>378</v>
      </c>
      <c r="B233" s="17" t="s">
        <v>19</v>
      </c>
      <c r="C233" s="16"/>
      <c r="D233" s="16"/>
      <c r="E233" s="205">
        <v>1</v>
      </c>
      <c r="F233" s="21" t="s">
        <v>83</v>
      </c>
      <c r="G233" s="132"/>
      <c r="H233" s="90"/>
      <c r="I233" s="30"/>
      <c r="J233" s="51"/>
      <c r="K233" s="30"/>
      <c r="L233" s="51"/>
    </row>
    <row r="234" spans="1:12" s="24" customFormat="1" ht="14.25" customHeight="1" x14ac:dyDescent="0.2">
      <c r="A234" s="63">
        <v>10.14</v>
      </c>
      <c r="B234" s="40" t="s">
        <v>271</v>
      </c>
      <c r="C234" s="8"/>
      <c r="D234" s="8"/>
      <c r="E234" s="174"/>
      <c r="F234" s="27"/>
      <c r="G234" s="27"/>
      <c r="H234" s="27"/>
      <c r="I234" s="47"/>
      <c r="J234" s="47"/>
      <c r="K234" s="47"/>
      <c r="L234" s="53"/>
    </row>
    <row r="235" spans="1:12" s="23" customFormat="1" ht="14.25" customHeight="1" x14ac:dyDescent="0.2">
      <c r="A235" s="55" t="s">
        <v>379</v>
      </c>
      <c r="B235" s="17" t="s">
        <v>40</v>
      </c>
      <c r="C235" s="16"/>
      <c r="D235" s="16"/>
      <c r="E235" s="206" t="s">
        <v>198</v>
      </c>
      <c r="F235" s="21" t="s">
        <v>83</v>
      </c>
      <c r="G235" s="130"/>
      <c r="H235" s="90" t="s">
        <v>228</v>
      </c>
      <c r="I235" s="30"/>
      <c r="J235" s="90" t="s">
        <v>228</v>
      </c>
      <c r="K235" s="30"/>
      <c r="L235" s="21" t="s">
        <v>228</v>
      </c>
    </row>
    <row r="236" spans="1:12" s="23" customFormat="1" ht="14.25" customHeight="1" x14ac:dyDescent="0.2">
      <c r="A236" s="55" t="s">
        <v>380</v>
      </c>
      <c r="B236" s="17" t="s">
        <v>39</v>
      </c>
      <c r="C236" s="16"/>
      <c r="D236" s="16"/>
      <c r="E236" s="198">
        <v>2</v>
      </c>
      <c r="F236" s="21" t="s">
        <v>29</v>
      </c>
      <c r="G236" s="126"/>
      <c r="H236" s="90"/>
      <c r="I236" s="30"/>
      <c r="J236" s="51"/>
      <c r="K236" s="30"/>
      <c r="L236" s="51"/>
    </row>
    <row r="237" spans="1:12" s="23" customFormat="1" ht="14.25" customHeight="1" x14ac:dyDescent="0.2">
      <c r="A237" s="55" t="s">
        <v>381</v>
      </c>
      <c r="B237" s="17" t="s">
        <v>5</v>
      </c>
      <c r="C237" s="16"/>
      <c r="D237" s="16"/>
      <c r="E237" s="206" t="s">
        <v>198</v>
      </c>
      <c r="F237" s="21" t="s">
        <v>83</v>
      </c>
      <c r="G237" s="130"/>
      <c r="H237" s="90" t="s">
        <v>228</v>
      </c>
      <c r="I237" s="30"/>
      <c r="J237" s="90" t="s">
        <v>228</v>
      </c>
      <c r="K237" s="30"/>
      <c r="L237" s="21" t="s">
        <v>228</v>
      </c>
    </row>
    <row r="238" spans="1:12" s="23" customFormat="1" ht="14.25" customHeight="1" x14ac:dyDescent="0.2">
      <c r="A238" s="55" t="s">
        <v>382</v>
      </c>
      <c r="B238" s="17" t="s">
        <v>6</v>
      </c>
      <c r="C238" s="16"/>
      <c r="D238" s="16"/>
      <c r="E238" s="205">
        <f>3+4</f>
        <v>7</v>
      </c>
      <c r="F238" s="21" t="s">
        <v>29</v>
      </c>
      <c r="G238" s="132"/>
      <c r="H238" s="90"/>
      <c r="I238" s="30"/>
      <c r="J238" s="51"/>
      <c r="K238" s="30"/>
      <c r="L238" s="51"/>
    </row>
    <row r="239" spans="1:12" s="23" customFormat="1" ht="14.25" customHeight="1" x14ac:dyDescent="0.2">
      <c r="A239" s="55" t="s">
        <v>383</v>
      </c>
      <c r="B239" s="17" t="s">
        <v>2</v>
      </c>
      <c r="C239" s="16"/>
      <c r="D239" s="16"/>
      <c r="E239" s="206" t="s">
        <v>198</v>
      </c>
      <c r="F239" s="21" t="s">
        <v>83</v>
      </c>
      <c r="G239" s="130"/>
      <c r="H239" s="90" t="s">
        <v>228</v>
      </c>
      <c r="I239" s="30"/>
      <c r="J239" s="90" t="s">
        <v>228</v>
      </c>
      <c r="K239" s="30"/>
      <c r="L239" s="21" t="s">
        <v>228</v>
      </c>
    </row>
    <row r="240" spans="1:12" s="23" customFormat="1" ht="14.25" customHeight="1" x14ac:dyDescent="0.2">
      <c r="A240" s="55" t="s">
        <v>384</v>
      </c>
      <c r="B240" s="17" t="s">
        <v>7</v>
      </c>
      <c r="C240" s="16"/>
      <c r="D240" s="16"/>
      <c r="E240" s="206" t="s">
        <v>198</v>
      </c>
      <c r="F240" s="21" t="s">
        <v>83</v>
      </c>
      <c r="G240" s="130"/>
      <c r="H240" s="90" t="s">
        <v>228</v>
      </c>
      <c r="I240" s="30"/>
      <c r="J240" s="90" t="s">
        <v>228</v>
      </c>
      <c r="K240" s="30"/>
      <c r="L240" s="21" t="s">
        <v>228</v>
      </c>
    </row>
    <row r="241" spans="1:12" s="23" customFormat="1" ht="14.25" customHeight="1" x14ac:dyDescent="0.2">
      <c r="A241" s="55" t="s">
        <v>385</v>
      </c>
      <c r="B241" s="17" t="s">
        <v>38</v>
      </c>
      <c r="C241" s="16"/>
      <c r="D241" s="16"/>
      <c r="E241" s="206" t="s">
        <v>198</v>
      </c>
      <c r="F241" s="21" t="s">
        <v>83</v>
      </c>
      <c r="G241" s="130"/>
      <c r="H241" s="90" t="s">
        <v>228</v>
      </c>
      <c r="I241" s="30"/>
      <c r="J241" s="90" t="s">
        <v>228</v>
      </c>
      <c r="K241" s="30"/>
      <c r="L241" s="21" t="s">
        <v>228</v>
      </c>
    </row>
    <row r="242" spans="1:12" s="23" customFormat="1" ht="14.25" customHeight="1" x14ac:dyDescent="0.2">
      <c r="A242" s="55" t="s">
        <v>386</v>
      </c>
      <c r="B242" s="17" t="s">
        <v>19</v>
      </c>
      <c r="C242" s="16"/>
      <c r="D242" s="16"/>
      <c r="E242" s="206" t="s">
        <v>198</v>
      </c>
      <c r="F242" s="21" t="s">
        <v>83</v>
      </c>
      <c r="G242" s="130"/>
      <c r="H242" s="90" t="s">
        <v>228</v>
      </c>
      <c r="I242" s="30"/>
      <c r="J242" s="90" t="s">
        <v>228</v>
      </c>
      <c r="K242" s="30"/>
      <c r="L242" s="21" t="s">
        <v>228</v>
      </c>
    </row>
    <row r="243" spans="1:12" s="24" customFormat="1" ht="14.25" customHeight="1" x14ac:dyDescent="0.2">
      <c r="A243" s="63">
        <v>10.15</v>
      </c>
      <c r="B243" s="40" t="s">
        <v>49</v>
      </c>
      <c r="C243" s="8"/>
      <c r="D243" s="8"/>
      <c r="E243" s="174"/>
      <c r="F243" s="27"/>
      <c r="G243" s="27"/>
      <c r="H243" s="27"/>
      <c r="I243" s="47"/>
      <c r="J243" s="47"/>
      <c r="K243" s="47"/>
      <c r="L243" s="53"/>
    </row>
    <row r="244" spans="1:12" s="23" customFormat="1" ht="14.25" customHeight="1" x14ac:dyDescent="0.2">
      <c r="A244" s="55" t="s">
        <v>387</v>
      </c>
      <c r="B244" s="17" t="s">
        <v>20</v>
      </c>
      <c r="C244" s="16"/>
      <c r="D244" s="16"/>
      <c r="E244" s="205">
        <v>3</v>
      </c>
      <c r="F244" s="21" t="s">
        <v>29</v>
      </c>
      <c r="G244" s="132"/>
      <c r="H244" s="90"/>
      <c r="I244" s="30"/>
      <c r="J244" s="51"/>
      <c r="K244" s="30"/>
      <c r="L244" s="51"/>
    </row>
    <row r="245" spans="1:12" s="23" customFormat="1" ht="14.25" customHeight="1" x14ac:dyDescent="0.2">
      <c r="A245" s="55" t="s">
        <v>388</v>
      </c>
      <c r="B245" s="17" t="s">
        <v>8</v>
      </c>
      <c r="C245" s="16"/>
      <c r="D245" s="16"/>
      <c r="E245" s="205">
        <v>2</v>
      </c>
      <c r="F245" s="21" t="s">
        <v>29</v>
      </c>
      <c r="G245" s="132"/>
      <c r="H245" s="90"/>
      <c r="I245" s="30"/>
      <c r="J245" s="51"/>
      <c r="K245" s="30"/>
      <c r="L245" s="51"/>
    </row>
    <row r="246" spans="1:12" s="23" customFormat="1" ht="14.25" customHeight="1" x14ac:dyDescent="0.2">
      <c r="A246" s="55" t="s">
        <v>389</v>
      </c>
      <c r="B246" s="17" t="s">
        <v>9</v>
      </c>
      <c r="C246" s="16"/>
      <c r="D246" s="16"/>
      <c r="E246" s="198">
        <v>75</v>
      </c>
      <c r="F246" s="21" t="s">
        <v>29</v>
      </c>
      <c r="G246" s="126"/>
      <c r="H246" s="90"/>
      <c r="I246" s="30"/>
      <c r="J246" s="51"/>
      <c r="K246" s="30"/>
      <c r="L246" s="51"/>
    </row>
    <row r="247" spans="1:12" s="23" customFormat="1" ht="14.25" customHeight="1" x14ac:dyDescent="0.2">
      <c r="A247" s="55" t="s">
        <v>390</v>
      </c>
      <c r="B247" s="17" t="s">
        <v>10</v>
      </c>
      <c r="C247" s="16"/>
      <c r="D247" s="16"/>
      <c r="E247" s="198">
        <v>16</v>
      </c>
      <c r="F247" s="21" t="s">
        <v>29</v>
      </c>
      <c r="G247" s="126"/>
      <c r="H247" s="90"/>
      <c r="I247" s="30"/>
      <c r="J247" s="51"/>
      <c r="K247" s="30"/>
      <c r="L247" s="51"/>
    </row>
    <row r="248" spans="1:12" s="24" customFormat="1" ht="14.25" customHeight="1" x14ac:dyDescent="0.2">
      <c r="A248" s="63">
        <v>10.16</v>
      </c>
      <c r="B248" s="40" t="s">
        <v>269</v>
      </c>
      <c r="C248" s="8"/>
      <c r="D248" s="8"/>
      <c r="E248" s="174"/>
      <c r="F248" s="27"/>
      <c r="G248" s="27"/>
      <c r="H248" s="27"/>
      <c r="I248" s="47"/>
      <c r="J248" s="47"/>
      <c r="K248" s="47"/>
      <c r="L248" s="53"/>
    </row>
    <row r="249" spans="1:12" s="23" customFormat="1" ht="14.25" customHeight="1" x14ac:dyDescent="0.2">
      <c r="A249" s="55" t="s">
        <v>391</v>
      </c>
      <c r="B249" s="17" t="s">
        <v>20</v>
      </c>
      <c r="C249" s="16"/>
      <c r="D249" s="16"/>
      <c r="E249" s="206" t="s">
        <v>198</v>
      </c>
      <c r="F249" s="21" t="s">
        <v>83</v>
      </c>
      <c r="G249" s="130"/>
      <c r="H249" s="90" t="s">
        <v>228</v>
      </c>
      <c r="I249" s="30"/>
      <c r="J249" s="90" t="s">
        <v>228</v>
      </c>
      <c r="K249" s="30"/>
      <c r="L249" s="21" t="s">
        <v>228</v>
      </c>
    </row>
    <row r="250" spans="1:12" s="23" customFormat="1" ht="14.25" customHeight="1" x14ac:dyDescent="0.2">
      <c r="A250" s="55" t="s">
        <v>392</v>
      </c>
      <c r="B250" s="17" t="s">
        <v>8</v>
      </c>
      <c r="C250" s="16"/>
      <c r="D250" s="16"/>
      <c r="E250" s="205">
        <f>2+1</f>
        <v>3</v>
      </c>
      <c r="F250" s="21" t="s">
        <v>29</v>
      </c>
      <c r="G250" s="132"/>
      <c r="H250" s="90"/>
      <c r="I250" s="30"/>
      <c r="J250" s="51"/>
      <c r="K250" s="30"/>
      <c r="L250" s="51"/>
    </row>
    <row r="251" spans="1:12" s="23" customFormat="1" ht="14.25" customHeight="1" x14ac:dyDescent="0.2">
      <c r="A251" s="55" t="s">
        <v>393</v>
      </c>
      <c r="B251" s="17" t="s">
        <v>9</v>
      </c>
      <c r="C251" s="16"/>
      <c r="D251" s="16"/>
      <c r="E251" s="205">
        <v>191</v>
      </c>
      <c r="F251" s="21" t="s">
        <v>29</v>
      </c>
      <c r="G251" s="126"/>
      <c r="H251" s="90"/>
      <c r="I251" s="30"/>
      <c r="J251" s="51"/>
      <c r="K251" s="30"/>
      <c r="L251" s="51"/>
    </row>
    <row r="252" spans="1:12" s="23" customFormat="1" ht="14.25" customHeight="1" x14ac:dyDescent="0.2">
      <c r="A252" s="55" t="s">
        <v>394</v>
      </c>
      <c r="B252" s="17" t="s">
        <v>10</v>
      </c>
      <c r="C252" s="16"/>
      <c r="D252" s="16"/>
      <c r="E252" s="205">
        <v>42</v>
      </c>
      <c r="F252" s="21" t="s">
        <v>29</v>
      </c>
      <c r="G252" s="126"/>
      <c r="H252" s="90"/>
      <c r="I252" s="30"/>
      <c r="J252" s="51"/>
      <c r="K252" s="30"/>
      <c r="L252" s="51"/>
    </row>
    <row r="253" spans="1:12" s="24" customFormat="1" ht="14.25" customHeight="1" x14ac:dyDescent="0.2">
      <c r="A253" s="63">
        <v>10.17</v>
      </c>
      <c r="B253" s="40" t="s">
        <v>61</v>
      </c>
      <c r="C253" s="8"/>
      <c r="D253" s="8"/>
      <c r="E253" s="174"/>
      <c r="F253" s="27"/>
      <c r="G253" s="27"/>
      <c r="H253" s="27"/>
      <c r="I253" s="47"/>
      <c r="J253" s="47"/>
      <c r="K253" s="47"/>
      <c r="L253" s="53"/>
    </row>
    <row r="254" spans="1:12" s="23" customFormat="1" ht="14.25" customHeight="1" x14ac:dyDescent="0.2">
      <c r="A254" s="55" t="s">
        <v>395</v>
      </c>
      <c r="B254" s="17" t="s">
        <v>10</v>
      </c>
      <c r="C254" s="16"/>
      <c r="D254" s="16"/>
      <c r="E254" s="206" t="s">
        <v>198</v>
      </c>
      <c r="F254" s="21" t="s">
        <v>83</v>
      </c>
      <c r="G254" s="130"/>
      <c r="H254" s="90" t="s">
        <v>228</v>
      </c>
      <c r="I254" s="30"/>
      <c r="J254" s="90" t="s">
        <v>228</v>
      </c>
      <c r="K254" s="30"/>
      <c r="L254" s="21" t="s">
        <v>228</v>
      </c>
    </row>
    <row r="255" spans="1:12" s="23" customFormat="1" ht="14.25" customHeight="1" x14ac:dyDescent="0.2">
      <c r="A255" s="55" t="s">
        <v>396</v>
      </c>
      <c r="B255" s="17" t="s">
        <v>11</v>
      </c>
      <c r="C255" s="16"/>
      <c r="D255" s="16"/>
      <c r="E255" s="201">
        <v>8</v>
      </c>
      <c r="F255" s="84" t="s">
        <v>29</v>
      </c>
      <c r="G255" s="133"/>
      <c r="H255" s="92"/>
      <c r="I255" s="45"/>
      <c r="J255" s="51"/>
      <c r="K255" s="45"/>
      <c r="L255" s="51"/>
    </row>
    <row r="256" spans="1:12" s="23" customFormat="1" ht="14.25" customHeight="1" x14ac:dyDescent="0.2">
      <c r="A256" s="55" t="s">
        <v>397</v>
      </c>
      <c r="B256" s="38" t="s">
        <v>281</v>
      </c>
      <c r="C256" s="85"/>
      <c r="D256" s="16"/>
      <c r="E256" s="201">
        <v>16</v>
      </c>
      <c r="F256" s="84" t="s">
        <v>29</v>
      </c>
      <c r="G256" s="133"/>
      <c r="H256" s="92"/>
      <c r="I256" s="45"/>
      <c r="J256" s="51"/>
      <c r="K256" s="45"/>
      <c r="L256" s="51"/>
    </row>
    <row r="257" spans="1:12" s="24" customFormat="1" ht="14.25" customHeight="1" x14ac:dyDescent="0.2">
      <c r="A257" s="63">
        <v>10.18</v>
      </c>
      <c r="B257" s="40" t="s">
        <v>273</v>
      </c>
      <c r="C257" s="8"/>
      <c r="D257" s="8"/>
      <c r="E257" s="174"/>
      <c r="F257" s="27"/>
      <c r="G257" s="27"/>
      <c r="H257" s="27"/>
      <c r="I257" s="47"/>
      <c r="J257" s="47"/>
      <c r="K257" s="47"/>
      <c r="L257" s="53"/>
    </row>
    <row r="258" spans="1:12" s="23" customFormat="1" ht="14.25" customHeight="1" x14ac:dyDescent="0.2">
      <c r="A258" s="55" t="s">
        <v>398</v>
      </c>
      <c r="B258" s="17" t="s">
        <v>5</v>
      </c>
      <c r="C258" s="16"/>
      <c r="D258" s="16"/>
      <c r="E258" s="206" t="s">
        <v>198</v>
      </c>
      <c r="F258" s="21" t="s">
        <v>83</v>
      </c>
      <c r="G258" s="130"/>
      <c r="H258" s="90" t="s">
        <v>228</v>
      </c>
      <c r="I258" s="30"/>
      <c r="J258" s="90" t="s">
        <v>228</v>
      </c>
      <c r="K258" s="30"/>
      <c r="L258" s="21" t="s">
        <v>228</v>
      </c>
    </row>
    <row r="259" spans="1:12" s="23" customFormat="1" ht="14.25" customHeight="1" x14ac:dyDescent="0.2">
      <c r="A259" s="55" t="s">
        <v>399</v>
      </c>
      <c r="B259" s="17" t="s">
        <v>6</v>
      </c>
      <c r="C259" s="16"/>
      <c r="D259" s="16"/>
      <c r="E259" s="205">
        <f>3+2</f>
        <v>5</v>
      </c>
      <c r="F259" s="21" t="s">
        <v>29</v>
      </c>
      <c r="G259" s="132"/>
      <c r="H259" s="90"/>
      <c r="I259" s="30"/>
      <c r="J259" s="51"/>
      <c r="K259" s="30"/>
      <c r="L259" s="51"/>
    </row>
    <row r="260" spans="1:12" s="23" customFormat="1" ht="14.25" customHeight="1" x14ac:dyDescent="0.2">
      <c r="A260" s="55" t="s">
        <v>400</v>
      </c>
      <c r="B260" s="17" t="s">
        <v>2</v>
      </c>
      <c r="C260" s="16"/>
      <c r="D260" s="16"/>
      <c r="E260" s="206" t="s">
        <v>198</v>
      </c>
      <c r="F260" s="21" t="s">
        <v>83</v>
      </c>
      <c r="G260" s="130"/>
      <c r="H260" s="90" t="s">
        <v>228</v>
      </c>
      <c r="I260" s="30"/>
      <c r="J260" s="90" t="s">
        <v>228</v>
      </c>
      <c r="K260" s="30"/>
      <c r="L260" s="21" t="s">
        <v>228</v>
      </c>
    </row>
    <row r="261" spans="1:12" s="23" customFormat="1" ht="14.25" customHeight="1" x14ac:dyDescent="0.2">
      <c r="A261" s="55" t="s">
        <v>401</v>
      </c>
      <c r="B261" s="17" t="s">
        <v>7</v>
      </c>
      <c r="C261" s="16"/>
      <c r="D261" s="16"/>
      <c r="E261" s="205">
        <v>4</v>
      </c>
      <c r="F261" s="21" t="s">
        <v>29</v>
      </c>
      <c r="G261" s="132"/>
      <c r="H261" s="90"/>
      <c r="I261" s="45"/>
      <c r="J261" s="51"/>
      <c r="K261" s="45"/>
      <c r="L261" s="51"/>
    </row>
    <row r="262" spans="1:12" s="23" customFormat="1" ht="14.25" customHeight="1" x14ac:dyDescent="0.2">
      <c r="A262" s="55" t="s">
        <v>402</v>
      </c>
      <c r="B262" s="17" t="s">
        <v>38</v>
      </c>
      <c r="C262" s="16"/>
      <c r="D262" s="16"/>
      <c r="E262" s="206" t="s">
        <v>198</v>
      </c>
      <c r="F262" s="21" t="s">
        <v>83</v>
      </c>
      <c r="G262" s="130"/>
      <c r="H262" s="90" t="s">
        <v>228</v>
      </c>
      <c r="I262" s="30"/>
      <c r="J262" s="90" t="s">
        <v>228</v>
      </c>
      <c r="K262" s="30"/>
      <c r="L262" s="21" t="s">
        <v>228</v>
      </c>
    </row>
    <row r="263" spans="1:12" s="4" customFormat="1" ht="14.25" customHeight="1" x14ac:dyDescent="0.2">
      <c r="A263" s="55" t="s">
        <v>403</v>
      </c>
      <c r="B263" s="38" t="s">
        <v>19</v>
      </c>
      <c r="C263" s="85"/>
      <c r="D263" s="85"/>
      <c r="E263" s="201">
        <v>1</v>
      </c>
      <c r="F263" s="84" t="s">
        <v>83</v>
      </c>
      <c r="G263" s="133"/>
      <c r="H263" s="92"/>
      <c r="I263" s="45"/>
      <c r="J263" s="51"/>
      <c r="K263" s="45"/>
      <c r="L263" s="51"/>
    </row>
    <row r="264" spans="1:12" s="4" customFormat="1" ht="14.25" customHeight="1" x14ac:dyDescent="0.2">
      <c r="A264" s="55" t="s">
        <v>404</v>
      </c>
      <c r="B264" s="38" t="s">
        <v>20</v>
      </c>
      <c r="C264" s="85"/>
      <c r="D264" s="85"/>
      <c r="E264" s="201">
        <v>3</v>
      </c>
      <c r="F264" s="84" t="s">
        <v>29</v>
      </c>
      <c r="G264" s="133"/>
      <c r="H264" s="92"/>
      <c r="I264" s="45"/>
      <c r="J264" s="51"/>
      <c r="K264" s="45"/>
      <c r="L264" s="51"/>
    </row>
    <row r="265" spans="1:12" s="4" customFormat="1" ht="14.25" customHeight="1" x14ac:dyDescent="0.2">
      <c r="A265" s="55" t="s">
        <v>405</v>
      </c>
      <c r="B265" s="38" t="s">
        <v>8</v>
      </c>
      <c r="C265" s="85"/>
      <c r="D265" s="85"/>
      <c r="E265" s="206" t="s">
        <v>198</v>
      </c>
      <c r="F265" s="21" t="s">
        <v>83</v>
      </c>
      <c r="G265" s="130"/>
      <c r="H265" s="90" t="s">
        <v>228</v>
      </c>
      <c r="I265" s="30"/>
      <c r="J265" s="90" t="s">
        <v>228</v>
      </c>
      <c r="K265" s="30"/>
      <c r="L265" s="21" t="s">
        <v>228</v>
      </c>
    </row>
    <row r="266" spans="1:12" s="4" customFormat="1" ht="14.25" customHeight="1" x14ac:dyDescent="0.2">
      <c r="A266" s="55" t="s">
        <v>406</v>
      </c>
      <c r="B266" s="38" t="s">
        <v>9</v>
      </c>
      <c r="C266" s="85"/>
      <c r="D266" s="85"/>
      <c r="E266" s="205">
        <v>75</v>
      </c>
      <c r="F266" s="84" t="s">
        <v>29</v>
      </c>
      <c r="G266" s="133"/>
      <c r="H266" s="92"/>
      <c r="I266" s="45"/>
      <c r="J266" s="51"/>
      <c r="K266" s="45"/>
      <c r="L266" s="51"/>
    </row>
    <row r="267" spans="1:12" s="4" customFormat="1" ht="14.25" customHeight="1" x14ac:dyDescent="0.2">
      <c r="A267" s="55" t="s">
        <v>407</v>
      </c>
      <c r="B267" s="38" t="s">
        <v>10</v>
      </c>
      <c r="C267" s="85"/>
      <c r="D267" s="85"/>
      <c r="E267" s="205">
        <v>16</v>
      </c>
      <c r="F267" s="84" t="s">
        <v>29</v>
      </c>
      <c r="G267" s="133"/>
      <c r="H267" s="92"/>
      <c r="I267" s="45"/>
      <c r="J267" s="51"/>
      <c r="K267" s="45"/>
      <c r="L267" s="51"/>
    </row>
    <row r="268" spans="1:12" s="24" customFormat="1" ht="25.5" customHeight="1" x14ac:dyDescent="0.2">
      <c r="A268" s="63">
        <v>10.19</v>
      </c>
      <c r="B268" s="888" t="s">
        <v>483</v>
      </c>
      <c r="C268" s="880"/>
      <c r="D268" s="880"/>
      <c r="E268" s="880"/>
      <c r="F268" s="880"/>
      <c r="G268" s="880"/>
      <c r="H268" s="880"/>
      <c r="I268" s="880"/>
      <c r="J268" s="880"/>
      <c r="K268" s="880"/>
      <c r="L268" s="889"/>
    </row>
    <row r="269" spans="1:12" s="4" customFormat="1" ht="14.25" customHeight="1" x14ac:dyDescent="0.2">
      <c r="A269" s="56" t="s">
        <v>408</v>
      </c>
      <c r="B269" s="38" t="s">
        <v>19</v>
      </c>
      <c r="C269" s="85"/>
      <c r="D269" s="85"/>
      <c r="E269" s="206" t="s">
        <v>198</v>
      </c>
      <c r="F269" s="21" t="s">
        <v>83</v>
      </c>
      <c r="G269" s="130"/>
      <c r="H269" s="90" t="s">
        <v>228</v>
      </c>
      <c r="I269" s="30"/>
      <c r="J269" s="90" t="s">
        <v>228</v>
      </c>
      <c r="K269" s="30"/>
      <c r="L269" s="21" t="s">
        <v>228</v>
      </c>
    </row>
    <row r="270" spans="1:12" s="4" customFormat="1" ht="14.25" customHeight="1" x14ac:dyDescent="0.2">
      <c r="A270" s="56" t="s">
        <v>409</v>
      </c>
      <c r="B270" s="38" t="s">
        <v>20</v>
      </c>
      <c r="C270" s="85"/>
      <c r="D270" s="85"/>
      <c r="E270" s="206" t="s">
        <v>198</v>
      </c>
      <c r="F270" s="21" t="s">
        <v>83</v>
      </c>
      <c r="G270" s="130"/>
      <c r="H270" s="90" t="s">
        <v>228</v>
      </c>
      <c r="I270" s="30"/>
      <c r="J270" s="90" t="s">
        <v>228</v>
      </c>
      <c r="K270" s="30"/>
      <c r="L270" s="21" t="s">
        <v>228</v>
      </c>
    </row>
    <row r="271" spans="1:12" s="4" customFormat="1" ht="14.25" customHeight="1" x14ac:dyDescent="0.2">
      <c r="A271" s="56" t="s">
        <v>410</v>
      </c>
      <c r="B271" s="38" t="s">
        <v>8</v>
      </c>
      <c r="C271" s="85"/>
      <c r="D271" s="85"/>
      <c r="E271" s="206" t="s">
        <v>198</v>
      </c>
      <c r="F271" s="21" t="s">
        <v>83</v>
      </c>
      <c r="G271" s="130"/>
      <c r="H271" s="90" t="s">
        <v>228</v>
      </c>
      <c r="I271" s="30"/>
      <c r="J271" s="90" t="s">
        <v>228</v>
      </c>
      <c r="K271" s="30"/>
      <c r="L271" s="21" t="s">
        <v>228</v>
      </c>
    </row>
    <row r="272" spans="1:12" s="4" customFormat="1" ht="14.25" customHeight="1" x14ac:dyDescent="0.2">
      <c r="A272" s="56" t="s">
        <v>411</v>
      </c>
      <c r="B272" s="38" t="s">
        <v>9</v>
      </c>
      <c r="C272" s="85"/>
      <c r="D272" s="85"/>
      <c r="E272" s="205">
        <v>191</v>
      </c>
      <c r="F272" s="84" t="s">
        <v>29</v>
      </c>
      <c r="G272" s="133"/>
      <c r="H272" s="92"/>
      <c r="I272" s="45"/>
      <c r="J272" s="51"/>
      <c r="K272" s="45"/>
      <c r="L272" s="51"/>
    </row>
    <row r="273" spans="1:12" s="4" customFormat="1" ht="14.25" customHeight="1" x14ac:dyDescent="0.2">
      <c r="A273" s="56" t="s">
        <v>412</v>
      </c>
      <c r="B273" s="38" t="s">
        <v>10</v>
      </c>
      <c r="C273" s="85"/>
      <c r="D273" s="85"/>
      <c r="E273" s="205">
        <v>42</v>
      </c>
      <c r="F273" s="84" t="s">
        <v>29</v>
      </c>
      <c r="G273" s="133"/>
      <c r="H273" s="92"/>
      <c r="I273" s="45"/>
      <c r="J273" s="51"/>
      <c r="K273" s="45"/>
      <c r="L273" s="51"/>
    </row>
    <row r="274" spans="1:12" s="24" customFormat="1" ht="14.25" customHeight="1" x14ac:dyDescent="0.2">
      <c r="A274" s="63">
        <v>10.199999999999999</v>
      </c>
      <c r="B274" s="40" t="s">
        <v>275</v>
      </c>
      <c r="C274" s="8"/>
      <c r="D274" s="8"/>
      <c r="E274" s="174"/>
      <c r="F274" s="27"/>
      <c r="G274" s="27"/>
      <c r="H274" s="27"/>
      <c r="I274" s="47"/>
      <c r="J274" s="47"/>
      <c r="K274" s="47"/>
      <c r="L274" s="53"/>
    </row>
    <row r="275" spans="1:12" s="23" customFormat="1" ht="14.25" customHeight="1" x14ac:dyDescent="0.2">
      <c r="A275" s="55" t="s">
        <v>413</v>
      </c>
      <c r="B275" s="38" t="s">
        <v>20</v>
      </c>
      <c r="C275" s="16"/>
      <c r="D275" s="16"/>
      <c r="E275" s="201" t="s">
        <v>198</v>
      </c>
      <c r="F275" s="84" t="s">
        <v>83</v>
      </c>
      <c r="G275" s="133"/>
      <c r="H275" s="90" t="s">
        <v>228</v>
      </c>
      <c r="I275" s="45"/>
      <c r="J275" s="90" t="s">
        <v>228</v>
      </c>
      <c r="K275" s="45"/>
      <c r="L275" s="21" t="s">
        <v>228</v>
      </c>
    </row>
    <row r="276" spans="1:12" s="23" customFormat="1" ht="14.25" customHeight="1" x14ac:dyDescent="0.2">
      <c r="A276" s="55" t="s">
        <v>414</v>
      </c>
      <c r="B276" s="38" t="s">
        <v>8</v>
      </c>
      <c r="C276" s="16"/>
      <c r="D276" s="16"/>
      <c r="E276" s="201">
        <v>3</v>
      </c>
      <c r="F276" s="84" t="s">
        <v>29</v>
      </c>
      <c r="G276" s="133"/>
      <c r="H276" s="92"/>
      <c r="I276" s="45"/>
      <c r="J276" s="51"/>
      <c r="K276" s="45"/>
      <c r="L276" s="51"/>
    </row>
    <row r="277" spans="1:12" s="23" customFormat="1" ht="14.25" customHeight="1" thickBot="1" x14ac:dyDescent="0.25">
      <c r="A277" s="55" t="s">
        <v>415</v>
      </c>
      <c r="B277" s="38" t="s">
        <v>9</v>
      </c>
      <c r="C277" s="16"/>
      <c r="D277" s="16"/>
      <c r="E277" s="208" t="s">
        <v>198</v>
      </c>
      <c r="F277" s="21" t="s">
        <v>83</v>
      </c>
      <c r="G277" s="132"/>
      <c r="H277" s="90" t="s">
        <v>228</v>
      </c>
      <c r="I277" s="30"/>
      <c r="J277" s="90" t="s">
        <v>228</v>
      </c>
      <c r="K277" s="30"/>
      <c r="L277" s="21" t="s">
        <v>228</v>
      </c>
    </row>
    <row r="278" spans="1:12" s="4" customFormat="1" ht="14.25" customHeight="1" thickBot="1" x14ac:dyDescent="0.25">
      <c r="A278" s="876" t="s">
        <v>147</v>
      </c>
      <c r="B278" s="877"/>
      <c r="C278" s="877"/>
      <c r="D278" s="877"/>
      <c r="E278" s="877"/>
      <c r="F278" s="877"/>
      <c r="G278" s="877"/>
      <c r="H278" s="877"/>
      <c r="I278" s="877"/>
      <c r="J278" s="877"/>
      <c r="K278" s="878"/>
      <c r="L278" s="86"/>
    </row>
    <row r="279" spans="1:12" s="23" customFormat="1" ht="14.25" customHeight="1" x14ac:dyDescent="0.2">
      <c r="A279" s="64">
        <v>11</v>
      </c>
      <c r="B279" s="41" t="s">
        <v>50</v>
      </c>
      <c r="C279" s="15"/>
      <c r="D279" s="11"/>
      <c r="E279" s="176"/>
      <c r="F279" s="14"/>
      <c r="G279" s="14"/>
      <c r="H279" s="14"/>
      <c r="I279" s="70"/>
      <c r="J279" s="70"/>
      <c r="K279" s="70"/>
      <c r="L279" s="80"/>
    </row>
    <row r="280" spans="1:12" s="23" customFormat="1" ht="14.25" customHeight="1" x14ac:dyDescent="0.2">
      <c r="A280" s="55">
        <v>11.1</v>
      </c>
      <c r="B280" s="114" t="s">
        <v>128</v>
      </c>
      <c r="C280" s="115"/>
      <c r="D280" s="115"/>
      <c r="E280" s="206">
        <v>13000</v>
      </c>
      <c r="F280" s="21" t="s">
        <v>21</v>
      </c>
      <c r="G280" s="134"/>
      <c r="H280" s="90"/>
      <c r="I280" s="71"/>
      <c r="J280" s="51"/>
      <c r="K280" s="71"/>
      <c r="L280" s="51"/>
    </row>
    <row r="281" spans="1:12" s="23" customFormat="1" ht="14.25" customHeight="1" x14ac:dyDescent="0.2">
      <c r="A281" s="55">
        <v>11.2</v>
      </c>
      <c r="B281" s="114" t="s">
        <v>129</v>
      </c>
      <c r="C281" s="115"/>
      <c r="D281" s="115"/>
      <c r="E281" s="206">
        <v>500</v>
      </c>
      <c r="F281" s="21" t="s">
        <v>21</v>
      </c>
      <c r="G281" s="134"/>
      <c r="H281" s="90"/>
      <c r="I281" s="71"/>
      <c r="J281" s="51"/>
      <c r="K281" s="71"/>
      <c r="L281" s="51"/>
    </row>
    <row r="282" spans="1:12" s="23" customFormat="1" ht="14.25" customHeight="1" x14ac:dyDescent="0.2">
      <c r="A282" s="55">
        <v>11.3</v>
      </c>
      <c r="B282" s="114" t="s">
        <v>130</v>
      </c>
      <c r="C282" s="115"/>
      <c r="D282" s="115"/>
      <c r="E282" s="206">
        <v>48000</v>
      </c>
      <c r="F282" s="21" t="s">
        <v>21</v>
      </c>
      <c r="G282" s="134"/>
      <c r="H282" s="27"/>
      <c r="I282" s="71"/>
      <c r="J282" s="51"/>
      <c r="K282" s="71"/>
      <c r="L282" s="51"/>
    </row>
    <row r="283" spans="1:12" s="23" customFormat="1" ht="14.25" customHeight="1" x14ac:dyDescent="0.2">
      <c r="A283" s="55">
        <v>11.4</v>
      </c>
      <c r="B283" s="114" t="s">
        <v>125</v>
      </c>
      <c r="C283" s="115"/>
      <c r="D283" s="115"/>
      <c r="E283" s="206">
        <v>17000</v>
      </c>
      <c r="F283" s="21" t="s">
        <v>21</v>
      </c>
      <c r="G283" s="134"/>
      <c r="H283" s="27"/>
      <c r="I283" s="71"/>
      <c r="J283" s="51"/>
      <c r="K283" s="71"/>
      <c r="L283" s="51"/>
    </row>
    <row r="284" spans="1:12" s="23" customFormat="1" ht="25.5" customHeight="1" x14ac:dyDescent="0.2">
      <c r="A284" s="55">
        <v>11.5</v>
      </c>
      <c r="B284" s="890" t="s">
        <v>229</v>
      </c>
      <c r="C284" s="891"/>
      <c r="D284" s="892"/>
      <c r="E284" s="206">
        <v>2550</v>
      </c>
      <c r="F284" s="21" t="s">
        <v>21</v>
      </c>
      <c r="G284" s="134"/>
      <c r="H284" s="90"/>
      <c r="I284" s="73"/>
      <c r="J284" s="51"/>
      <c r="K284" s="73"/>
      <c r="L284" s="51"/>
    </row>
    <row r="285" spans="1:12" s="23" customFormat="1" ht="14.25" customHeight="1" x14ac:dyDescent="0.2">
      <c r="A285" s="55">
        <v>11.6</v>
      </c>
      <c r="B285" s="114" t="s">
        <v>230</v>
      </c>
      <c r="C285" s="115"/>
      <c r="D285" s="115"/>
      <c r="E285" s="206">
        <v>2000</v>
      </c>
      <c r="F285" s="21" t="s">
        <v>21</v>
      </c>
      <c r="G285" s="134"/>
      <c r="H285" s="27"/>
      <c r="I285" s="71"/>
      <c r="J285" s="51"/>
      <c r="K285" s="71"/>
      <c r="L285" s="51"/>
    </row>
    <row r="286" spans="1:12" s="10" customFormat="1" ht="14.25" customHeight="1" x14ac:dyDescent="0.2">
      <c r="A286" s="62">
        <v>11.7</v>
      </c>
      <c r="B286" s="169" t="s">
        <v>133</v>
      </c>
      <c r="C286" s="115"/>
      <c r="D286" s="115"/>
      <c r="E286" s="183"/>
      <c r="F286" s="27"/>
      <c r="G286" s="184"/>
      <c r="H286" s="160"/>
      <c r="I286" s="185"/>
      <c r="J286" s="48"/>
      <c r="K286" s="185"/>
      <c r="L286" s="150"/>
    </row>
    <row r="287" spans="1:12" s="10" customFormat="1" ht="14.25" customHeight="1" x14ac:dyDescent="0.2">
      <c r="A287" s="164" t="s">
        <v>416</v>
      </c>
      <c r="B287" s="177"/>
      <c r="C287" s="178" t="s">
        <v>283</v>
      </c>
      <c r="D287" s="179"/>
      <c r="E287" s="206">
        <v>70</v>
      </c>
      <c r="F287" s="21" t="s">
        <v>29</v>
      </c>
      <c r="G287" s="180"/>
      <c r="H287" s="181"/>
      <c r="I287" s="182"/>
      <c r="J287" s="149"/>
      <c r="K287" s="182"/>
      <c r="L287" s="149"/>
    </row>
    <row r="288" spans="1:12" s="10" customFormat="1" ht="14.25" customHeight="1" x14ac:dyDescent="0.2">
      <c r="A288" s="164" t="s">
        <v>417</v>
      </c>
      <c r="B288" s="165"/>
      <c r="C288" s="157" t="s">
        <v>231</v>
      </c>
      <c r="D288" s="115"/>
      <c r="E288" s="206">
        <v>45</v>
      </c>
      <c r="F288" s="21" t="s">
        <v>29</v>
      </c>
      <c r="G288" s="135"/>
      <c r="H288" s="139"/>
      <c r="I288" s="72"/>
      <c r="J288" s="51"/>
      <c r="K288" s="72"/>
      <c r="L288" s="51"/>
    </row>
    <row r="289" spans="1:12" s="10" customFormat="1" ht="14.25" customHeight="1" x14ac:dyDescent="0.2">
      <c r="A289" s="164" t="s">
        <v>418</v>
      </c>
      <c r="B289" s="165"/>
      <c r="C289" s="157" t="s">
        <v>284</v>
      </c>
      <c r="D289" s="115"/>
      <c r="E289" s="206">
        <v>25</v>
      </c>
      <c r="F289" s="21" t="s">
        <v>29</v>
      </c>
      <c r="G289" s="135"/>
      <c r="H289" s="139"/>
      <c r="I289" s="72"/>
      <c r="J289" s="51"/>
      <c r="K289" s="72"/>
      <c r="L289" s="51"/>
    </row>
    <row r="290" spans="1:12" s="10" customFormat="1" ht="14.25" customHeight="1" x14ac:dyDescent="0.2">
      <c r="A290" s="164" t="s">
        <v>419</v>
      </c>
      <c r="B290" s="165"/>
      <c r="C290" s="157" t="s">
        <v>288</v>
      </c>
      <c r="D290" s="115"/>
      <c r="E290" s="206">
        <v>3</v>
      </c>
      <c r="F290" s="21" t="s">
        <v>29</v>
      </c>
      <c r="G290" s="135"/>
      <c r="H290" s="139"/>
      <c r="I290" s="72"/>
      <c r="J290" s="51"/>
      <c r="K290" s="72"/>
      <c r="L290" s="51"/>
    </row>
    <row r="291" spans="1:12" s="10" customFormat="1" ht="14.25" customHeight="1" x14ac:dyDescent="0.2">
      <c r="A291" s="164" t="s">
        <v>420</v>
      </c>
      <c r="B291" s="165"/>
      <c r="C291" s="157" t="s">
        <v>232</v>
      </c>
      <c r="D291" s="115"/>
      <c r="E291" s="206">
        <v>1</v>
      </c>
      <c r="F291" s="21" t="s">
        <v>83</v>
      </c>
      <c r="G291" s="135"/>
      <c r="H291" s="139"/>
      <c r="I291" s="72"/>
      <c r="J291" s="51"/>
      <c r="K291" s="72"/>
      <c r="L291" s="51"/>
    </row>
    <row r="292" spans="1:12" s="10" customFormat="1" ht="14.25" customHeight="1" x14ac:dyDescent="0.2">
      <c r="A292" s="164" t="s">
        <v>421</v>
      </c>
      <c r="B292" s="165"/>
      <c r="C292" s="157" t="s">
        <v>289</v>
      </c>
      <c r="D292" s="115"/>
      <c r="E292" s="206">
        <v>1</v>
      </c>
      <c r="F292" s="21" t="s">
        <v>83</v>
      </c>
      <c r="G292" s="135"/>
      <c r="H292" s="139"/>
      <c r="I292" s="72"/>
      <c r="J292" s="51"/>
      <c r="K292" s="72"/>
      <c r="L292" s="51"/>
    </row>
    <row r="293" spans="1:12" s="10" customFormat="1" ht="14.25" customHeight="1" x14ac:dyDescent="0.2">
      <c r="A293" s="164" t="s">
        <v>422</v>
      </c>
      <c r="B293" s="165"/>
      <c r="C293" s="157" t="s">
        <v>233</v>
      </c>
      <c r="D293" s="115"/>
      <c r="E293" s="206">
        <v>48</v>
      </c>
      <c r="F293" s="21" t="s">
        <v>29</v>
      </c>
      <c r="G293" s="135"/>
      <c r="H293" s="139"/>
      <c r="I293" s="72"/>
      <c r="J293" s="51"/>
      <c r="K293" s="72"/>
      <c r="L293" s="51"/>
    </row>
    <row r="294" spans="1:12" s="10" customFormat="1" ht="14.25" customHeight="1" x14ac:dyDescent="0.2">
      <c r="A294" s="164" t="s">
        <v>423</v>
      </c>
      <c r="B294" s="165"/>
      <c r="C294" s="157" t="s">
        <v>290</v>
      </c>
      <c r="D294" s="115"/>
      <c r="E294" s="206">
        <v>12</v>
      </c>
      <c r="F294" s="21" t="s">
        <v>29</v>
      </c>
      <c r="G294" s="135"/>
      <c r="H294" s="139"/>
      <c r="I294" s="72"/>
      <c r="J294" s="51"/>
      <c r="K294" s="72"/>
      <c r="L294" s="51"/>
    </row>
    <row r="295" spans="1:12" s="10" customFormat="1" ht="14.25" customHeight="1" x14ac:dyDescent="0.2">
      <c r="A295" s="164" t="s">
        <v>424</v>
      </c>
      <c r="B295" s="165"/>
      <c r="C295" s="157" t="s">
        <v>285</v>
      </c>
      <c r="D295" s="115"/>
      <c r="E295" s="206">
        <v>12</v>
      </c>
      <c r="F295" s="21" t="s">
        <v>29</v>
      </c>
      <c r="G295" s="135"/>
      <c r="H295" s="139"/>
      <c r="I295" s="72"/>
      <c r="J295" s="51"/>
      <c r="K295" s="72"/>
      <c r="L295" s="51"/>
    </row>
    <row r="296" spans="1:12" s="10" customFormat="1" ht="14.25" customHeight="1" x14ac:dyDescent="0.2">
      <c r="A296" s="164" t="s">
        <v>425</v>
      </c>
      <c r="B296" s="165"/>
      <c r="C296" s="157" t="s">
        <v>234</v>
      </c>
      <c r="D296" s="115"/>
      <c r="E296" s="206">
        <v>28</v>
      </c>
      <c r="F296" s="21" t="s">
        <v>29</v>
      </c>
      <c r="G296" s="135"/>
      <c r="H296" s="139"/>
      <c r="I296" s="72"/>
      <c r="J296" s="51"/>
      <c r="K296" s="72"/>
      <c r="L296" s="51"/>
    </row>
    <row r="297" spans="1:12" s="10" customFormat="1" ht="14.25" customHeight="1" x14ac:dyDescent="0.2">
      <c r="A297" s="164" t="s">
        <v>426</v>
      </c>
      <c r="B297" s="165"/>
      <c r="C297" s="157" t="s">
        <v>235</v>
      </c>
      <c r="D297" s="115"/>
      <c r="E297" s="206">
        <v>4</v>
      </c>
      <c r="F297" s="21" t="s">
        <v>29</v>
      </c>
      <c r="G297" s="135"/>
      <c r="H297" s="139"/>
      <c r="I297" s="72"/>
      <c r="J297" s="51"/>
      <c r="K297" s="72"/>
      <c r="L297" s="51"/>
    </row>
    <row r="298" spans="1:12" s="10" customFormat="1" ht="14.25" customHeight="1" x14ac:dyDescent="0.2">
      <c r="A298" s="164" t="s">
        <v>427</v>
      </c>
      <c r="B298" s="165"/>
      <c r="C298" s="157" t="s">
        <v>286</v>
      </c>
      <c r="D298" s="115"/>
      <c r="E298" s="206">
        <v>1</v>
      </c>
      <c r="F298" s="21" t="s">
        <v>83</v>
      </c>
      <c r="G298" s="135"/>
      <c r="H298" s="139"/>
      <c r="I298" s="72"/>
      <c r="J298" s="51"/>
      <c r="K298" s="72"/>
      <c r="L298" s="51"/>
    </row>
    <row r="299" spans="1:12" s="10" customFormat="1" ht="14.25" customHeight="1" x14ac:dyDescent="0.2">
      <c r="A299" s="164" t="s">
        <v>428</v>
      </c>
      <c r="B299" s="165"/>
      <c r="C299" s="157" t="s">
        <v>287</v>
      </c>
      <c r="D299" s="115"/>
      <c r="E299" s="206">
        <v>1</v>
      </c>
      <c r="F299" s="21" t="s">
        <v>83</v>
      </c>
      <c r="G299" s="135"/>
      <c r="H299" s="139"/>
      <c r="I299" s="72"/>
      <c r="J299" s="51"/>
      <c r="K299" s="72"/>
      <c r="L299" s="51"/>
    </row>
    <row r="300" spans="1:12" s="10" customFormat="1" ht="14.25" customHeight="1" x14ac:dyDescent="0.2">
      <c r="A300" s="62">
        <v>11.8</v>
      </c>
      <c r="B300" s="169" t="s">
        <v>300</v>
      </c>
      <c r="C300" s="115"/>
      <c r="D300" s="115"/>
      <c r="E300" s="183"/>
      <c r="F300" s="27"/>
      <c r="G300" s="184"/>
      <c r="H300" s="160"/>
      <c r="I300" s="185"/>
      <c r="J300" s="48"/>
      <c r="K300" s="185"/>
      <c r="L300" s="150"/>
    </row>
    <row r="301" spans="1:12" s="10" customFormat="1" ht="14.25" customHeight="1" x14ac:dyDescent="0.2">
      <c r="A301" s="164" t="s">
        <v>429</v>
      </c>
      <c r="B301" s="165"/>
      <c r="C301" s="157" t="s">
        <v>283</v>
      </c>
      <c r="D301" s="115"/>
      <c r="E301" s="206">
        <v>35</v>
      </c>
      <c r="F301" s="21" t="s">
        <v>29</v>
      </c>
      <c r="G301" s="135"/>
      <c r="H301" s="139"/>
      <c r="I301" s="72"/>
      <c r="J301" s="51"/>
      <c r="K301" s="72"/>
      <c r="L301" s="51"/>
    </row>
    <row r="302" spans="1:12" s="10" customFormat="1" ht="14.25" customHeight="1" x14ac:dyDescent="0.2">
      <c r="A302" s="164" t="s">
        <v>430</v>
      </c>
      <c r="B302" s="165"/>
      <c r="C302" s="157" t="s">
        <v>231</v>
      </c>
      <c r="D302" s="115"/>
      <c r="E302" s="206">
        <v>35</v>
      </c>
      <c r="F302" s="21" t="s">
        <v>29</v>
      </c>
      <c r="G302" s="135"/>
      <c r="H302" s="139"/>
      <c r="I302" s="72"/>
      <c r="J302" s="51"/>
      <c r="K302" s="72"/>
      <c r="L302" s="51"/>
    </row>
    <row r="303" spans="1:12" s="10" customFormat="1" ht="14.25" customHeight="1" x14ac:dyDescent="0.2">
      <c r="A303" s="164" t="s">
        <v>431</v>
      </c>
      <c r="B303" s="165"/>
      <c r="C303" s="157" t="s">
        <v>284</v>
      </c>
      <c r="D303" s="115"/>
      <c r="E303" s="206">
        <v>21</v>
      </c>
      <c r="F303" s="21" t="s">
        <v>29</v>
      </c>
      <c r="G303" s="135"/>
      <c r="H303" s="139"/>
      <c r="I303" s="72"/>
      <c r="J303" s="51"/>
      <c r="K303" s="72"/>
      <c r="L303" s="51"/>
    </row>
    <row r="304" spans="1:12" s="10" customFormat="1" ht="14.25" customHeight="1" x14ac:dyDescent="0.2">
      <c r="A304" s="164" t="s">
        <v>432</v>
      </c>
      <c r="B304" s="165"/>
      <c r="C304" s="157" t="s">
        <v>289</v>
      </c>
      <c r="D304" s="115"/>
      <c r="E304" s="206">
        <v>1</v>
      </c>
      <c r="F304" s="21" t="s">
        <v>83</v>
      </c>
      <c r="G304" s="135"/>
      <c r="H304" s="139"/>
      <c r="I304" s="72"/>
      <c r="J304" s="51"/>
      <c r="K304" s="72"/>
      <c r="L304" s="51"/>
    </row>
    <row r="305" spans="1:12" s="10" customFormat="1" ht="14.25" customHeight="1" x14ac:dyDescent="0.2">
      <c r="A305" s="164" t="s">
        <v>433</v>
      </c>
      <c r="B305" s="165"/>
      <c r="C305" s="157" t="s">
        <v>233</v>
      </c>
      <c r="D305" s="115"/>
      <c r="E305" s="206">
        <v>2</v>
      </c>
      <c r="F305" s="21" t="s">
        <v>29</v>
      </c>
      <c r="G305" s="135"/>
      <c r="H305" s="139"/>
      <c r="I305" s="72"/>
      <c r="J305" s="51"/>
      <c r="K305" s="72"/>
      <c r="L305" s="51"/>
    </row>
    <row r="306" spans="1:12" s="10" customFormat="1" ht="14.25" customHeight="1" x14ac:dyDescent="0.2">
      <c r="A306" s="164" t="s">
        <v>434</v>
      </c>
      <c r="B306" s="165"/>
      <c r="C306" s="157" t="s">
        <v>285</v>
      </c>
      <c r="D306" s="115"/>
      <c r="E306" s="206">
        <v>6</v>
      </c>
      <c r="F306" s="21" t="s">
        <v>29</v>
      </c>
      <c r="G306" s="135"/>
      <c r="H306" s="139"/>
      <c r="I306" s="72"/>
      <c r="J306" s="51"/>
      <c r="K306" s="72"/>
      <c r="L306" s="51"/>
    </row>
    <row r="307" spans="1:12" s="10" customFormat="1" ht="14.25" customHeight="1" x14ac:dyDescent="0.2">
      <c r="A307" s="164" t="s">
        <v>435</v>
      </c>
      <c r="B307" s="165"/>
      <c r="C307" s="157" t="s">
        <v>234</v>
      </c>
      <c r="D307" s="115"/>
      <c r="E307" s="206">
        <v>28</v>
      </c>
      <c r="F307" s="21" t="s">
        <v>29</v>
      </c>
      <c r="G307" s="135"/>
      <c r="H307" s="139"/>
      <c r="I307" s="72"/>
      <c r="J307" s="51"/>
      <c r="K307" s="72"/>
      <c r="L307" s="51"/>
    </row>
    <row r="308" spans="1:12" s="10" customFormat="1" ht="14.25" customHeight="1" x14ac:dyDescent="0.2">
      <c r="A308" s="164" t="s">
        <v>436</v>
      </c>
      <c r="B308" s="165"/>
      <c r="C308" s="157" t="s">
        <v>293</v>
      </c>
      <c r="D308" s="115"/>
      <c r="E308" s="206">
        <v>2</v>
      </c>
      <c r="F308" s="21" t="s">
        <v>29</v>
      </c>
      <c r="G308" s="135"/>
      <c r="H308" s="139"/>
      <c r="I308" s="72"/>
      <c r="J308" s="51"/>
      <c r="K308" s="72"/>
      <c r="L308" s="51"/>
    </row>
    <row r="309" spans="1:12" s="10" customFormat="1" ht="14.25" customHeight="1" x14ac:dyDescent="0.2">
      <c r="A309" s="164" t="s">
        <v>437</v>
      </c>
      <c r="B309" s="165"/>
      <c r="C309" s="157" t="s">
        <v>292</v>
      </c>
      <c r="D309" s="115"/>
      <c r="E309" s="206">
        <v>4</v>
      </c>
      <c r="F309" s="21" t="s">
        <v>29</v>
      </c>
      <c r="G309" s="135"/>
      <c r="H309" s="139"/>
      <c r="I309" s="72"/>
      <c r="J309" s="51"/>
      <c r="K309" s="72"/>
      <c r="L309" s="51"/>
    </row>
    <row r="310" spans="1:12" s="10" customFormat="1" ht="14.25" customHeight="1" x14ac:dyDescent="0.2">
      <c r="A310" s="164" t="s">
        <v>438</v>
      </c>
      <c r="B310" s="165"/>
      <c r="C310" s="157" t="s">
        <v>291</v>
      </c>
      <c r="D310" s="115"/>
      <c r="E310" s="206">
        <v>4</v>
      </c>
      <c r="F310" s="21" t="s">
        <v>29</v>
      </c>
      <c r="G310" s="135"/>
      <c r="H310" s="139"/>
      <c r="I310" s="72"/>
      <c r="J310" s="51"/>
      <c r="K310" s="72"/>
      <c r="L310" s="51"/>
    </row>
    <row r="311" spans="1:12" s="10" customFormat="1" ht="14.25" customHeight="1" x14ac:dyDescent="0.2">
      <c r="A311" s="164" t="s">
        <v>439</v>
      </c>
      <c r="B311" s="165"/>
      <c r="C311" s="157" t="s">
        <v>236</v>
      </c>
      <c r="D311" s="115"/>
      <c r="E311" s="206">
        <v>4</v>
      </c>
      <c r="F311" s="21" t="s">
        <v>29</v>
      </c>
      <c r="G311" s="135"/>
      <c r="H311" s="139"/>
      <c r="I311" s="72"/>
      <c r="J311" s="51"/>
      <c r="K311" s="72"/>
      <c r="L311" s="51"/>
    </row>
    <row r="312" spans="1:12" s="10" customFormat="1" ht="14.25" customHeight="1" x14ac:dyDescent="0.2">
      <c r="A312" s="62">
        <v>11.9</v>
      </c>
      <c r="B312" s="169" t="s">
        <v>237</v>
      </c>
      <c r="C312" s="115"/>
      <c r="D312" s="115"/>
      <c r="E312" s="183"/>
      <c r="F312" s="27"/>
      <c r="G312" s="184"/>
      <c r="H312" s="160"/>
      <c r="I312" s="185"/>
      <c r="J312" s="48"/>
      <c r="K312" s="185"/>
      <c r="L312" s="150"/>
    </row>
    <row r="313" spans="1:12" ht="14.25" customHeight="1" x14ac:dyDescent="0.2">
      <c r="A313" s="55" t="s">
        <v>440</v>
      </c>
      <c r="B313" s="114"/>
      <c r="C313" s="115" t="s">
        <v>238</v>
      </c>
      <c r="D313" s="115"/>
      <c r="E313" s="206">
        <v>58</v>
      </c>
      <c r="F313" s="21" t="s">
        <v>163</v>
      </c>
      <c r="G313" s="135"/>
      <c r="H313" s="139"/>
      <c r="I313" s="72"/>
      <c r="J313" s="51"/>
      <c r="K313" s="72"/>
      <c r="L313" s="51"/>
    </row>
    <row r="314" spans="1:12" ht="14.25" customHeight="1" x14ac:dyDescent="0.2">
      <c r="A314" s="55" t="s">
        <v>441</v>
      </c>
      <c r="B314" s="114"/>
      <c r="C314" s="115" t="s">
        <v>239</v>
      </c>
      <c r="D314" s="115"/>
      <c r="E314" s="206">
        <v>58</v>
      </c>
      <c r="F314" s="21" t="s">
        <v>163</v>
      </c>
      <c r="G314" s="135"/>
      <c r="H314" s="139"/>
      <c r="I314" s="72"/>
      <c r="J314" s="51"/>
      <c r="K314" s="72"/>
      <c r="L314" s="51"/>
    </row>
    <row r="315" spans="1:12" ht="14.25" customHeight="1" x14ac:dyDescent="0.2">
      <c r="A315" s="55" t="s">
        <v>442</v>
      </c>
      <c r="B315" s="114"/>
      <c r="C315" s="115" t="s">
        <v>240</v>
      </c>
      <c r="D315" s="115"/>
      <c r="E315" s="206">
        <v>2</v>
      </c>
      <c r="F315" s="21" t="s">
        <v>163</v>
      </c>
      <c r="G315" s="135"/>
      <c r="H315" s="139"/>
      <c r="I315" s="72"/>
      <c r="J315" s="51"/>
      <c r="K315" s="72"/>
      <c r="L315" s="51"/>
    </row>
    <row r="316" spans="1:12" s="23" customFormat="1" ht="14.25" customHeight="1" x14ac:dyDescent="0.2">
      <c r="A316" s="63">
        <v>11.1</v>
      </c>
      <c r="B316" s="169" t="s">
        <v>85</v>
      </c>
      <c r="C316" s="115"/>
      <c r="D316" s="115"/>
      <c r="E316" s="183"/>
      <c r="F316" s="27"/>
      <c r="G316" s="184"/>
      <c r="H316" s="27"/>
      <c r="I316" s="185"/>
      <c r="J316" s="48"/>
      <c r="K316" s="185"/>
      <c r="L316" s="150"/>
    </row>
    <row r="317" spans="1:12" s="23" customFormat="1" ht="14.25" customHeight="1" x14ac:dyDescent="0.2">
      <c r="A317" s="55" t="s">
        <v>443</v>
      </c>
      <c r="B317" s="114"/>
      <c r="C317" s="115" t="s">
        <v>295</v>
      </c>
      <c r="D317" s="115"/>
      <c r="E317" s="206">
        <v>1</v>
      </c>
      <c r="F317" s="21" t="s">
        <v>484</v>
      </c>
      <c r="G317" s="135"/>
      <c r="H317" s="27"/>
      <c r="I317" s="72"/>
      <c r="J317" s="51"/>
      <c r="K317" s="72"/>
      <c r="L317" s="51"/>
    </row>
    <row r="318" spans="1:12" s="23" customFormat="1" ht="14.25" customHeight="1" x14ac:dyDescent="0.2">
      <c r="A318" s="55" t="s">
        <v>444</v>
      </c>
      <c r="B318" s="114"/>
      <c r="C318" s="115" t="s">
        <v>294</v>
      </c>
      <c r="D318" s="115"/>
      <c r="E318" s="206">
        <v>2</v>
      </c>
      <c r="F318" s="21" t="s">
        <v>163</v>
      </c>
      <c r="G318" s="135"/>
      <c r="H318" s="27"/>
      <c r="I318" s="72"/>
      <c r="J318" s="51"/>
      <c r="K318" s="72"/>
      <c r="L318" s="51"/>
    </row>
    <row r="319" spans="1:12" s="23" customFormat="1" ht="14.25" customHeight="1" x14ac:dyDescent="0.2">
      <c r="A319" s="55" t="s">
        <v>445</v>
      </c>
      <c r="B319" s="114"/>
      <c r="C319" s="115" t="s">
        <v>241</v>
      </c>
      <c r="D319" s="115"/>
      <c r="E319" s="206">
        <v>13</v>
      </c>
      <c r="F319" s="21" t="s">
        <v>163</v>
      </c>
      <c r="G319" s="135"/>
      <c r="H319" s="27"/>
      <c r="I319" s="72"/>
      <c r="J319" s="51"/>
      <c r="K319" s="72"/>
      <c r="L319" s="51"/>
    </row>
    <row r="320" spans="1:12" s="23" customFormat="1" ht="14.25" customHeight="1" x14ac:dyDescent="0.2">
      <c r="A320" s="55" t="s">
        <v>446</v>
      </c>
      <c r="B320" s="114"/>
      <c r="C320" s="115" t="s">
        <v>242</v>
      </c>
      <c r="D320" s="115"/>
      <c r="E320" s="206">
        <v>46</v>
      </c>
      <c r="F320" s="21" t="s">
        <v>163</v>
      </c>
      <c r="G320" s="135"/>
      <c r="H320" s="27"/>
      <c r="I320" s="72"/>
      <c r="J320" s="51"/>
      <c r="K320" s="72"/>
      <c r="L320" s="51"/>
    </row>
    <row r="321" spans="1:12" s="23" customFormat="1" ht="14.25" customHeight="1" x14ac:dyDescent="0.2">
      <c r="A321" s="63">
        <v>11.11</v>
      </c>
      <c r="B321" s="169" t="s">
        <v>243</v>
      </c>
      <c r="C321" s="115"/>
      <c r="D321" s="115"/>
      <c r="E321" s="183"/>
      <c r="F321" s="27"/>
      <c r="G321" s="184"/>
      <c r="H321" s="27"/>
      <c r="I321" s="185"/>
      <c r="J321" s="48"/>
      <c r="K321" s="185"/>
      <c r="L321" s="150"/>
    </row>
    <row r="322" spans="1:12" s="23" customFormat="1" ht="14.25" customHeight="1" x14ac:dyDescent="0.2">
      <c r="A322" s="58" t="s">
        <v>447</v>
      </c>
      <c r="B322" s="17"/>
      <c r="C322" s="16" t="s">
        <v>244</v>
      </c>
      <c r="D322" s="16"/>
      <c r="E322" s="206">
        <v>2</v>
      </c>
      <c r="F322" s="21" t="s">
        <v>29</v>
      </c>
      <c r="G322" s="135"/>
      <c r="H322" s="27"/>
      <c r="I322" s="71"/>
      <c r="J322" s="51"/>
      <c r="K322" s="71"/>
      <c r="L322" s="51"/>
    </row>
    <row r="323" spans="1:12" s="23" customFormat="1" ht="14.25" customHeight="1" x14ac:dyDescent="0.2">
      <c r="A323" s="58">
        <v>11.12</v>
      </c>
      <c r="B323" s="17" t="s">
        <v>36</v>
      </c>
      <c r="C323" s="16"/>
      <c r="D323" s="16"/>
      <c r="E323" s="206">
        <v>300</v>
      </c>
      <c r="F323" s="21" t="s">
        <v>21</v>
      </c>
      <c r="G323" s="135"/>
      <c r="H323" s="27"/>
      <c r="I323" s="71"/>
      <c r="J323" s="51"/>
      <c r="K323" s="71"/>
      <c r="L323" s="51"/>
    </row>
    <row r="324" spans="1:12" s="23" customFormat="1" ht="14.25" customHeight="1" x14ac:dyDescent="0.2">
      <c r="A324" s="63">
        <v>11.13</v>
      </c>
      <c r="B324" s="169" t="s">
        <v>42</v>
      </c>
      <c r="C324" s="115"/>
      <c r="D324" s="115"/>
      <c r="E324" s="183"/>
      <c r="F324" s="27"/>
      <c r="G324" s="184"/>
      <c r="H324" s="27"/>
      <c r="I324" s="185"/>
      <c r="J324" s="48"/>
      <c r="K324" s="185"/>
      <c r="L324" s="150"/>
    </row>
    <row r="325" spans="1:12" s="23" customFormat="1" ht="14.25" customHeight="1" x14ac:dyDescent="0.2">
      <c r="A325" s="55" t="s">
        <v>245</v>
      </c>
      <c r="B325" s="18" t="s">
        <v>40</v>
      </c>
      <c r="C325" s="8"/>
      <c r="D325" s="8"/>
      <c r="E325" s="206" t="s">
        <v>198</v>
      </c>
      <c r="F325" s="21" t="s">
        <v>83</v>
      </c>
      <c r="G325" s="130"/>
      <c r="H325" s="90" t="s">
        <v>228</v>
      </c>
      <c r="I325" s="30"/>
      <c r="J325" s="90" t="s">
        <v>228</v>
      </c>
      <c r="K325" s="30"/>
      <c r="L325" s="21" t="s">
        <v>228</v>
      </c>
    </row>
    <row r="326" spans="1:12" s="23" customFormat="1" ht="14.25" customHeight="1" x14ac:dyDescent="0.2">
      <c r="A326" s="55" t="s">
        <v>246</v>
      </c>
      <c r="B326" s="18" t="s">
        <v>39</v>
      </c>
      <c r="C326" s="8"/>
      <c r="D326" s="8"/>
      <c r="E326" s="206" t="s">
        <v>198</v>
      </c>
      <c r="F326" s="21" t="s">
        <v>83</v>
      </c>
      <c r="G326" s="130"/>
      <c r="H326" s="90" t="s">
        <v>228</v>
      </c>
      <c r="I326" s="30"/>
      <c r="J326" s="90" t="s">
        <v>228</v>
      </c>
      <c r="K326" s="30"/>
      <c r="L326" s="21" t="s">
        <v>228</v>
      </c>
    </row>
    <row r="327" spans="1:12" s="23" customFormat="1" ht="14.25" customHeight="1" x14ac:dyDescent="0.2">
      <c r="A327" s="55" t="s">
        <v>247</v>
      </c>
      <c r="B327" s="18" t="s">
        <v>12</v>
      </c>
      <c r="C327" s="8"/>
      <c r="D327" s="8"/>
      <c r="E327" s="206" t="s">
        <v>198</v>
      </c>
      <c r="F327" s="21" t="s">
        <v>83</v>
      </c>
      <c r="G327" s="130"/>
      <c r="H327" s="90" t="s">
        <v>228</v>
      </c>
      <c r="I327" s="30"/>
      <c r="J327" s="90" t="s">
        <v>228</v>
      </c>
      <c r="K327" s="30"/>
      <c r="L327" s="21" t="s">
        <v>228</v>
      </c>
    </row>
    <row r="328" spans="1:12" s="23" customFormat="1" ht="14.25" customHeight="1" x14ac:dyDescent="0.2">
      <c r="A328" s="55" t="s">
        <v>248</v>
      </c>
      <c r="B328" s="17" t="s">
        <v>13</v>
      </c>
      <c r="C328" s="16"/>
      <c r="D328" s="16"/>
      <c r="E328" s="206" t="s">
        <v>198</v>
      </c>
      <c r="F328" s="21" t="s">
        <v>83</v>
      </c>
      <c r="G328" s="130"/>
      <c r="H328" s="90" t="s">
        <v>228</v>
      </c>
      <c r="I328" s="30"/>
      <c r="J328" s="90" t="s">
        <v>228</v>
      </c>
      <c r="K328" s="30"/>
      <c r="L328" s="21" t="s">
        <v>228</v>
      </c>
    </row>
    <row r="329" spans="1:12" s="23" customFormat="1" ht="14.25" customHeight="1" x14ac:dyDescent="0.2">
      <c r="A329" s="55" t="s">
        <v>249</v>
      </c>
      <c r="B329" s="17" t="s">
        <v>41</v>
      </c>
      <c r="C329" s="16"/>
      <c r="D329" s="31"/>
      <c r="E329" s="206" t="s">
        <v>198</v>
      </c>
      <c r="F329" s="21" t="s">
        <v>83</v>
      </c>
      <c r="G329" s="130"/>
      <c r="H329" s="90" t="s">
        <v>228</v>
      </c>
      <c r="I329" s="30"/>
      <c r="J329" s="90" t="s">
        <v>228</v>
      </c>
      <c r="K329" s="30"/>
      <c r="L329" s="21" t="s">
        <v>228</v>
      </c>
    </row>
    <row r="330" spans="1:12" s="23" customFormat="1" ht="14.25" customHeight="1" x14ac:dyDescent="0.2">
      <c r="A330" s="63">
        <v>11.14</v>
      </c>
      <c r="B330" s="169" t="s">
        <v>51</v>
      </c>
      <c r="C330" s="115"/>
      <c r="D330" s="115"/>
      <c r="E330" s="183"/>
      <c r="F330" s="27"/>
      <c r="G330" s="184"/>
      <c r="H330" s="27"/>
      <c r="I330" s="185"/>
      <c r="J330" s="48"/>
      <c r="K330" s="185"/>
      <c r="L330" s="150"/>
    </row>
    <row r="331" spans="1:12" s="23" customFormat="1" ht="14.25" customHeight="1" x14ac:dyDescent="0.2">
      <c r="A331" s="55" t="s">
        <v>448</v>
      </c>
      <c r="B331" s="18" t="s">
        <v>40</v>
      </c>
      <c r="C331" s="8"/>
      <c r="D331" s="8"/>
      <c r="E331" s="206" t="s">
        <v>198</v>
      </c>
      <c r="F331" s="21" t="s">
        <v>83</v>
      </c>
      <c r="G331" s="130"/>
      <c r="H331" s="90" t="s">
        <v>228</v>
      </c>
      <c r="I331" s="30"/>
      <c r="J331" s="90" t="s">
        <v>228</v>
      </c>
      <c r="K331" s="30"/>
      <c r="L331" s="21" t="s">
        <v>228</v>
      </c>
    </row>
    <row r="332" spans="1:12" s="23" customFormat="1" ht="14.25" customHeight="1" x14ac:dyDescent="0.2">
      <c r="A332" s="55" t="s">
        <v>449</v>
      </c>
      <c r="B332" s="18" t="s">
        <v>39</v>
      </c>
      <c r="C332" s="8"/>
      <c r="D332" s="8"/>
      <c r="E332" s="206" t="s">
        <v>198</v>
      </c>
      <c r="F332" s="21" t="s">
        <v>83</v>
      </c>
      <c r="G332" s="130"/>
      <c r="H332" s="90" t="s">
        <v>228</v>
      </c>
      <c r="I332" s="30"/>
      <c r="J332" s="90" t="s">
        <v>228</v>
      </c>
      <c r="K332" s="30"/>
      <c r="L332" s="21" t="s">
        <v>228</v>
      </c>
    </row>
    <row r="333" spans="1:12" s="23" customFormat="1" ht="14.25" customHeight="1" x14ac:dyDescent="0.2">
      <c r="A333" s="55" t="s">
        <v>450</v>
      </c>
      <c r="B333" s="17" t="s">
        <v>12</v>
      </c>
      <c r="C333" s="16"/>
      <c r="D333" s="16"/>
      <c r="E333" s="206" t="s">
        <v>198</v>
      </c>
      <c r="F333" s="21" t="s">
        <v>22</v>
      </c>
      <c r="G333" s="130"/>
      <c r="H333" s="90" t="s">
        <v>228</v>
      </c>
      <c r="I333" s="30"/>
      <c r="J333" s="90" t="s">
        <v>228</v>
      </c>
      <c r="K333" s="30"/>
      <c r="L333" s="21" t="s">
        <v>228</v>
      </c>
    </row>
    <row r="334" spans="1:12" s="23" customFormat="1" ht="14.25" customHeight="1" x14ac:dyDescent="0.2">
      <c r="A334" s="55" t="s">
        <v>451</v>
      </c>
      <c r="B334" s="17" t="s">
        <v>13</v>
      </c>
      <c r="C334" s="16"/>
      <c r="D334" s="109"/>
      <c r="E334" s="206" t="s">
        <v>198</v>
      </c>
      <c r="F334" s="21" t="s">
        <v>22</v>
      </c>
      <c r="G334" s="130"/>
      <c r="H334" s="90" t="s">
        <v>228</v>
      </c>
      <c r="I334" s="30"/>
      <c r="J334" s="90" t="s">
        <v>228</v>
      </c>
      <c r="K334" s="30"/>
      <c r="L334" s="21" t="s">
        <v>228</v>
      </c>
    </row>
    <row r="335" spans="1:12" s="23" customFormat="1" ht="14.25" customHeight="1" x14ac:dyDescent="0.2">
      <c r="A335" s="55" t="s">
        <v>452</v>
      </c>
      <c r="B335" s="17" t="s">
        <v>41</v>
      </c>
      <c r="C335" s="16"/>
      <c r="D335" s="109"/>
      <c r="E335" s="206" t="s">
        <v>198</v>
      </c>
      <c r="F335" s="21" t="s">
        <v>22</v>
      </c>
      <c r="G335" s="130"/>
      <c r="H335" s="90" t="s">
        <v>228</v>
      </c>
      <c r="I335" s="30"/>
      <c r="J335" s="90" t="s">
        <v>228</v>
      </c>
      <c r="K335" s="30"/>
      <c r="L335" s="21" t="s">
        <v>228</v>
      </c>
    </row>
    <row r="336" spans="1:12" s="23" customFormat="1" ht="14.25" customHeight="1" x14ac:dyDescent="0.2">
      <c r="A336" s="79">
        <v>11.15</v>
      </c>
      <c r="B336" s="17" t="s">
        <v>86</v>
      </c>
      <c r="C336" s="16"/>
      <c r="D336" s="16"/>
      <c r="E336" s="206">
        <v>1</v>
      </c>
      <c r="F336" s="21" t="s">
        <v>30</v>
      </c>
      <c r="G336" s="135"/>
      <c r="H336" s="89"/>
      <c r="I336" s="68"/>
      <c r="J336" s="51"/>
      <c r="K336" s="68"/>
      <c r="L336" s="51"/>
    </row>
    <row r="337" spans="1:12" s="23" customFormat="1" ht="14.25" customHeight="1" x14ac:dyDescent="0.2">
      <c r="A337" s="79">
        <v>11.16</v>
      </c>
      <c r="B337" s="17" t="s">
        <v>298</v>
      </c>
      <c r="C337" s="16"/>
      <c r="D337" s="109"/>
      <c r="E337" s="206">
        <v>1</v>
      </c>
      <c r="F337" s="21" t="s">
        <v>30</v>
      </c>
      <c r="G337" s="135"/>
      <c r="H337" s="89"/>
      <c r="I337" s="68"/>
      <c r="J337" s="51"/>
      <c r="K337" s="68"/>
      <c r="L337" s="51"/>
    </row>
    <row r="338" spans="1:12" s="23" customFormat="1" ht="14.25" customHeight="1" x14ac:dyDescent="0.2">
      <c r="A338" s="79">
        <v>11.17</v>
      </c>
      <c r="B338" s="17" t="s">
        <v>87</v>
      </c>
      <c r="C338" s="16"/>
      <c r="D338" s="109"/>
      <c r="E338" s="206">
        <v>1</v>
      </c>
      <c r="F338" s="21" t="s">
        <v>30</v>
      </c>
      <c r="G338" s="135"/>
      <c r="H338" s="89"/>
      <c r="I338" s="68"/>
      <c r="J338" s="51"/>
      <c r="K338" s="68"/>
      <c r="L338" s="51"/>
    </row>
    <row r="339" spans="1:12" s="23" customFormat="1" ht="14.25" customHeight="1" x14ac:dyDescent="0.2">
      <c r="A339" s="79">
        <v>11.18</v>
      </c>
      <c r="B339" s="17" t="s">
        <v>32</v>
      </c>
      <c r="C339" s="16"/>
      <c r="D339" s="109"/>
      <c r="E339" s="206">
        <v>1</v>
      </c>
      <c r="F339" s="21" t="s">
        <v>30</v>
      </c>
      <c r="G339" s="135"/>
      <c r="H339" s="89"/>
      <c r="I339" s="68"/>
      <c r="J339" s="51"/>
      <c r="K339" s="68"/>
      <c r="L339" s="51"/>
    </row>
    <row r="340" spans="1:12" ht="14.25" customHeight="1" thickBot="1" x14ac:dyDescent="0.25">
      <c r="A340" s="79">
        <v>11.19</v>
      </c>
      <c r="B340" s="17" t="s">
        <v>88</v>
      </c>
      <c r="C340" s="16"/>
      <c r="D340" s="109"/>
      <c r="E340" s="206">
        <v>1</v>
      </c>
      <c r="F340" s="21" t="s">
        <v>30</v>
      </c>
      <c r="G340" s="135"/>
      <c r="H340" s="89"/>
      <c r="I340" s="68"/>
      <c r="J340" s="51"/>
      <c r="K340" s="68"/>
      <c r="L340" s="51"/>
    </row>
    <row r="341" spans="1:12" s="22" customFormat="1" ht="14.25" customHeight="1" thickBot="1" x14ac:dyDescent="0.25">
      <c r="A341" s="876" t="s">
        <v>147</v>
      </c>
      <c r="B341" s="877"/>
      <c r="C341" s="877"/>
      <c r="D341" s="877"/>
      <c r="E341" s="877"/>
      <c r="F341" s="877"/>
      <c r="G341" s="877"/>
      <c r="H341" s="877"/>
      <c r="I341" s="877"/>
      <c r="J341" s="877"/>
      <c r="K341" s="878"/>
      <c r="L341" s="50"/>
    </row>
    <row r="342" spans="1:12" s="23" customFormat="1" ht="14.25" customHeight="1" x14ac:dyDescent="0.2">
      <c r="A342" s="65">
        <v>12</v>
      </c>
      <c r="B342" s="39" t="s">
        <v>126</v>
      </c>
      <c r="C342" s="2"/>
      <c r="D342" s="9"/>
      <c r="E342" s="186"/>
      <c r="F342" s="43"/>
      <c r="G342" s="43"/>
      <c r="H342" s="43"/>
      <c r="I342" s="187"/>
      <c r="J342" s="187"/>
      <c r="K342" s="187"/>
      <c r="L342" s="81"/>
    </row>
    <row r="343" spans="1:12" s="23" customFormat="1" ht="14.25" customHeight="1" x14ac:dyDescent="0.2">
      <c r="A343" s="55">
        <v>12.1</v>
      </c>
      <c r="B343" s="114" t="s">
        <v>112</v>
      </c>
      <c r="C343" s="115"/>
      <c r="D343" s="115"/>
      <c r="E343" s="204">
        <v>35000</v>
      </c>
      <c r="F343" s="21" t="s">
        <v>21</v>
      </c>
      <c r="G343" s="135"/>
      <c r="H343" s="90"/>
      <c r="I343" s="71"/>
      <c r="J343" s="51"/>
      <c r="K343" s="71"/>
      <c r="L343" s="51"/>
    </row>
    <row r="344" spans="1:12" s="23" customFormat="1" ht="25.5" customHeight="1" x14ac:dyDescent="0.2">
      <c r="A344" s="55">
        <v>12.2</v>
      </c>
      <c r="B344" s="884" t="s">
        <v>250</v>
      </c>
      <c r="C344" s="880"/>
      <c r="D344" s="880"/>
      <c r="E344" s="204">
        <v>13000</v>
      </c>
      <c r="F344" s="21" t="s">
        <v>21</v>
      </c>
      <c r="G344" s="135"/>
      <c r="H344" s="90"/>
      <c r="I344" s="71"/>
      <c r="J344" s="51"/>
      <c r="K344" s="71"/>
      <c r="L344" s="51"/>
    </row>
    <row r="345" spans="1:12" s="23" customFormat="1" ht="14.25" customHeight="1" x14ac:dyDescent="0.2">
      <c r="A345" s="55">
        <v>12.3</v>
      </c>
      <c r="B345" s="114" t="s">
        <v>251</v>
      </c>
      <c r="C345" s="115"/>
      <c r="D345" s="115"/>
      <c r="E345" s="204">
        <v>13500</v>
      </c>
      <c r="F345" s="21" t="s">
        <v>21</v>
      </c>
      <c r="G345" s="135"/>
      <c r="H345" s="90"/>
      <c r="I345" s="72"/>
      <c r="J345" s="51"/>
      <c r="K345" s="72"/>
      <c r="L345" s="51"/>
    </row>
    <row r="346" spans="1:12" s="23" customFormat="1" ht="14.25" customHeight="1" x14ac:dyDescent="0.2">
      <c r="A346" s="62">
        <v>12.4</v>
      </c>
      <c r="B346" s="25" t="s">
        <v>206</v>
      </c>
      <c r="C346" s="8"/>
      <c r="D346" s="8"/>
      <c r="E346" s="174"/>
      <c r="F346" s="27"/>
      <c r="G346" s="27"/>
      <c r="H346" s="27"/>
      <c r="I346" s="74"/>
      <c r="J346" s="74"/>
      <c r="K346" s="74"/>
      <c r="L346" s="82"/>
    </row>
    <row r="347" spans="1:12" s="23" customFormat="1" ht="14.25" customHeight="1" x14ac:dyDescent="0.2">
      <c r="A347" s="55" t="s">
        <v>453</v>
      </c>
      <c r="B347" s="17" t="s">
        <v>40</v>
      </c>
      <c r="C347" s="16"/>
      <c r="D347" s="109"/>
      <c r="E347" s="204">
        <v>30</v>
      </c>
      <c r="F347" s="21" t="s">
        <v>22</v>
      </c>
      <c r="G347" s="136"/>
      <c r="H347" s="90"/>
      <c r="I347" s="42"/>
      <c r="J347" s="51"/>
      <c r="K347" s="42"/>
      <c r="L347" s="51"/>
    </row>
    <row r="348" spans="1:12" s="23" customFormat="1" ht="14.25" customHeight="1" x14ac:dyDescent="0.2">
      <c r="A348" s="55" t="s">
        <v>454</v>
      </c>
      <c r="B348" s="17" t="s">
        <v>39</v>
      </c>
      <c r="C348" s="16"/>
      <c r="D348" s="109"/>
      <c r="E348" s="204">
        <v>600</v>
      </c>
      <c r="F348" s="21" t="s">
        <v>22</v>
      </c>
      <c r="G348" s="136"/>
      <c r="H348" s="90"/>
      <c r="I348" s="42"/>
      <c r="J348" s="51"/>
      <c r="K348" s="42"/>
      <c r="L348" s="51"/>
    </row>
    <row r="349" spans="1:12" s="23" customFormat="1" ht="14.25" customHeight="1" x14ac:dyDescent="0.2">
      <c r="A349" s="55" t="s">
        <v>455</v>
      </c>
      <c r="B349" s="17" t="s">
        <v>5</v>
      </c>
      <c r="C349" s="16"/>
      <c r="D349" s="109"/>
      <c r="E349" s="204">
        <v>1200</v>
      </c>
      <c r="F349" s="21" t="s">
        <v>22</v>
      </c>
      <c r="G349" s="136"/>
      <c r="H349" s="90"/>
      <c r="I349" s="42"/>
      <c r="J349" s="51"/>
      <c r="K349" s="42"/>
      <c r="L349" s="51"/>
    </row>
    <row r="350" spans="1:12" s="23" customFormat="1" ht="14.25" customHeight="1" x14ac:dyDescent="0.2">
      <c r="A350" s="55" t="s">
        <v>456</v>
      </c>
      <c r="B350" s="17" t="s">
        <v>6</v>
      </c>
      <c r="C350" s="16"/>
      <c r="D350" s="109"/>
      <c r="E350" s="204">
        <v>1000</v>
      </c>
      <c r="F350" s="21" t="s">
        <v>22</v>
      </c>
      <c r="G350" s="136"/>
      <c r="H350" s="90"/>
      <c r="I350" s="42"/>
      <c r="J350" s="51"/>
      <c r="K350" s="42"/>
      <c r="L350" s="51"/>
    </row>
    <row r="351" spans="1:12" s="23" customFormat="1" ht="14.25" customHeight="1" x14ac:dyDescent="0.2">
      <c r="A351" s="55" t="s">
        <v>457</v>
      </c>
      <c r="B351" s="17" t="s">
        <v>33</v>
      </c>
      <c r="C351" s="16"/>
      <c r="D351" s="109"/>
      <c r="E351" s="204">
        <v>200</v>
      </c>
      <c r="F351" s="21" t="s">
        <v>22</v>
      </c>
      <c r="G351" s="136"/>
      <c r="H351" s="90"/>
      <c r="I351" s="42"/>
      <c r="J351" s="51"/>
      <c r="K351" s="42"/>
      <c r="L351" s="51"/>
    </row>
    <row r="352" spans="1:12" s="23" customFormat="1" ht="14.25" customHeight="1" x14ac:dyDescent="0.2">
      <c r="A352" s="55" t="s">
        <v>458</v>
      </c>
      <c r="B352" s="17" t="s">
        <v>7</v>
      </c>
      <c r="C352" s="16"/>
      <c r="D352" s="109"/>
      <c r="E352" s="204">
        <v>200</v>
      </c>
      <c r="F352" s="21" t="s">
        <v>22</v>
      </c>
      <c r="G352" s="136"/>
      <c r="H352" s="90"/>
      <c r="I352" s="42"/>
      <c r="J352" s="51"/>
      <c r="K352" s="42"/>
      <c r="L352" s="51"/>
    </row>
    <row r="353" spans="1:12" s="23" customFormat="1" ht="14.25" customHeight="1" x14ac:dyDescent="0.2">
      <c r="A353" s="55" t="s">
        <v>459</v>
      </c>
      <c r="B353" s="17" t="s">
        <v>38</v>
      </c>
      <c r="C353" s="16"/>
      <c r="D353" s="109"/>
      <c r="E353" s="204">
        <v>550</v>
      </c>
      <c r="F353" s="21" t="s">
        <v>22</v>
      </c>
      <c r="G353" s="136"/>
      <c r="H353" s="90"/>
      <c r="I353" s="42"/>
      <c r="J353" s="51"/>
      <c r="K353" s="42"/>
      <c r="L353" s="51"/>
    </row>
    <row r="354" spans="1:12" s="23" customFormat="1" ht="14.25" customHeight="1" x14ac:dyDescent="0.2">
      <c r="A354" s="55" t="s">
        <v>460</v>
      </c>
      <c r="B354" s="17" t="s">
        <v>19</v>
      </c>
      <c r="C354" s="16"/>
      <c r="D354" s="109"/>
      <c r="E354" s="204">
        <v>1300</v>
      </c>
      <c r="F354" s="21" t="s">
        <v>22</v>
      </c>
      <c r="G354" s="136"/>
      <c r="H354" s="90"/>
      <c r="I354" s="42"/>
      <c r="J354" s="51"/>
      <c r="K354" s="42"/>
      <c r="L354" s="51"/>
    </row>
    <row r="355" spans="1:12" s="23" customFormat="1" ht="14.25" customHeight="1" x14ac:dyDescent="0.2">
      <c r="A355" s="55" t="s">
        <v>461</v>
      </c>
      <c r="B355" s="17" t="s">
        <v>20</v>
      </c>
      <c r="C355" s="16"/>
      <c r="D355" s="109"/>
      <c r="E355" s="204">
        <v>18000</v>
      </c>
      <c r="F355" s="21" t="s">
        <v>22</v>
      </c>
      <c r="G355" s="136"/>
      <c r="H355" s="90"/>
      <c r="I355" s="42"/>
      <c r="J355" s="51"/>
      <c r="K355" s="42"/>
      <c r="L355" s="51"/>
    </row>
    <row r="356" spans="1:12" s="23" customFormat="1" ht="14.25" customHeight="1" x14ac:dyDescent="0.2">
      <c r="A356" s="55" t="s">
        <v>462</v>
      </c>
      <c r="B356" s="17" t="s">
        <v>8</v>
      </c>
      <c r="C356" s="16"/>
      <c r="D356" s="109"/>
      <c r="E356" s="204">
        <v>4800</v>
      </c>
      <c r="F356" s="21" t="s">
        <v>22</v>
      </c>
      <c r="G356" s="136"/>
      <c r="H356" s="90"/>
      <c r="I356" s="42"/>
      <c r="J356" s="51"/>
      <c r="K356" s="42"/>
      <c r="L356" s="51"/>
    </row>
    <row r="357" spans="1:12" s="23" customFormat="1" ht="14.25" customHeight="1" x14ac:dyDescent="0.2">
      <c r="A357" s="55" t="s">
        <v>463</v>
      </c>
      <c r="B357" s="17" t="s">
        <v>9</v>
      </c>
      <c r="C357" s="16"/>
      <c r="D357" s="109"/>
      <c r="E357" s="204">
        <v>2200</v>
      </c>
      <c r="F357" s="21" t="s">
        <v>22</v>
      </c>
      <c r="G357" s="136"/>
      <c r="H357" s="90"/>
      <c r="I357" s="42"/>
      <c r="J357" s="51"/>
      <c r="K357" s="42"/>
      <c r="L357" s="51"/>
    </row>
    <row r="358" spans="1:12" s="23" customFormat="1" ht="14.25" customHeight="1" x14ac:dyDescent="0.2">
      <c r="A358" s="55" t="s">
        <v>464</v>
      </c>
      <c r="B358" s="17" t="s">
        <v>10</v>
      </c>
      <c r="C358" s="16"/>
      <c r="D358" s="109"/>
      <c r="E358" s="204">
        <v>975</v>
      </c>
      <c r="F358" s="21" t="s">
        <v>22</v>
      </c>
      <c r="G358" s="136"/>
      <c r="H358" s="90"/>
      <c r="I358" s="42"/>
      <c r="J358" s="51"/>
      <c r="K358" s="42"/>
      <c r="L358" s="51"/>
    </row>
    <row r="359" spans="1:12" s="23" customFormat="1" ht="14.25" customHeight="1" x14ac:dyDescent="0.2">
      <c r="A359" s="62">
        <v>12.5</v>
      </c>
      <c r="B359" s="25" t="s">
        <v>114</v>
      </c>
      <c r="C359" s="8"/>
      <c r="D359" s="8"/>
      <c r="E359" s="174"/>
      <c r="F359" s="27"/>
      <c r="G359" s="27"/>
      <c r="H359" s="27"/>
      <c r="I359" s="74"/>
      <c r="J359" s="74"/>
      <c r="K359" s="74"/>
      <c r="L359" s="82"/>
    </row>
    <row r="360" spans="1:12" s="23" customFormat="1" ht="14.25" customHeight="1" x14ac:dyDescent="0.2">
      <c r="A360" s="55" t="s">
        <v>465</v>
      </c>
      <c r="B360" s="17" t="s">
        <v>38</v>
      </c>
      <c r="C360" s="16"/>
      <c r="D360" s="109"/>
      <c r="E360" s="204" t="s">
        <v>198</v>
      </c>
      <c r="F360" s="21" t="s">
        <v>22</v>
      </c>
      <c r="G360" s="130"/>
      <c r="H360" s="90" t="s">
        <v>228</v>
      </c>
      <c r="I360" s="30"/>
      <c r="J360" s="90" t="s">
        <v>228</v>
      </c>
      <c r="K360" s="30"/>
      <c r="L360" s="21" t="s">
        <v>228</v>
      </c>
    </row>
    <row r="361" spans="1:12" s="23" customFormat="1" ht="14.25" customHeight="1" x14ac:dyDescent="0.2">
      <c r="A361" s="55" t="s">
        <v>466</v>
      </c>
      <c r="B361" s="17" t="s">
        <v>19</v>
      </c>
      <c r="C361" s="16"/>
      <c r="D361" s="109"/>
      <c r="E361" s="204" t="s">
        <v>198</v>
      </c>
      <c r="F361" s="21" t="s">
        <v>22</v>
      </c>
      <c r="G361" s="130"/>
      <c r="H361" s="90" t="s">
        <v>228</v>
      </c>
      <c r="I361" s="30"/>
      <c r="J361" s="90" t="s">
        <v>228</v>
      </c>
      <c r="K361" s="30"/>
      <c r="L361" s="21" t="s">
        <v>228</v>
      </c>
    </row>
    <row r="362" spans="1:12" s="23" customFormat="1" ht="14.25" customHeight="1" x14ac:dyDescent="0.2">
      <c r="A362" s="55" t="s">
        <v>467</v>
      </c>
      <c r="B362" s="17" t="s">
        <v>20</v>
      </c>
      <c r="C362" s="16"/>
      <c r="D362" s="109"/>
      <c r="E362" s="204">
        <v>200</v>
      </c>
      <c r="F362" s="207" t="s">
        <v>22</v>
      </c>
      <c r="G362" s="132"/>
      <c r="H362" s="90"/>
      <c r="I362" s="46"/>
      <c r="J362" s="51"/>
      <c r="K362" s="46"/>
      <c r="L362" s="51"/>
    </row>
    <row r="363" spans="1:12" s="23" customFormat="1" ht="14.25" customHeight="1" x14ac:dyDescent="0.2">
      <c r="A363" s="55" t="s">
        <v>468</v>
      </c>
      <c r="B363" s="17" t="s">
        <v>8</v>
      </c>
      <c r="C363" s="16"/>
      <c r="D363" s="109"/>
      <c r="E363" s="204">
        <v>3300</v>
      </c>
      <c r="F363" s="207" t="s">
        <v>22</v>
      </c>
      <c r="G363" s="132"/>
      <c r="H363" s="90"/>
      <c r="I363" s="46"/>
      <c r="J363" s="51"/>
      <c r="K363" s="46"/>
      <c r="L363" s="51"/>
    </row>
    <row r="364" spans="1:12" s="23" customFormat="1" ht="14.25" customHeight="1" x14ac:dyDescent="0.2">
      <c r="A364" s="55" t="s">
        <v>469</v>
      </c>
      <c r="B364" s="17" t="s">
        <v>9</v>
      </c>
      <c r="C364" s="16"/>
      <c r="D364" s="109"/>
      <c r="E364" s="204">
        <v>5200</v>
      </c>
      <c r="F364" s="207" t="s">
        <v>22</v>
      </c>
      <c r="G364" s="132"/>
      <c r="H364" s="90"/>
      <c r="I364" s="30"/>
      <c r="J364" s="51"/>
      <c r="K364" s="30"/>
      <c r="L364" s="51"/>
    </row>
    <row r="365" spans="1:12" s="23" customFormat="1" ht="14.25" customHeight="1" x14ac:dyDescent="0.2">
      <c r="A365" s="55" t="s">
        <v>470</v>
      </c>
      <c r="B365" s="17" t="s">
        <v>10</v>
      </c>
      <c r="C365" s="16"/>
      <c r="D365" s="109"/>
      <c r="E365" s="204">
        <v>720</v>
      </c>
      <c r="F365" s="207" t="s">
        <v>22</v>
      </c>
      <c r="G365" s="132"/>
      <c r="H365" s="90"/>
      <c r="I365" s="30"/>
      <c r="J365" s="51"/>
      <c r="K365" s="30"/>
      <c r="L365" s="51"/>
    </row>
    <row r="366" spans="1:12" s="23" customFormat="1" ht="14.25" customHeight="1" x14ac:dyDescent="0.2">
      <c r="A366" s="62">
        <v>12.6</v>
      </c>
      <c r="B366" s="25" t="s">
        <v>89</v>
      </c>
      <c r="C366" s="8"/>
      <c r="D366" s="8"/>
      <c r="E366" s="174"/>
      <c r="F366" s="27"/>
      <c r="G366" s="27"/>
      <c r="H366" s="27"/>
      <c r="I366" s="74"/>
      <c r="J366" s="74"/>
      <c r="K366" s="74"/>
      <c r="L366" s="82"/>
    </row>
    <row r="367" spans="1:12" s="23" customFormat="1" ht="14.25" customHeight="1" x14ac:dyDescent="0.2">
      <c r="A367" s="55" t="s">
        <v>471</v>
      </c>
      <c r="B367" s="17" t="s">
        <v>39</v>
      </c>
      <c r="C367" s="16"/>
      <c r="D367" s="16"/>
      <c r="E367" s="206">
        <v>14</v>
      </c>
      <c r="F367" s="21" t="s">
        <v>29</v>
      </c>
      <c r="G367" s="136"/>
      <c r="H367" s="90"/>
      <c r="I367" s="42"/>
      <c r="J367" s="51"/>
      <c r="K367" s="42"/>
      <c r="L367" s="51"/>
    </row>
    <row r="368" spans="1:12" s="23" customFormat="1" ht="14.25" customHeight="1" x14ac:dyDescent="0.2">
      <c r="A368" s="55" t="s">
        <v>472</v>
      </c>
      <c r="B368" s="17" t="s">
        <v>5</v>
      </c>
      <c r="C368" s="16"/>
      <c r="D368" s="16"/>
      <c r="E368" s="206">
        <v>8</v>
      </c>
      <c r="F368" s="21" t="s">
        <v>29</v>
      </c>
      <c r="G368" s="136"/>
      <c r="H368" s="90"/>
      <c r="I368" s="42"/>
      <c r="J368" s="51"/>
      <c r="K368" s="42"/>
      <c r="L368" s="51"/>
    </row>
    <row r="369" spans="1:13" s="23" customFormat="1" ht="14.25" customHeight="1" x14ac:dyDescent="0.2">
      <c r="A369" s="55" t="s">
        <v>473</v>
      </c>
      <c r="B369" s="17" t="s">
        <v>6</v>
      </c>
      <c r="C369" s="16"/>
      <c r="D369" s="16"/>
      <c r="E369" s="206">
        <v>36</v>
      </c>
      <c r="F369" s="21" t="s">
        <v>29</v>
      </c>
      <c r="G369" s="136"/>
      <c r="H369" s="90"/>
      <c r="I369" s="42"/>
      <c r="J369" s="51"/>
      <c r="K369" s="42"/>
      <c r="L369" s="51"/>
    </row>
    <row r="370" spans="1:13" s="23" customFormat="1" ht="14.25" customHeight="1" x14ac:dyDescent="0.2">
      <c r="A370" s="55" t="s">
        <v>474</v>
      </c>
      <c r="B370" s="17" t="s">
        <v>33</v>
      </c>
      <c r="C370" s="16"/>
      <c r="D370" s="16"/>
      <c r="E370" s="206" t="s">
        <v>198</v>
      </c>
      <c r="F370" s="21" t="s">
        <v>83</v>
      </c>
      <c r="G370" s="130"/>
      <c r="H370" s="90" t="s">
        <v>228</v>
      </c>
      <c r="I370" s="30"/>
      <c r="J370" s="90" t="s">
        <v>228</v>
      </c>
      <c r="K370" s="30"/>
      <c r="L370" s="21" t="s">
        <v>228</v>
      </c>
    </row>
    <row r="371" spans="1:13" s="23" customFormat="1" ht="14.25" customHeight="1" x14ac:dyDescent="0.2">
      <c r="A371" s="55" t="s">
        <v>475</v>
      </c>
      <c r="B371" s="17" t="s">
        <v>7</v>
      </c>
      <c r="C371" s="16"/>
      <c r="D371" s="16"/>
      <c r="E371" s="206">
        <v>20</v>
      </c>
      <c r="F371" s="21" t="s">
        <v>29</v>
      </c>
      <c r="G371" s="136"/>
      <c r="H371" s="90"/>
      <c r="I371" s="42"/>
      <c r="J371" s="51"/>
      <c r="K371" s="42"/>
      <c r="L371" s="51"/>
    </row>
    <row r="372" spans="1:13" s="23" customFormat="1" ht="14.25" customHeight="1" x14ac:dyDescent="0.2">
      <c r="A372" s="55" t="s">
        <v>476</v>
      </c>
      <c r="B372" s="17" t="s">
        <v>38</v>
      </c>
      <c r="C372" s="16"/>
      <c r="D372" s="16"/>
      <c r="E372" s="206">
        <v>12</v>
      </c>
      <c r="F372" s="21" t="s">
        <v>29</v>
      </c>
      <c r="G372" s="136"/>
      <c r="H372" s="90"/>
      <c r="I372" s="42"/>
      <c r="J372" s="51"/>
      <c r="K372" s="42"/>
      <c r="L372" s="51"/>
    </row>
    <row r="373" spans="1:13" s="23" customFormat="1" ht="14.25" customHeight="1" x14ac:dyDescent="0.2">
      <c r="A373" s="55" t="s">
        <v>477</v>
      </c>
      <c r="B373" s="17" t="s">
        <v>19</v>
      </c>
      <c r="C373" s="16"/>
      <c r="D373" s="16"/>
      <c r="E373" s="206">
        <v>164</v>
      </c>
      <c r="F373" s="21" t="s">
        <v>29</v>
      </c>
      <c r="G373" s="136"/>
      <c r="H373" s="90"/>
      <c r="I373" s="42"/>
      <c r="J373" s="51"/>
      <c r="K373" s="42"/>
      <c r="L373" s="51"/>
    </row>
    <row r="374" spans="1:13" s="23" customFormat="1" ht="14.25" customHeight="1" x14ac:dyDescent="0.2">
      <c r="A374" s="55" t="s">
        <v>478</v>
      </c>
      <c r="B374" s="17" t="s">
        <v>20</v>
      </c>
      <c r="C374" s="16"/>
      <c r="D374" s="16"/>
      <c r="E374" s="206">
        <v>26</v>
      </c>
      <c r="F374" s="21" t="s">
        <v>29</v>
      </c>
      <c r="G374" s="136"/>
      <c r="H374" s="90"/>
      <c r="I374" s="42"/>
      <c r="J374" s="51"/>
      <c r="K374" s="42"/>
      <c r="L374" s="51"/>
    </row>
    <row r="375" spans="1:13" s="23" customFormat="1" ht="14.25" customHeight="1" x14ac:dyDescent="0.2">
      <c r="A375" s="55" t="s">
        <v>479</v>
      </c>
      <c r="B375" s="17" t="s">
        <v>8</v>
      </c>
      <c r="C375" s="16"/>
      <c r="D375" s="109"/>
      <c r="E375" s="206">
        <v>144</v>
      </c>
      <c r="F375" s="21" t="s">
        <v>29</v>
      </c>
      <c r="G375" s="136"/>
      <c r="H375" s="90"/>
      <c r="I375" s="42"/>
      <c r="J375" s="51"/>
      <c r="K375" s="42"/>
      <c r="L375" s="51"/>
    </row>
    <row r="376" spans="1:13" s="23" customFormat="1" ht="14.25" customHeight="1" x14ac:dyDescent="0.2">
      <c r="A376" s="55" t="s">
        <v>480</v>
      </c>
      <c r="B376" s="17" t="s">
        <v>9</v>
      </c>
      <c r="C376" s="16"/>
      <c r="D376" s="109"/>
      <c r="E376" s="206">
        <v>1068</v>
      </c>
      <c r="F376" s="21" t="s">
        <v>29</v>
      </c>
      <c r="G376" s="136"/>
      <c r="H376" s="90"/>
      <c r="I376" s="42"/>
      <c r="J376" s="51"/>
      <c r="K376" s="42"/>
      <c r="L376" s="51"/>
    </row>
    <row r="377" spans="1:13" s="23" customFormat="1" ht="14.25" customHeight="1" thickBot="1" x14ac:dyDescent="0.25">
      <c r="A377" s="55" t="s">
        <v>481</v>
      </c>
      <c r="B377" s="17" t="s">
        <v>10</v>
      </c>
      <c r="C377" s="16"/>
      <c r="D377" s="16"/>
      <c r="E377" s="206">
        <v>350</v>
      </c>
      <c r="F377" s="21" t="s">
        <v>29</v>
      </c>
      <c r="G377" s="136"/>
      <c r="H377" s="90"/>
      <c r="I377" s="42"/>
      <c r="J377" s="51"/>
      <c r="K377" s="42"/>
      <c r="L377" s="51"/>
    </row>
    <row r="378" spans="1:13" s="22" customFormat="1" ht="14.25" customHeight="1" thickBot="1" x14ac:dyDescent="0.25">
      <c r="A378" s="876" t="s">
        <v>147</v>
      </c>
      <c r="B378" s="877"/>
      <c r="C378" s="877"/>
      <c r="D378" s="877"/>
      <c r="E378" s="877"/>
      <c r="F378" s="877"/>
      <c r="G378" s="877"/>
      <c r="H378" s="877"/>
      <c r="I378" s="877"/>
      <c r="J378" s="877"/>
      <c r="K378" s="878"/>
      <c r="L378" s="50"/>
      <c r="M378" s="23"/>
    </row>
    <row r="379" spans="1:13" s="23" customFormat="1" ht="14.25" customHeight="1" x14ac:dyDescent="0.2">
      <c r="A379" s="57">
        <v>13</v>
      </c>
      <c r="B379" s="19" t="s">
        <v>53</v>
      </c>
      <c r="C379" s="188"/>
      <c r="D379" s="9"/>
      <c r="E379" s="176"/>
      <c r="F379" s="44"/>
      <c r="G379" s="44"/>
      <c r="H379" s="44"/>
      <c r="I379" s="189"/>
      <c r="J379" s="189"/>
      <c r="K379" s="189"/>
      <c r="L379" s="80"/>
    </row>
    <row r="380" spans="1:13" s="23" customFormat="1" ht="25.5" customHeight="1" x14ac:dyDescent="0.2">
      <c r="A380" s="60">
        <v>13.1</v>
      </c>
      <c r="B380" s="884" t="s">
        <v>90</v>
      </c>
      <c r="C380" s="880"/>
      <c r="D380" s="885"/>
      <c r="E380" s="206" t="s">
        <v>198</v>
      </c>
      <c r="F380" s="21" t="s">
        <v>22</v>
      </c>
      <c r="G380" s="130"/>
      <c r="H380" s="90" t="s">
        <v>228</v>
      </c>
      <c r="I380" s="30"/>
      <c r="J380" s="90" t="s">
        <v>228</v>
      </c>
      <c r="K380" s="30"/>
      <c r="L380" s="21" t="s">
        <v>228</v>
      </c>
    </row>
    <row r="381" spans="1:13" s="23" customFormat="1" ht="25.5" customHeight="1" x14ac:dyDescent="0.2">
      <c r="A381" s="60">
        <v>13.2</v>
      </c>
      <c r="B381" s="884" t="s">
        <v>91</v>
      </c>
      <c r="C381" s="880"/>
      <c r="D381" s="885"/>
      <c r="E381" s="206" t="s">
        <v>198</v>
      </c>
      <c r="F381" s="21" t="s">
        <v>22</v>
      </c>
      <c r="G381" s="130"/>
      <c r="H381" s="90" t="s">
        <v>228</v>
      </c>
      <c r="I381" s="30"/>
      <c r="J381" s="90" t="s">
        <v>228</v>
      </c>
      <c r="K381" s="30"/>
      <c r="L381" s="21" t="s">
        <v>228</v>
      </c>
    </row>
    <row r="382" spans="1:13" s="23" customFormat="1" ht="25.5" customHeight="1" x14ac:dyDescent="0.2">
      <c r="A382" s="60">
        <v>13.3</v>
      </c>
      <c r="B382" s="884" t="s">
        <v>92</v>
      </c>
      <c r="C382" s="880"/>
      <c r="D382" s="885"/>
      <c r="E382" s="206" t="s">
        <v>198</v>
      </c>
      <c r="F382" s="21" t="s">
        <v>22</v>
      </c>
      <c r="G382" s="130"/>
      <c r="H382" s="90" t="s">
        <v>228</v>
      </c>
      <c r="I382" s="30"/>
      <c r="J382" s="90" t="s">
        <v>228</v>
      </c>
      <c r="K382" s="30"/>
      <c r="L382" s="21" t="s">
        <v>228</v>
      </c>
    </row>
    <row r="383" spans="1:13" s="23" customFormat="1" ht="14.25" customHeight="1" x14ac:dyDescent="0.2">
      <c r="A383" s="60">
        <v>13.4</v>
      </c>
      <c r="B383" s="114" t="s">
        <v>93</v>
      </c>
      <c r="C383" s="115"/>
      <c r="D383" s="115"/>
      <c r="E383" s="206" t="s">
        <v>198</v>
      </c>
      <c r="F383" s="21" t="s">
        <v>22</v>
      </c>
      <c r="G383" s="130"/>
      <c r="H383" s="90" t="s">
        <v>228</v>
      </c>
      <c r="I383" s="30"/>
      <c r="J383" s="90" t="s">
        <v>228</v>
      </c>
      <c r="K383" s="30"/>
      <c r="L383" s="21" t="s">
        <v>228</v>
      </c>
    </row>
    <row r="384" spans="1:13" s="23" customFormat="1" ht="14.25" customHeight="1" x14ac:dyDescent="0.2">
      <c r="A384" s="60">
        <v>13.5</v>
      </c>
      <c r="B384" s="114" t="s">
        <v>94</v>
      </c>
      <c r="C384" s="115"/>
      <c r="D384" s="115"/>
      <c r="E384" s="206">
        <v>1800</v>
      </c>
      <c r="F384" s="21" t="s">
        <v>22</v>
      </c>
      <c r="G384" s="135"/>
      <c r="H384" s="90"/>
      <c r="I384" s="42"/>
      <c r="J384" s="51"/>
      <c r="K384" s="42"/>
      <c r="L384" s="51"/>
    </row>
    <row r="385" spans="1:13" s="23" customFormat="1" ht="14.25" customHeight="1" x14ac:dyDescent="0.2">
      <c r="A385" s="60">
        <v>13.6</v>
      </c>
      <c r="B385" s="114" t="s">
        <v>95</v>
      </c>
      <c r="C385" s="115"/>
      <c r="D385" s="115"/>
      <c r="E385" s="206" t="s">
        <v>198</v>
      </c>
      <c r="F385" s="21" t="s">
        <v>22</v>
      </c>
      <c r="G385" s="130"/>
      <c r="H385" s="90" t="s">
        <v>228</v>
      </c>
      <c r="I385" s="30"/>
      <c r="J385" s="90" t="s">
        <v>228</v>
      </c>
      <c r="K385" s="30"/>
      <c r="L385" s="21" t="s">
        <v>228</v>
      </c>
    </row>
    <row r="386" spans="1:13" s="23" customFormat="1" ht="14.25" customHeight="1" x14ac:dyDescent="0.2">
      <c r="A386" s="60">
        <v>13.7</v>
      </c>
      <c r="B386" s="156" t="s">
        <v>0</v>
      </c>
      <c r="C386" s="157"/>
      <c r="D386" s="157"/>
      <c r="E386" s="206" t="s">
        <v>198</v>
      </c>
      <c r="F386" s="21" t="s">
        <v>21</v>
      </c>
      <c r="G386" s="130"/>
      <c r="H386" s="90" t="s">
        <v>228</v>
      </c>
      <c r="I386" s="30"/>
      <c r="J386" s="90" t="s">
        <v>228</v>
      </c>
      <c r="K386" s="30"/>
      <c r="L386" s="21" t="s">
        <v>228</v>
      </c>
    </row>
    <row r="387" spans="1:13" s="23" customFormat="1" ht="14.25" customHeight="1" x14ac:dyDescent="0.2">
      <c r="A387" s="60">
        <v>13.8</v>
      </c>
      <c r="B387" s="156" t="s">
        <v>46</v>
      </c>
      <c r="C387" s="157"/>
      <c r="D387" s="157"/>
      <c r="E387" s="206" t="s">
        <v>198</v>
      </c>
      <c r="F387" s="21" t="s">
        <v>21</v>
      </c>
      <c r="G387" s="130"/>
      <c r="H387" s="90" t="s">
        <v>228</v>
      </c>
      <c r="I387" s="30"/>
      <c r="J387" s="90" t="s">
        <v>228</v>
      </c>
      <c r="K387" s="30"/>
      <c r="L387" s="21" t="s">
        <v>228</v>
      </c>
    </row>
    <row r="388" spans="1:13" s="23" customFormat="1" ht="14.25" customHeight="1" x14ac:dyDescent="0.2">
      <c r="A388" s="211">
        <v>13.9</v>
      </c>
      <c r="B388" s="25" t="s">
        <v>96</v>
      </c>
      <c r="C388" s="190"/>
      <c r="D388" s="190"/>
      <c r="E388" s="191"/>
      <c r="F388" s="190"/>
      <c r="G388" s="190"/>
      <c r="H388" s="190"/>
      <c r="I388" s="190"/>
      <c r="J388" s="190"/>
      <c r="K388" s="190"/>
      <c r="L388" s="192"/>
    </row>
    <row r="389" spans="1:13" s="69" customFormat="1" ht="14.25" customHeight="1" x14ac:dyDescent="0.2">
      <c r="A389" s="60" t="s">
        <v>486</v>
      </c>
      <c r="B389" s="156" t="s">
        <v>40</v>
      </c>
      <c r="C389" s="157"/>
      <c r="D389" s="157"/>
      <c r="E389" s="206">
        <v>12</v>
      </c>
      <c r="F389" s="21" t="s">
        <v>29</v>
      </c>
      <c r="G389" s="135"/>
      <c r="H389" s="140"/>
      <c r="I389" s="42"/>
      <c r="J389" s="51"/>
      <c r="K389" s="42"/>
      <c r="L389" s="51"/>
    </row>
    <row r="390" spans="1:13" s="69" customFormat="1" ht="14.25" customHeight="1" x14ac:dyDescent="0.2">
      <c r="A390" s="60" t="s">
        <v>487</v>
      </c>
      <c r="B390" s="156" t="s">
        <v>39</v>
      </c>
      <c r="C390" s="157"/>
      <c r="D390" s="157"/>
      <c r="E390" s="206">
        <v>24</v>
      </c>
      <c r="F390" s="21" t="s">
        <v>29</v>
      </c>
      <c r="G390" s="135"/>
      <c r="H390" s="140"/>
      <c r="I390" s="42"/>
      <c r="J390" s="51"/>
      <c r="K390" s="42"/>
      <c r="L390" s="51"/>
    </row>
    <row r="391" spans="1:13" s="69" customFormat="1" ht="14.25" customHeight="1" x14ac:dyDescent="0.2">
      <c r="A391" s="60" t="s">
        <v>488</v>
      </c>
      <c r="B391" s="156" t="s">
        <v>5</v>
      </c>
      <c r="C391" s="157"/>
      <c r="D391" s="157"/>
      <c r="E391" s="206" t="s">
        <v>198</v>
      </c>
      <c r="F391" s="21" t="s">
        <v>83</v>
      </c>
      <c r="G391" s="130"/>
      <c r="H391" s="90" t="s">
        <v>228</v>
      </c>
      <c r="I391" s="30"/>
      <c r="J391" s="90" t="s">
        <v>228</v>
      </c>
      <c r="K391" s="30"/>
      <c r="L391" s="21" t="s">
        <v>228</v>
      </c>
    </row>
    <row r="392" spans="1:13" s="69" customFormat="1" ht="14.25" customHeight="1" x14ac:dyDescent="0.2">
      <c r="A392" s="60" t="s">
        <v>489</v>
      </c>
      <c r="B392" s="156" t="s">
        <v>6</v>
      </c>
      <c r="C392" s="157"/>
      <c r="D392" s="157"/>
      <c r="E392" s="206">
        <v>300</v>
      </c>
      <c r="F392" s="21" t="s">
        <v>29</v>
      </c>
      <c r="G392" s="135"/>
      <c r="H392" s="140"/>
      <c r="I392" s="42"/>
      <c r="J392" s="51"/>
      <c r="K392" s="42"/>
      <c r="L392" s="51"/>
    </row>
    <row r="393" spans="1:13" s="23" customFormat="1" ht="14.25" customHeight="1" x14ac:dyDescent="0.2">
      <c r="A393" s="58">
        <v>13.1</v>
      </c>
      <c r="B393" s="114" t="s">
        <v>3</v>
      </c>
      <c r="C393" s="115"/>
      <c r="D393" s="115"/>
      <c r="E393" s="206">
        <v>2</v>
      </c>
      <c r="F393" s="21" t="s">
        <v>29</v>
      </c>
      <c r="G393" s="135"/>
      <c r="H393" s="140"/>
      <c r="I393" s="42"/>
      <c r="J393" s="51"/>
      <c r="K393" s="42"/>
      <c r="L393" s="51"/>
    </row>
    <row r="394" spans="1:13" s="23" customFormat="1" ht="14.25" customHeight="1" x14ac:dyDescent="0.2">
      <c r="A394" s="58">
        <v>13.11</v>
      </c>
      <c r="B394" s="114" t="s">
        <v>485</v>
      </c>
      <c r="C394" s="115"/>
      <c r="D394" s="115"/>
      <c r="E394" s="206" t="s">
        <v>198</v>
      </c>
      <c r="F394" s="21" t="s">
        <v>21</v>
      </c>
      <c r="G394" s="130"/>
      <c r="H394" s="90" t="s">
        <v>228</v>
      </c>
      <c r="I394" s="30"/>
      <c r="J394" s="90" t="s">
        <v>228</v>
      </c>
      <c r="K394" s="30"/>
      <c r="L394" s="21" t="s">
        <v>228</v>
      </c>
    </row>
    <row r="395" spans="1:13" s="23" customFormat="1" ht="14.25" customHeight="1" x14ac:dyDescent="0.2">
      <c r="A395" s="58">
        <v>13.12</v>
      </c>
      <c r="B395" s="114" t="s">
        <v>97</v>
      </c>
      <c r="C395" s="115"/>
      <c r="D395" s="115"/>
      <c r="E395" s="206" t="s">
        <v>198</v>
      </c>
      <c r="F395" s="21" t="s">
        <v>21</v>
      </c>
      <c r="G395" s="130"/>
      <c r="H395" s="90" t="s">
        <v>228</v>
      </c>
      <c r="I395" s="30"/>
      <c r="J395" s="90" t="s">
        <v>228</v>
      </c>
      <c r="K395" s="30"/>
      <c r="L395" s="21" t="s">
        <v>228</v>
      </c>
    </row>
    <row r="396" spans="1:13" ht="14.25" customHeight="1" x14ac:dyDescent="0.2">
      <c r="A396" s="58">
        <v>13.13</v>
      </c>
      <c r="B396" s="114" t="s">
        <v>299</v>
      </c>
      <c r="C396" s="115"/>
      <c r="D396" s="115"/>
      <c r="E396" s="206">
        <v>1800</v>
      </c>
      <c r="F396" s="21" t="s">
        <v>21</v>
      </c>
      <c r="G396" s="136"/>
      <c r="H396" s="27"/>
      <c r="I396" s="42"/>
      <c r="J396" s="51"/>
      <c r="K396" s="42"/>
      <c r="L396" s="51"/>
    </row>
    <row r="397" spans="1:13" ht="14.25" customHeight="1" thickBot="1" x14ac:dyDescent="0.25">
      <c r="A397" s="58">
        <v>13.14</v>
      </c>
      <c r="B397" s="116" t="s">
        <v>98</v>
      </c>
      <c r="C397" s="117"/>
      <c r="D397" s="124"/>
      <c r="E397" s="206" t="s">
        <v>198</v>
      </c>
      <c r="F397" s="21" t="s">
        <v>21</v>
      </c>
      <c r="G397" s="130"/>
      <c r="H397" s="90" t="s">
        <v>228</v>
      </c>
      <c r="I397" s="30"/>
      <c r="J397" s="90" t="s">
        <v>228</v>
      </c>
      <c r="K397" s="30"/>
      <c r="L397" s="21" t="s">
        <v>228</v>
      </c>
    </row>
    <row r="398" spans="1:13" s="22" customFormat="1" ht="14.25" customHeight="1" thickBot="1" x14ac:dyDescent="0.25">
      <c r="A398" s="876" t="s">
        <v>147</v>
      </c>
      <c r="B398" s="877"/>
      <c r="C398" s="877"/>
      <c r="D398" s="877"/>
      <c r="E398" s="877"/>
      <c r="F398" s="877"/>
      <c r="G398" s="877"/>
      <c r="H398" s="877"/>
      <c r="I398" s="877"/>
      <c r="J398" s="877"/>
      <c r="K398" s="878"/>
      <c r="L398" s="50"/>
      <c r="M398" s="23"/>
    </row>
    <row r="399" spans="1:13" s="23" customFormat="1" ht="14.25" customHeight="1" x14ac:dyDescent="0.2">
      <c r="A399" s="57">
        <v>14</v>
      </c>
      <c r="B399" s="37" t="s">
        <v>52</v>
      </c>
      <c r="C399" s="5"/>
      <c r="D399" s="11"/>
      <c r="E399" s="176"/>
      <c r="F399" s="44"/>
      <c r="G399" s="14"/>
      <c r="H399" s="44"/>
      <c r="I399" s="49"/>
      <c r="J399" s="49"/>
      <c r="K399" s="49"/>
      <c r="L399" s="54"/>
    </row>
    <row r="400" spans="1:13" s="23" customFormat="1" ht="14.25" customHeight="1" x14ac:dyDescent="0.2">
      <c r="A400" s="55">
        <v>14.1</v>
      </c>
      <c r="B400" s="18" t="s">
        <v>34</v>
      </c>
      <c r="C400" s="8"/>
      <c r="D400" s="26"/>
      <c r="E400" s="208">
        <v>1</v>
      </c>
      <c r="F400" s="21" t="s">
        <v>83</v>
      </c>
      <c r="G400" s="75"/>
      <c r="H400" s="138"/>
      <c r="I400" s="30"/>
      <c r="J400" s="51"/>
      <c r="K400" s="30"/>
      <c r="L400" s="51"/>
    </row>
    <row r="401" spans="1:13" s="23" customFormat="1" ht="14.25" customHeight="1" x14ac:dyDescent="0.2">
      <c r="A401" s="55">
        <f>A400+0.1</f>
        <v>14.2</v>
      </c>
      <c r="B401" s="18" t="s">
        <v>44</v>
      </c>
      <c r="C401" s="8"/>
      <c r="D401" s="26"/>
      <c r="E401" s="208">
        <v>1</v>
      </c>
      <c r="F401" s="21" t="s">
        <v>30</v>
      </c>
      <c r="G401" s="75"/>
      <c r="H401" s="138"/>
      <c r="I401" s="30"/>
      <c r="J401" s="51"/>
      <c r="K401" s="30"/>
      <c r="L401" s="51"/>
    </row>
    <row r="402" spans="1:13" ht="14.25" customHeight="1" thickBot="1" x14ac:dyDescent="0.25">
      <c r="A402" s="55">
        <f>A401+0.1</f>
        <v>14.299999999999999</v>
      </c>
      <c r="B402" s="18" t="s">
        <v>4</v>
      </c>
      <c r="C402" s="8"/>
      <c r="D402" s="26"/>
      <c r="E402" s="208">
        <v>1</v>
      </c>
      <c r="F402" s="21" t="s">
        <v>30</v>
      </c>
      <c r="G402" s="143"/>
      <c r="H402" s="144"/>
      <c r="I402" s="145"/>
      <c r="J402" s="88"/>
      <c r="K402" s="145"/>
      <c r="L402" s="51"/>
    </row>
    <row r="403" spans="1:13" s="22" customFormat="1" ht="14.25" customHeight="1" thickBot="1" x14ac:dyDescent="0.25">
      <c r="A403" s="876" t="s">
        <v>147</v>
      </c>
      <c r="B403" s="877"/>
      <c r="C403" s="877"/>
      <c r="D403" s="877"/>
      <c r="E403" s="877"/>
      <c r="F403" s="877"/>
      <c r="G403" s="877"/>
      <c r="H403" s="877"/>
      <c r="I403" s="877"/>
      <c r="J403" s="877"/>
      <c r="K403" s="878"/>
      <c r="L403" s="50"/>
      <c r="M403" s="23"/>
    </row>
    <row r="404" spans="1:13" s="23" customFormat="1" ht="14.25" customHeight="1" x14ac:dyDescent="0.2">
      <c r="A404" s="57">
        <v>15</v>
      </c>
      <c r="B404" s="37" t="s">
        <v>205</v>
      </c>
      <c r="C404" s="5"/>
      <c r="D404" s="11"/>
      <c r="E404" s="176"/>
      <c r="F404" s="44"/>
      <c r="G404" s="14"/>
      <c r="H404" s="44"/>
      <c r="I404" s="49"/>
      <c r="J404" s="49"/>
      <c r="K404" s="49"/>
      <c r="L404" s="54"/>
    </row>
    <row r="405" spans="1:13" s="23" customFormat="1" ht="14.25" customHeight="1" x14ac:dyDescent="0.2">
      <c r="A405" s="55">
        <f>A404+0.1</f>
        <v>15.1</v>
      </c>
      <c r="B405" s="18" t="s">
        <v>37</v>
      </c>
      <c r="C405" s="8"/>
      <c r="D405" s="26"/>
      <c r="E405" s="208">
        <v>1</v>
      </c>
      <c r="F405" s="21" t="s">
        <v>83</v>
      </c>
      <c r="G405" s="75"/>
      <c r="H405" s="138"/>
      <c r="I405" s="30"/>
      <c r="J405" s="51"/>
      <c r="K405" s="30"/>
      <c r="L405" s="51"/>
    </row>
    <row r="406" spans="1:13" s="23" customFormat="1" ht="14.25" customHeight="1" x14ac:dyDescent="0.2">
      <c r="A406" s="55">
        <f>A405+0.1</f>
        <v>15.2</v>
      </c>
      <c r="B406" s="18" t="s">
        <v>44</v>
      </c>
      <c r="C406" s="8"/>
      <c r="D406" s="26"/>
      <c r="E406" s="208">
        <v>1</v>
      </c>
      <c r="F406" s="21" t="s">
        <v>30</v>
      </c>
      <c r="G406" s="75"/>
      <c r="H406" s="138"/>
      <c r="I406" s="30"/>
      <c r="J406" s="51"/>
      <c r="K406" s="30"/>
      <c r="L406" s="51"/>
    </row>
    <row r="407" spans="1:13" ht="14.25" customHeight="1" thickBot="1" x14ac:dyDescent="0.25">
      <c r="A407" s="55">
        <f>A406+0.1</f>
        <v>15.299999999999999</v>
      </c>
      <c r="B407" s="18" t="s">
        <v>4</v>
      </c>
      <c r="C407" s="8"/>
      <c r="D407" s="26"/>
      <c r="E407" s="208">
        <v>1</v>
      </c>
      <c r="F407" s="21" t="s">
        <v>30</v>
      </c>
      <c r="G407" s="143"/>
      <c r="H407" s="144"/>
      <c r="I407" s="145"/>
      <c r="J407" s="88"/>
      <c r="K407" s="145"/>
      <c r="L407" s="51"/>
    </row>
    <row r="408" spans="1:13" s="22" customFormat="1" ht="14.25" customHeight="1" thickBot="1" x14ac:dyDescent="0.25">
      <c r="A408" s="876" t="s">
        <v>147</v>
      </c>
      <c r="B408" s="877"/>
      <c r="C408" s="877"/>
      <c r="D408" s="877"/>
      <c r="E408" s="877"/>
      <c r="F408" s="877"/>
      <c r="G408" s="877"/>
      <c r="H408" s="877"/>
      <c r="I408" s="877"/>
      <c r="J408" s="877"/>
      <c r="K408" s="878"/>
      <c r="L408" s="50"/>
      <c r="M408" s="23"/>
    </row>
    <row r="409" spans="1:13" s="23" customFormat="1" ht="14.25" customHeight="1" x14ac:dyDescent="0.2">
      <c r="A409" s="57">
        <v>16</v>
      </c>
      <c r="B409" s="37" t="s">
        <v>201</v>
      </c>
      <c r="C409" s="5"/>
      <c r="D409" s="11"/>
      <c r="E409" s="176"/>
      <c r="F409" s="44"/>
      <c r="G409" s="14"/>
      <c r="H409" s="44"/>
      <c r="I409" s="49"/>
      <c r="J409" s="49"/>
      <c r="K409" s="49"/>
      <c r="L409" s="54"/>
    </row>
    <row r="410" spans="1:13" s="22" customFormat="1" ht="14.25" customHeight="1" x14ac:dyDescent="0.2">
      <c r="A410" s="55">
        <f t="shared" ref="A410:A415" si="0">A409+0.1</f>
        <v>16.100000000000001</v>
      </c>
      <c r="B410" s="116" t="s">
        <v>200</v>
      </c>
      <c r="C410" s="117"/>
      <c r="D410" s="117"/>
      <c r="E410" s="205">
        <v>1</v>
      </c>
      <c r="F410" s="21" t="s">
        <v>83</v>
      </c>
      <c r="G410" s="75"/>
      <c r="H410" s="138"/>
      <c r="I410" s="46"/>
      <c r="J410" s="51"/>
      <c r="K410" s="46"/>
      <c r="L410" s="51"/>
    </row>
    <row r="411" spans="1:13" s="22" customFormat="1" ht="14.25" customHeight="1" x14ac:dyDescent="0.2">
      <c r="A411" s="55">
        <f t="shared" si="0"/>
        <v>16.200000000000003</v>
      </c>
      <c r="B411" s="116" t="s">
        <v>202</v>
      </c>
      <c r="C411" s="117"/>
      <c r="D411" s="117"/>
      <c r="E411" s="205">
        <v>1</v>
      </c>
      <c r="F411" s="21" t="s">
        <v>83</v>
      </c>
      <c r="G411" s="75"/>
      <c r="H411" s="138"/>
      <c r="I411" s="46"/>
      <c r="J411" s="51"/>
      <c r="K411" s="46"/>
      <c r="L411" s="51"/>
    </row>
    <row r="412" spans="1:13" s="22" customFormat="1" ht="14.25" customHeight="1" x14ac:dyDescent="0.2">
      <c r="A412" s="55">
        <f t="shared" si="0"/>
        <v>16.300000000000004</v>
      </c>
      <c r="B412" s="116" t="s">
        <v>203</v>
      </c>
      <c r="C412" s="117"/>
      <c r="D412" s="117"/>
      <c r="E412" s="205">
        <v>1</v>
      </c>
      <c r="F412" s="21" t="s">
        <v>83</v>
      </c>
      <c r="G412" s="75"/>
      <c r="H412" s="138"/>
      <c r="I412" s="46"/>
      <c r="J412" s="51"/>
      <c r="K412" s="46"/>
      <c r="L412" s="51"/>
    </row>
    <row r="413" spans="1:13" s="22" customFormat="1" ht="14.25" customHeight="1" x14ac:dyDescent="0.2">
      <c r="A413" s="55">
        <f t="shared" si="0"/>
        <v>16.400000000000006</v>
      </c>
      <c r="B413" s="148" t="s">
        <v>176</v>
      </c>
      <c r="C413" s="16"/>
      <c r="D413" s="16"/>
      <c r="E413" s="205">
        <v>1</v>
      </c>
      <c r="F413" s="197" t="s">
        <v>30</v>
      </c>
      <c r="G413" s="75"/>
      <c r="H413" s="89"/>
      <c r="I413" s="30"/>
      <c r="J413" s="51"/>
      <c r="K413" s="30"/>
      <c r="L413" s="51"/>
    </row>
    <row r="414" spans="1:13" s="22" customFormat="1" ht="14.25" customHeight="1" x14ac:dyDescent="0.2">
      <c r="A414" s="55">
        <f t="shared" si="0"/>
        <v>16.500000000000007</v>
      </c>
      <c r="B414" s="116" t="s">
        <v>84</v>
      </c>
      <c r="C414" s="16"/>
      <c r="D414" s="16"/>
      <c r="E414" s="205">
        <v>1</v>
      </c>
      <c r="F414" s="197" t="s">
        <v>30</v>
      </c>
      <c r="G414" s="146"/>
      <c r="H414" s="147"/>
      <c r="I414" s="145"/>
      <c r="J414" s="88"/>
      <c r="K414" s="145"/>
      <c r="L414" s="51"/>
    </row>
    <row r="415" spans="1:13" s="10" customFormat="1" ht="14.25" customHeight="1" thickBot="1" x14ac:dyDescent="0.25">
      <c r="A415" s="55">
        <f t="shared" si="0"/>
        <v>16.600000000000009</v>
      </c>
      <c r="B415" s="17" t="s">
        <v>4</v>
      </c>
      <c r="C415" s="16"/>
      <c r="D415" s="16"/>
      <c r="E415" s="205">
        <v>1</v>
      </c>
      <c r="F415" s="197" t="s">
        <v>30</v>
      </c>
      <c r="G415" s="146"/>
      <c r="H415" s="147"/>
      <c r="I415" s="145"/>
      <c r="J415" s="88"/>
      <c r="K415" s="145"/>
      <c r="L415" s="51"/>
    </row>
    <row r="416" spans="1:13" s="22" customFormat="1" ht="14.25" customHeight="1" thickBot="1" x14ac:dyDescent="0.25">
      <c r="A416" s="876" t="s">
        <v>147</v>
      </c>
      <c r="B416" s="877"/>
      <c r="C416" s="877"/>
      <c r="D416" s="877"/>
      <c r="E416" s="877"/>
      <c r="F416" s="877"/>
      <c r="G416" s="877"/>
      <c r="H416" s="877"/>
      <c r="I416" s="877"/>
      <c r="J416" s="877"/>
      <c r="K416" s="878"/>
      <c r="L416" s="50"/>
      <c r="M416" s="23"/>
    </row>
    <row r="417" spans="1:13" s="23" customFormat="1" ht="14.25" customHeight="1" x14ac:dyDescent="0.2">
      <c r="A417" s="57">
        <v>17</v>
      </c>
      <c r="B417" s="37" t="s">
        <v>207</v>
      </c>
      <c r="C417" s="5"/>
      <c r="D417" s="11"/>
      <c r="E417" s="176"/>
      <c r="F417" s="44"/>
      <c r="G417" s="14"/>
      <c r="H417" s="44"/>
      <c r="I417" s="49"/>
      <c r="J417" s="49"/>
      <c r="K417" s="49"/>
      <c r="L417" s="54"/>
    </row>
    <row r="418" spans="1:13" s="22" customFormat="1" ht="14.25" customHeight="1" x14ac:dyDescent="0.2">
      <c r="A418" s="55">
        <v>17.100000000000001</v>
      </c>
      <c r="B418" s="116" t="s">
        <v>213</v>
      </c>
      <c r="C418" s="117"/>
      <c r="D418" s="117"/>
      <c r="E418" s="208">
        <v>4</v>
      </c>
      <c r="F418" s="209" t="s">
        <v>29</v>
      </c>
      <c r="G418" s="75"/>
      <c r="H418" s="138"/>
      <c r="I418" s="46"/>
      <c r="J418" s="51"/>
      <c r="K418" s="46"/>
      <c r="L418" s="51"/>
    </row>
    <row r="419" spans="1:13" s="22" customFormat="1" ht="14.25" customHeight="1" x14ac:dyDescent="0.2">
      <c r="A419" s="55">
        <v>17.2</v>
      </c>
      <c r="B419" s="116" t="s">
        <v>208</v>
      </c>
      <c r="C419" s="117"/>
      <c r="D419" s="117"/>
      <c r="E419" s="208">
        <v>55</v>
      </c>
      <c r="F419" s="209" t="s">
        <v>22</v>
      </c>
      <c r="G419" s="75"/>
      <c r="H419" s="138"/>
      <c r="I419" s="46"/>
      <c r="J419" s="51"/>
      <c r="K419" s="46"/>
      <c r="L419" s="51"/>
    </row>
    <row r="420" spans="1:13" s="22" customFormat="1" ht="14.25" customHeight="1" x14ac:dyDescent="0.2">
      <c r="A420" s="55">
        <v>17.3</v>
      </c>
      <c r="B420" s="17" t="s">
        <v>209</v>
      </c>
      <c r="C420" s="16"/>
      <c r="D420" s="16"/>
      <c r="E420" s="208">
        <v>55</v>
      </c>
      <c r="F420" s="209" t="s">
        <v>22</v>
      </c>
      <c r="G420" s="75"/>
      <c r="H420" s="89"/>
      <c r="I420" s="30"/>
      <c r="J420" s="51"/>
      <c r="K420" s="30"/>
      <c r="L420" s="51"/>
    </row>
    <row r="421" spans="1:13" s="10" customFormat="1" ht="14.25" customHeight="1" x14ac:dyDescent="0.2">
      <c r="A421" s="55">
        <v>17.399999999999999</v>
      </c>
      <c r="B421" s="17" t="s">
        <v>215</v>
      </c>
      <c r="C421" s="16"/>
      <c r="D421" s="16"/>
      <c r="E421" s="208">
        <v>270</v>
      </c>
      <c r="F421" s="209" t="s">
        <v>22</v>
      </c>
      <c r="G421" s="146"/>
      <c r="H421" s="147"/>
      <c r="I421" s="145"/>
      <c r="J421" s="88"/>
      <c r="K421" s="145"/>
      <c r="L421" s="51"/>
    </row>
    <row r="422" spans="1:13" s="10" customFormat="1" ht="14.25" customHeight="1" x14ac:dyDescent="0.2">
      <c r="A422" s="55">
        <v>17.5</v>
      </c>
      <c r="B422" s="17" t="s">
        <v>210</v>
      </c>
      <c r="C422" s="16"/>
      <c r="D422" s="16"/>
      <c r="E422" s="208">
        <v>1</v>
      </c>
      <c r="F422" s="209" t="s">
        <v>30</v>
      </c>
      <c r="G422" s="146"/>
      <c r="H422" s="147"/>
      <c r="I422" s="145"/>
      <c r="J422" s="88"/>
      <c r="K422" s="145"/>
      <c r="L422" s="51"/>
    </row>
    <row r="423" spans="1:13" s="22" customFormat="1" ht="14.25" customHeight="1" x14ac:dyDescent="0.2">
      <c r="A423" s="55">
        <v>17.600000000000001</v>
      </c>
      <c r="B423" s="116" t="s">
        <v>211</v>
      </c>
      <c r="C423" s="117"/>
      <c r="D423" s="117"/>
      <c r="E423" s="208">
        <v>1</v>
      </c>
      <c r="F423" s="209" t="s">
        <v>30</v>
      </c>
      <c r="G423" s="75"/>
      <c r="H423" s="138"/>
      <c r="I423" s="46"/>
      <c r="J423" s="51"/>
      <c r="K423" s="46"/>
      <c r="L423" s="51"/>
    </row>
    <row r="424" spans="1:13" s="22" customFormat="1" ht="14.25" customHeight="1" x14ac:dyDescent="0.2">
      <c r="A424" s="55">
        <v>17.7</v>
      </c>
      <c r="B424" s="116" t="s">
        <v>212</v>
      </c>
      <c r="C424" s="117"/>
      <c r="D424" s="117"/>
      <c r="E424" s="208">
        <v>1</v>
      </c>
      <c r="F424" s="209" t="s">
        <v>30</v>
      </c>
      <c r="G424" s="75"/>
      <c r="H424" s="138"/>
      <c r="I424" s="46"/>
      <c r="J424" s="51"/>
      <c r="K424" s="46"/>
      <c r="L424" s="51"/>
    </row>
    <row r="425" spans="1:13" s="22" customFormat="1" ht="25.5" customHeight="1" x14ac:dyDescent="0.2">
      <c r="A425" s="55">
        <v>17.8</v>
      </c>
      <c r="B425" s="879" t="s">
        <v>214</v>
      </c>
      <c r="C425" s="880"/>
      <c r="D425" s="885"/>
      <c r="E425" s="208">
        <v>1</v>
      </c>
      <c r="F425" s="209" t="s">
        <v>30</v>
      </c>
      <c r="G425" s="75"/>
      <c r="H425" s="138"/>
      <c r="I425" s="46"/>
      <c r="J425" s="51"/>
      <c r="K425" s="46"/>
      <c r="L425" s="51"/>
    </row>
    <row r="426" spans="1:13" s="22" customFormat="1" ht="14.25" customHeight="1" thickBot="1" x14ac:dyDescent="0.25">
      <c r="A426" s="55">
        <v>17.899999999999999</v>
      </c>
      <c r="B426" s="116" t="s">
        <v>31</v>
      </c>
      <c r="C426" s="117"/>
      <c r="D426" s="117"/>
      <c r="E426" s="208">
        <v>1</v>
      </c>
      <c r="F426" s="209" t="s">
        <v>30</v>
      </c>
      <c r="G426" s="75"/>
      <c r="H426" s="138"/>
      <c r="I426" s="46"/>
      <c r="J426" s="51"/>
      <c r="K426" s="46"/>
      <c r="L426" s="51"/>
    </row>
    <row r="427" spans="1:13" s="22" customFormat="1" ht="14.25" customHeight="1" thickBot="1" x14ac:dyDescent="0.25">
      <c r="A427" s="876" t="s">
        <v>147</v>
      </c>
      <c r="B427" s="877"/>
      <c r="C427" s="877"/>
      <c r="D427" s="877"/>
      <c r="E427" s="877"/>
      <c r="F427" s="877"/>
      <c r="G427" s="877"/>
      <c r="H427" s="877"/>
      <c r="I427" s="877"/>
      <c r="J427" s="877"/>
      <c r="K427" s="878"/>
      <c r="L427" s="50"/>
      <c r="M427" s="23"/>
    </row>
    <row r="428" spans="1:13" s="23" customFormat="1" ht="14.25" customHeight="1" x14ac:dyDescent="0.2">
      <c r="A428" s="57">
        <v>18</v>
      </c>
      <c r="B428" s="37" t="s">
        <v>99</v>
      </c>
      <c r="C428" s="5"/>
      <c r="D428" s="11"/>
      <c r="E428" s="176"/>
      <c r="F428" s="44"/>
      <c r="G428" s="14"/>
      <c r="H428" s="44"/>
      <c r="I428" s="49"/>
      <c r="J428" s="49"/>
      <c r="K428" s="49"/>
      <c r="L428" s="54"/>
    </row>
    <row r="429" spans="1:13" s="24" customFormat="1" ht="14.25" customHeight="1" thickBot="1" x14ac:dyDescent="0.25">
      <c r="A429" s="56">
        <f>A428+0.1</f>
        <v>18.100000000000001</v>
      </c>
      <c r="B429" s="38" t="s">
        <v>100</v>
      </c>
      <c r="C429" s="85"/>
      <c r="D429" s="85"/>
      <c r="E429" s="206">
        <v>1</v>
      </c>
      <c r="F429" s="84" t="s">
        <v>30</v>
      </c>
      <c r="G429" s="137"/>
      <c r="H429" s="92"/>
      <c r="I429" s="93"/>
      <c r="J429" s="51"/>
      <c r="K429" s="93"/>
      <c r="L429" s="51"/>
    </row>
    <row r="430" spans="1:13" s="22" customFormat="1" ht="14.25" customHeight="1" thickBot="1" x14ac:dyDescent="0.25">
      <c r="A430" s="876" t="s">
        <v>147</v>
      </c>
      <c r="B430" s="877"/>
      <c r="C430" s="877"/>
      <c r="D430" s="877"/>
      <c r="E430" s="877"/>
      <c r="F430" s="877"/>
      <c r="G430" s="877"/>
      <c r="H430" s="877"/>
      <c r="I430" s="877"/>
      <c r="J430" s="877"/>
      <c r="K430" s="878"/>
      <c r="L430" s="50"/>
      <c r="M430" s="23"/>
    </row>
    <row r="431" spans="1:13" s="23" customFormat="1" ht="14.25" customHeight="1" x14ac:dyDescent="0.2">
      <c r="A431" s="57">
        <v>19</v>
      </c>
      <c r="B431" s="37" t="s">
        <v>101</v>
      </c>
      <c r="C431" s="5"/>
      <c r="D431" s="11"/>
      <c r="E431" s="176"/>
      <c r="F431" s="44"/>
      <c r="G431" s="14"/>
      <c r="H431" s="44"/>
      <c r="I431" s="49"/>
      <c r="J431" s="49"/>
      <c r="K431" s="49"/>
      <c r="L431" s="54"/>
    </row>
    <row r="432" spans="1:13" s="24" customFormat="1" ht="14.25" customHeight="1" thickBot="1" x14ac:dyDescent="0.25">
      <c r="A432" s="55">
        <f>A431+0.1</f>
        <v>19.100000000000001</v>
      </c>
      <c r="B432" s="18" t="s">
        <v>102</v>
      </c>
      <c r="C432" s="8"/>
      <c r="D432" s="8"/>
      <c r="E432" s="205">
        <v>1</v>
      </c>
      <c r="F432" s="21" t="s">
        <v>30</v>
      </c>
      <c r="G432" s="132"/>
      <c r="H432" s="90"/>
      <c r="I432" s="73"/>
      <c r="J432" s="51"/>
      <c r="K432" s="73"/>
      <c r="L432" s="51"/>
    </row>
    <row r="433" spans="1:13" s="22" customFormat="1" ht="14.25" customHeight="1" thickBot="1" x14ac:dyDescent="0.25">
      <c r="A433" s="876" t="s">
        <v>147</v>
      </c>
      <c r="B433" s="877"/>
      <c r="C433" s="877"/>
      <c r="D433" s="877"/>
      <c r="E433" s="877"/>
      <c r="F433" s="877"/>
      <c r="G433" s="877"/>
      <c r="H433" s="877"/>
      <c r="I433" s="877"/>
      <c r="J433" s="877"/>
      <c r="K433" s="878"/>
      <c r="L433" s="50"/>
      <c r="M433" s="23"/>
    </row>
    <row r="434" spans="1:13" s="23" customFormat="1" ht="14.25" customHeight="1" x14ac:dyDescent="0.2">
      <c r="A434" s="57">
        <v>20</v>
      </c>
      <c r="B434" s="37" t="s">
        <v>54</v>
      </c>
      <c r="C434" s="5"/>
      <c r="D434" s="11"/>
      <c r="E434" s="176"/>
      <c r="F434" s="44"/>
      <c r="G434" s="14"/>
      <c r="H434" s="44"/>
      <c r="I434" s="49"/>
      <c r="J434" s="49"/>
      <c r="K434" s="49"/>
      <c r="L434" s="54"/>
    </row>
    <row r="435" spans="1:13" s="24" customFormat="1" ht="14.25" customHeight="1" x14ac:dyDescent="0.2">
      <c r="A435" s="55">
        <f>A434+0.1</f>
        <v>20.100000000000001</v>
      </c>
      <c r="B435" s="18" t="s">
        <v>296</v>
      </c>
      <c r="C435" s="8"/>
      <c r="D435" s="8"/>
      <c r="E435" s="205">
        <v>1</v>
      </c>
      <c r="F435" s="21" t="s">
        <v>30</v>
      </c>
      <c r="G435" s="132"/>
      <c r="H435" s="90"/>
      <c r="I435" s="73"/>
      <c r="J435" s="51"/>
      <c r="K435" s="73"/>
      <c r="L435" s="51"/>
    </row>
    <row r="436" spans="1:13" ht="14.25" customHeight="1" thickBot="1" x14ac:dyDescent="0.25">
      <c r="A436" s="55">
        <f>A435+0.1</f>
        <v>20.200000000000003</v>
      </c>
      <c r="B436" s="18" t="s">
        <v>297</v>
      </c>
      <c r="C436" s="8"/>
      <c r="D436" s="28"/>
      <c r="E436" s="205">
        <v>1</v>
      </c>
      <c r="F436" s="21" t="s">
        <v>30</v>
      </c>
      <c r="G436" s="132"/>
      <c r="H436" s="90"/>
      <c r="I436" s="73"/>
      <c r="J436" s="51"/>
      <c r="K436" s="73"/>
      <c r="L436" s="51"/>
    </row>
    <row r="437" spans="1:13" s="22" customFormat="1" ht="14.25" customHeight="1" thickBot="1" x14ac:dyDescent="0.25">
      <c r="A437" s="876" t="s">
        <v>147</v>
      </c>
      <c r="B437" s="877"/>
      <c r="C437" s="877"/>
      <c r="D437" s="877"/>
      <c r="E437" s="877"/>
      <c r="F437" s="877"/>
      <c r="G437" s="877"/>
      <c r="H437" s="877"/>
      <c r="I437" s="877"/>
      <c r="J437" s="877"/>
      <c r="K437" s="878"/>
      <c r="L437" s="50"/>
      <c r="M437" s="23"/>
    </row>
    <row r="438" spans="1:13" s="23" customFormat="1" ht="14.25" customHeight="1" x14ac:dyDescent="0.2">
      <c r="A438" s="57">
        <v>21</v>
      </c>
      <c r="B438" s="37" t="s">
        <v>55</v>
      </c>
      <c r="C438" s="5"/>
      <c r="D438" s="11"/>
      <c r="E438" s="176"/>
      <c r="F438" s="44"/>
      <c r="G438" s="14"/>
      <c r="H438" s="44"/>
      <c r="I438" s="49"/>
      <c r="J438" s="49"/>
      <c r="K438" s="49"/>
      <c r="L438" s="54"/>
    </row>
    <row r="439" spans="1:13" s="23" customFormat="1" ht="14.25" customHeight="1" x14ac:dyDescent="0.2">
      <c r="A439" s="55">
        <f>A438+0.1</f>
        <v>21.1</v>
      </c>
      <c r="B439" s="38" t="s">
        <v>56</v>
      </c>
      <c r="C439" s="151"/>
      <c r="D439" s="28"/>
      <c r="E439" s="205">
        <v>1</v>
      </c>
      <c r="F439" s="21" t="s">
        <v>30</v>
      </c>
      <c r="G439" s="132"/>
      <c r="H439" s="90"/>
      <c r="I439" s="73"/>
      <c r="J439" s="51"/>
      <c r="K439" s="73"/>
      <c r="L439" s="51"/>
    </row>
    <row r="440" spans="1:13" s="23" customFormat="1" ht="14.25" customHeight="1" x14ac:dyDescent="0.2">
      <c r="A440" s="55">
        <f>A439+0.1</f>
        <v>21.200000000000003</v>
      </c>
      <c r="B440" s="38" t="s">
        <v>57</v>
      </c>
      <c r="C440" s="151"/>
      <c r="D440" s="32"/>
      <c r="E440" s="205">
        <v>1</v>
      </c>
      <c r="F440" s="21" t="s">
        <v>30</v>
      </c>
      <c r="G440" s="132"/>
      <c r="H440" s="90"/>
      <c r="I440" s="73"/>
      <c r="J440" s="51"/>
      <c r="K440" s="73"/>
      <c r="L440" s="51"/>
    </row>
    <row r="441" spans="1:13" s="23" customFormat="1" ht="14.25" customHeight="1" x14ac:dyDescent="0.2">
      <c r="A441" s="55">
        <f>A440+0.1</f>
        <v>21.300000000000004</v>
      </c>
      <c r="B441" s="38" t="s">
        <v>58</v>
      </c>
      <c r="C441" s="151"/>
      <c r="D441" s="8"/>
      <c r="E441" s="205">
        <v>1</v>
      </c>
      <c r="F441" s="21" t="s">
        <v>30</v>
      </c>
      <c r="G441" s="132"/>
      <c r="H441" s="90"/>
      <c r="I441" s="73"/>
      <c r="J441" s="51"/>
      <c r="K441" s="73"/>
      <c r="L441" s="51"/>
    </row>
    <row r="442" spans="1:13" s="23" customFormat="1" ht="14.25" customHeight="1" thickBot="1" x14ac:dyDescent="0.25">
      <c r="A442" s="55">
        <f>A441+0.1</f>
        <v>21.400000000000006</v>
      </c>
      <c r="B442" s="38" t="s">
        <v>59</v>
      </c>
      <c r="C442" s="151"/>
      <c r="D442" s="8"/>
      <c r="E442" s="205">
        <v>1</v>
      </c>
      <c r="F442" s="21" t="s">
        <v>30</v>
      </c>
      <c r="G442" s="132"/>
      <c r="H442" s="90"/>
      <c r="I442" s="73"/>
      <c r="J442" s="51"/>
      <c r="K442" s="73"/>
      <c r="L442" s="51"/>
    </row>
    <row r="443" spans="1:13" s="22" customFormat="1" ht="14.25" customHeight="1" thickBot="1" x14ac:dyDescent="0.25">
      <c r="A443" s="876" t="s">
        <v>147</v>
      </c>
      <c r="B443" s="877"/>
      <c r="C443" s="877"/>
      <c r="D443" s="877"/>
      <c r="E443" s="877"/>
      <c r="F443" s="877"/>
      <c r="G443" s="877"/>
      <c r="H443" s="877"/>
      <c r="I443" s="877"/>
      <c r="J443" s="877"/>
      <c r="K443" s="878"/>
      <c r="L443" s="50"/>
      <c r="M443" s="23"/>
    </row>
    <row r="444" spans="1:13" s="23" customFormat="1" ht="14.25" customHeight="1" x14ac:dyDescent="0.2">
      <c r="A444" s="57">
        <v>22</v>
      </c>
      <c r="B444" s="37" t="s">
        <v>60</v>
      </c>
      <c r="C444" s="5"/>
      <c r="D444" s="11"/>
      <c r="E444" s="176"/>
      <c r="F444" s="44"/>
      <c r="G444" s="14"/>
      <c r="H444" s="44"/>
      <c r="I444" s="49"/>
      <c r="J444" s="49"/>
      <c r="K444" s="49"/>
      <c r="L444" s="54"/>
    </row>
    <row r="445" spans="1:13" s="23" customFormat="1" ht="14.25" customHeight="1" thickBot="1" x14ac:dyDescent="0.25">
      <c r="A445" s="55">
        <f>A444+0.1</f>
        <v>22.1</v>
      </c>
      <c r="B445" s="18" t="s">
        <v>62</v>
      </c>
      <c r="C445" s="8"/>
      <c r="D445" s="8"/>
      <c r="E445" s="205">
        <v>1</v>
      </c>
      <c r="F445" s="21" t="s">
        <v>30</v>
      </c>
      <c r="G445" s="132"/>
      <c r="H445" s="90"/>
      <c r="I445" s="73"/>
      <c r="J445" s="51"/>
      <c r="K445" s="73"/>
      <c r="L445" s="51"/>
    </row>
    <row r="446" spans="1:13" s="22" customFormat="1" ht="14.25" customHeight="1" thickBot="1" x14ac:dyDescent="0.25">
      <c r="A446" s="876" t="s">
        <v>147</v>
      </c>
      <c r="B446" s="877"/>
      <c r="C446" s="877"/>
      <c r="D446" s="877"/>
      <c r="E446" s="877"/>
      <c r="F446" s="877"/>
      <c r="G446" s="877"/>
      <c r="H446" s="877"/>
      <c r="I446" s="877"/>
      <c r="J446" s="877"/>
      <c r="K446" s="878"/>
      <c r="L446" s="50"/>
      <c r="M446" s="23"/>
    </row>
    <row r="447" spans="1:13" s="23" customFormat="1" ht="14.25" customHeight="1" x14ac:dyDescent="0.2">
      <c r="A447" s="57">
        <v>23</v>
      </c>
      <c r="B447" s="37" t="s">
        <v>134</v>
      </c>
      <c r="C447" s="5"/>
      <c r="D447" s="11"/>
      <c r="E447" s="176"/>
      <c r="F447" s="44"/>
      <c r="G447" s="14"/>
      <c r="H447" s="44"/>
      <c r="I447" s="49"/>
      <c r="J447" s="49"/>
      <c r="K447" s="49"/>
      <c r="L447" s="54"/>
    </row>
    <row r="448" spans="1:13" ht="14.25" customHeight="1" thickBot="1" x14ac:dyDescent="0.25">
      <c r="A448" s="55">
        <f>A447+0.1</f>
        <v>23.1</v>
      </c>
      <c r="B448" s="17" t="s">
        <v>204</v>
      </c>
      <c r="C448" s="16"/>
      <c r="D448" s="16"/>
      <c r="E448" s="205">
        <v>1</v>
      </c>
      <c r="F448" s="197" t="s">
        <v>30</v>
      </c>
      <c r="G448" s="132"/>
      <c r="H448" s="89"/>
      <c r="I448" s="73"/>
      <c r="J448" s="51"/>
      <c r="K448" s="73"/>
      <c r="L448" s="51"/>
    </row>
    <row r="449" spans="1:13" s="22" customFormat="1" ht="14.25" customHeight="1" thickBot="1" x14ac:dyDescent="0.25">
      <c r="A449" s="876" t="s">
        <v>147</v>
      </c>
      <c r="B449" s="877"/>
      <c r="C449" s="877"/>
      <c r="D449" s="877"/>
      <c r="E449" s="877"/>
      <c r="F449" s="877"/>
      <c r="G449" s="877"/>
      <c r="H449" s="877"/>
      <c r="I449" s="877"/>
      <c r="J449" s="877"/>
      <c r="K449" s="878"/>
      <c r="L449" s="50"/>
      <c r="M449" s="23"/>
    </row>
    <row r="450" spans="1:13" s="23" customFormat="1" ht="14.25" customHeight="1" x14ac:dyDescent="0.2">
      <c r="A450" s="57">
        <v>24</v>
      </c>
      <c r="B450" s="37" t="s">
        <v>14</v>
      </c>
      <c r="C450" s="5"/>
      <c r="D450" s="11"/>
      <c r="E450" s="176"/>
      <c r="F450" s="44"/>
      <c r="G450" s="14"/>
      <c r="H450" s="44"/>
      <c r="I450" s="49"/>
      <c r="J450" s="49"/>
      <c r="K450" s="49"/>
      <c r="L450" s="54"/>
    </row>
    <row r="451" spans="1:13" ht="14.25" customHeight="1" x14ac:dyDescent="0.2">
      <c r="A451" s="55">
        <f t="shared" ref="A451:A456" si="1">A450+0.1</f>
        <v>24.1</v>
      </c>
      <c r="B451" s="114" t="s">
        <v>15</v>
      </c>
      <c r="C451" s="115"/>
      <c r="D451" s="115"/>
      <c r="E451" s="205">
        <v>1</v>
      </c>
      <c r="F451" s="21" t="s">
        <v>30</v>
      </c>
      <c r="G451" s="132"/>
      <c r="H451" s="90"/>
      <c r="I451" s="73"/>
      <c r="J451" s="51"/>
      <c r="K451" s="73"/>
      <c r="L451" s="51"/>
    </row>
    <row r="452" spans="1:13" ht="14.25" customHeight="1" x14ac:dyDescent="0.2">
      <c r="A452" s="55">
        <f t="shared" si="1"/>
        <v>24.200000000000003</v>
      </c>
      <c r="B452" s="3" t="s">
        <v>16</v>
      </c>
      <c r="C452" s="33"/>
      <c r="D452" s="33"/>
      <c r="E452" s="204">
        <v>1</v>
      </c>
      <c r="F452" s="210" t="s">
        <v>30</v>
      </c>
      <c r="G452" s="135"/>
      <c r="H452" s="141"/>
      <c r="I452" s="73"/>
      <c r="J452" s="51"/>
      <c r="K452" s="73"/>
      <c r="L452" s="51"/>
    </row>
    <row r="453" spans="1:13" ht="14.25" customHeight="1" x14ac:dyDescent="0.2">
      <c r="A453" s="55">
        <f t="shared" si="1"/>
        <v>24.300000000000004</v>
      </c>
      <c r="B453" s="3" t="s">
        <v>17</v>
      </c>
      <c r="C453" s="33"/>
      <c r="D453" s="33"/>
      <c r="E453" s="204">
        <v>1</v>
      </c>
      <c r="F453" s="210" t="s">
        <v>30</v>
      </c>
      <c r="G453" s="135"/>
      <c r="H453" s="141"/>
      <c r="I453" s="73"/>
      <c r="J453" s="51"/>
      <c r="K453" s="73"/>
      <c r="L453" s="51"/>
    </row>
    <row r="454" spans="1:13" ht="14.25" customHeight="1" x14ac:dyDescent="0.2">
      <c r="A454" s="55">
        <f t="shared" si="1"/>
        <v>24.400000000000006</v>
      </c>
      <c r="B454" s="3" t="s">
        <v>18</v>
      </c>
      <c r="C454" s="33"/>
      <c r="D454" s="33"/>
      <c r="E454" s="204">
        <v>1</v>
      </c>
      <c r="F454" s="210" t="s">
        <v>30</v>
      </c>
      <c r="G454" s="135"/>
      <c r="H454" s="141"/>
      <c r="I454" s="73"/>
      <c r="J454" s="51"/>
      <c r="K454" s="73"/>
      <c r="L454" s="51"/>
    </row>
    <row r="455" spans="1:13" ht="25.5" customHeight="1" x14ac:dyDescent="0.2">
      <c r="A455" s="55">
        <f t="shared" si="1"/>
        <v>24.500000000000007</v>
      </c>
      <c r="B455" s="879" t="s">
        <v>495</v>
      </c>
      <c r="C455" s="880"/>
      <c r="D455" s="880"/>
      <c r="E455" s="204">
        <v>1</v>
      </c>
      <c r="F455" s="210" t="s">
        <v>30</v>
      </c>
      <c r="G455" s="135"/>
      <c r="H455" s="141"/>
      <c r="I455" s="77"/>
      <c r="J455" s="51"/>
      <c r="K455" s="77"/>
      <c r="L455" s="51"/>
    </row>
    <row r="456" spans="1:13" ht="14.25" customHeight="1" thickBot="1" x14ac:dyDescent="0.25">
      <c r="A456" s="55">
        <f t="shared" si="1"/>
        <v>24.600000000000009</v>
      </c>
      <c r="B456" s="3" t="s">
        <v>103</v>
      </c>
      <c r="C456" s="33"/>
      <c r="D456" s="33"/>
      <c r="E456" s="204">
        <v>1</v>
      </c>
      <c r="F456" s="210" t="s">
        <v>30</v>
      </c>
      <c r="G456" s="135"/>
      <c r="H456" s="141"/>
      <c r="I456" s="73"/>
      <c r="J456" s="51"/>
      <c r="K456" s="73"/>
      <c r="L456" s="51"/>
    </row>
    <row r="457" spans="1:13" s="22" customFormat="1" ht="14.25" customHeight="1" thickBot="1" x14ac:dyDescent="0.25">
      <c r="A457" s="881" t="s">
        <v>147</v>
      </c>
      <c r="B457" s="882"/>
      <c r="C457" s="882"/>
      <c r="D457" s="882"/>
      <c r="E457" s="882"/>
      <c r="F457" s="882"/>
      <c r="G457" s="882"/>
      <c r="H457" s="882"/>
      <c r="I457" s="882"/>
      <c r="J457" s="882"/>
      <c r="K457" s="883"/>
      <c r="L457" s="193"/>
      <c r="M457" s="23"/>
    </row>
    <row r="458" spans="1:13" ht="12.75" customHeight="1" x14ac:dyDescent="0.2"/>
    <row r="459" spans="1:13" ht="12.75" customHeight="1" x14ac:dyDescent="0.2"/>
    <row r="460" spans="1:13" ht="12.75" customHeight="1" x14ac:dyDescent="0.2">
      <c r="B460" s="154"/>
      <c r="C460" s="153"/>
      <c r="D460" s="153"/>
    </row>
    <row r="461" spans="1:13" ht="12.75" customHeight="1" x14ac:dyDescent="0.2">
      <c r="J461" s="36"/>
      <c r="L461" s="36"/>
    </row>
  </sheetData>
  <mergeCells count="44">
    <mergeCell ref="A48:K48"/>
    <mergeCell ref="A4:L4"/>
    <mergeCell ref="B6:D6"/>
    <mergeCell ref="A7:A9"/>
    <mergeCell ref="B7:D9"/>
    <mergeCell ref="E7:E9"/>
    <mergeCell ref="F7:F9"/>
    <mergeCell ref="G7:H7"/>
    <mergeCell ref="I7:J7"/>
    <mergeCell ref="K7:L7"/>
    <mergeCell ref="B10:D10"/>
    <mergeCell ref="B22:D22"/>
    <mergeCell ref="A27:K27"/>
    <mergeCell ref="A34:K34"/>
    <mergeCell ref="A41:K41"/>
    <mergeCell ref="A378:K378"/>
    <mergeCell ref="B54:D54"/>
    <mergeCell ref="A60:K60"/>
    <mergeCell ref="A67:K67"/>
    <mergeCell ref="A81:K81"/>
    <mergeCell ref="A87:K87"/>
    <mergeCell ref="A141:K141"/>
    <mergeCell ref="B268:L268"/>
    <mergeCell ref="A278:K278"/>
    <mergeCell ref="B284:D284"/>
    <mergeCell ref="A341:K341"/>
    <mergeCell ref="B344:D344"/>
    <mergeCell ref="A437:K437"/>
    <mergeCell ref="B380:D380"/>
    <mergeCell ref="B381:D381"/>
    <mergeCell ref="B382:D382"/>
    <mergeCell ref="A398:K398"/>
    <mergeCell ref="A403:K403"/>
    <mergeCell ref="A408:K408"/>
    <mergeCell ref="A416:K416"/>
    <mergeCell ref="B425:D425"/>
    <mergeCell ref="A427:K427"/>
    <mergeCell ref="A430:K430"/>
    <mergeCell ref="A433:K433"/>
    <mergeCell ref="A443:K443"/>
    <mergeCell ref="A446:K446"/>
    <mergeCell ref="A449:K449"/>
    <mergeCell ref="B455:D455"/>
    <mergeCell ref="A457:K457"/>
  </mergeCells>
  <printOptions horizontalCentered="1" gridLinesSet="0"/>
  <pageMargins left="0.5" right="0.25" top="0.65" bottom="0.45" header="0.5" footer="0.125"/>
  <pageSetup paperSize="9" scale="86" firstPageNumber="2" orientation="landscape" useFirstPageNumber="1" r:id="rId1"/>
  <headerFooter alignWithMargins="0">
    <oddFooter xml:space="preserve">&amp;L&amp;"Arial,Bold"Fahim, Nanji &amp;&amp; deSouza (Pvt.) Ltd.
&amp;"Arial,Regular"Consulting Engineers&amp;R&amp;"Arial,Bold"Page -&amp;P&amp;9
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8BEF076A962A43B6F9D3AD7FB3FB6F" ma:contentTypeVersion="19" ma:contentTypeDescription="Create a new document." ma:contentTypeScope="" ma:versionID="bcb0f6516c6be7fd66a54e395076b739">
  <xsd:schema xmlns:xsd="http://www.w3.org/2001/XMLSchema" xmlns:xs="http://www.w3.org/2001/XMLSchema" xmlns:p="http://schemas.microsoft.com/office/2006/metadata/properties" xmlns:ns2="db23c72c-e112-43fc-8a02-148203d9c31c" xmlns:ns3="2a2a445e-c453-4f04-9b2f-8a0068eac90e" targetNamespace="http://schemas.microsoft.com/office/2006/metadata/properties" ma:root="true" ma:fieldsID="e4bdf9d59a7f4f0d91d44646cabeafbf" ns2:_="" ns3:_="">
    <xsd:import namespace="db23c72c-e112-43fc-8a02-148203d9c31c"/>
    <xsd:import namespace="2a2a445e-c453-4f04-9b2f-8a0068eac9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Tim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23c72c-e112-43fc-8a02-148203d9c3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Time" ma:index="20" nillable="true" ma:displayName="Time" ma:format="DateOnly" ma:internalName="Time">
      <xsd:simpleType>
        <xsd:restriction base="dms:DateTime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15bef08c-5acb-4489-9547-ea8ae88aab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2a445e-c453-4f04-9b2f-8a0068eac90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88c2cc48-4328-49ff-9113-a44c58217a34}" ma:internalName="TaxCatchAll" ma:showField="CatchAllData" ma:web="2a2a445e-c453-4f04-9b2f-8a0068eac9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a2a445e-c453-4f04-9b2f-8a0068eac90e" xsi:nil="true"/>
    <lcf76f155ced4ddcb4097134ff3c332f xmlns="db23c72c-e112-43fc-8a02-148203d9c31c">
      <Terms xmlns="http://schemas.microsoft.com/office/infopath/2007/PartnerControls"/>
    </lcf76f155ced4ddcb4097134ff3c332f>
    <Time xmlns="db23c72c-e112-43fc-8a02-148203d9c31c" xsi:nil="true"/>
  </documentManagement>
</p:properties>
</file>

<file path=customXml/itemProps1.xml><?xml version="1.0" encoding="utf-8"?>
<ds:datastoreItem xmlns:ds="http://schemas.openxmlformats.org/officeDocument/2006/customXml" ds:itemID="{E30F8197-43D9-43DB-B915-C1D987799C5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D4849AA-A0B1-4AAC-8E9A-15E753ADE774}">
  <ds:schemaRefs>
    <ds:schemaRef ds:uri="http://www.w3.org/2001/XMLSchema"/>
  </ds:schemaRefs>
</ds:datastoreItem>
</file>

<file path=customXml/itemProps3.xml><?xml version="1.0" encoding="utf-8"?>
<ds:datastoreItem xmlns:ds="http://schemas.openxmlformats.org/officeDocument/2006/customXml" ds:itemID="{7CF06D17-1F29-48B0-8829-EEC9757016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23c72c-e112-43fc-8a02-148203d9c31c"/>
    <ds:schemaRef ds:uri="2a2a445e-c453-4f04-9b2f-8a0068eac9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2E7C0ED-6AF1-4D10-A3B4-59FFF955D15A}">
  <ds:schemaRefs>
    <ds:schemaRef ds:uri="http://purl.org/dc/terms/"/>
    <ds:schemaRef ds:uri="2a2a445e-c453-4f04-9b2f-8a0068eac90e"/>
    <ds:schemaRef ds:uri="http://schemas.microsoft.com/office/2006/documentManagement/types"/>
    <ds:schemaRef ds:uri="http://purl.org/dc/elements/1.1/"/>
    <ds:schemaRef ds:uri="http://schemas.microsoft.com/office/2006/metadata/properties"/>
    <ds:schemaRef ds:uri="db23c72c-e112-43fc-8a02-148203d9c31c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Grand Summary</vt:lpstr>
      <vt:lpstr>M&amp;P BOQ 17</vt:lpstr>
      <vt:lpstr>M&amp;P BOQ 18</vt:lpstr>
      <vt:lpstr>FF BOQ 17</vt:lpstr>
      <vt:lpstr>FF BOQ 18</vt:lpstr>
      <vt:lpstr>TOWER-(A) BOQ (2)</vt:lpstr>
      <vt:lpstr>'FF BOQ 17'!Print_Area</vt:lpstr>
      <vt:lpstr>'FF BOQ 18'!Print_Area</vt:lpstr>
      <vt:lpstr>'FF BOQ 17'!Print_Titles</vt:lpstr>
      <vt:lpstr>'FF BOQ 18'!Print_Titles</vt:lpstr>
      <vt:lpstr>'M&amp;P BOQ 17'!Print_Titles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Zaffaruddin Shaikh</dc:creator>
  <cp:lastModifiedBy>Rehan Aslam</cp:lastModifiedBy>
  <cp:lastPrinted>2025-05-12T12:30:10Z</cp:lastPrinted>
  <dcterms:created xsi:type="dcterms:W3CDTF">1996-06-15T06:21:35Z</dcterms:created>
  <dcterms:modified xsi:type="dcterms:W3CDTF">2025-05-27T10:29:05Z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PlanSwiftJobName">
    <vt:lpwstr/>
  </property>
  <property fmtid="{D5CDD505-2E9C-101B-9397-08002B2CF9AE}" pid="4" name="PlanSwiftJobGuid">
    <vt:lpwstr/>
  </property>
  <property fmtid="{D5CDD505-2E9C-101B-9397-08002B2CF9AE}" pid="5" name="LinkedDataId">
    <vt:lpwstr>{7D4849AA-A0B1-4AAC-8E9A-15E753ADE774}</vt:lpwstr>
  </property>
</Properties>
</file>