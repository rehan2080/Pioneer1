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6"/>
  <workbookPr defaultThemeVersion="124226"/>
  <mc:AlternateContent xmlns:mc="http://schemas.openxmlformats.org/markup-compatibility/2006">
    <mc:Choice Requires="x15">
      <x15ac:absPath xmlns:x15ac="http://schemas.microsoft.com/office/spreadsheetml/2010/11/ac" url="D:\Xls\Sent BOQ\Khaadi Kanteen F-6, Islamabad\"/>
    </mc:Choice>
  </mc:AlternateContent>
  <xr:revisionPtr revIDLastSave="0" documentId="13_ncr:1_{398270AD-B980-4CC4-B4EC-E46412B6ADC4}" xr6:coauthVersionLast="36" xr6:coauthVersionMax="36" xr10:uidLastSave="{00000000-0000-0000-0000-000000000000}"/>
  <bookViews>
    <workbookView xWindow="0" yWindow="0" windowWidth="28800" windowHeight="12225" xr2:uid="{00000000-000D-0000-FFFF-FFFF00000000}"/>
  </bookViews>
  <sheets>
    <sheet name="BOQ" sheetId="13" r:id="rId1"/>
  </sheets>
  <definedNames>
    <definedName name="_xlnm.Print_Area" localSheetId="0">BOQ!$A$1:$J$21</definedName>
    <definedName name="_xlnm.Print_Titles" localSheetId="0">BOQ!$1:$9</definedName>
  </definedNames>
  <calcPr calcId="191029" iterate="1"/>
</workbook>
</file>

<file path=xl/calcChain.xml><?xml version="1.0" encoding="utf-8"?>
<calcChain xmlns="http://schemas.openxmlformats.org/spreadsheetml/2006/main">
  <c r="G21" i="13" l="1"/>
  <c r="I21" i="13"/>
  <c r="G19" i="13"/>
  <c r="I19" i="13"/>
  <c r="J19" i="13" s="1"/>
  <c r="G20" i="13"/>
  <c r="I20" i="13"/>
  <c r="J20" i="13" l="1"/>
  <c r="J21" i="13" s="1"/>
  <c r="G16" i="13" l="1"/>
  <c r="G17" i="13"/>
  <c r="I16" i="13"/>
  <c r="I17" i="13"/>
  <c r="I15" i="13"/>
  <c r="G15" i="13"/>
  <c r="I12" i="13"/>
  <c r="J12" i="13" s="1"/>
  <c r="G12" i="13"/>
  <c r="J15" i="13" l="1"/>
  <c r="J17" i="13"/>
  <c r="J16" i="13"/>
  <c r="A16" i="13"/>
  <c r="A17" i="13" s="1"/>
  <c r="B15" i="13" l="1"/>
</calcChain>
</file>

<file path=xl/sharedStrings.xml><?xml version="1.0" encoding="utf-8"?>
<sst xmlns="http://schemas.openxmlformats.org/spreadsheetml/2006/main" count="35" uniqueCount="31">
  <si>
    <t>Material</t>
  </si>
  <si>
    <t>Labour</t>
  </si>
  <si>
    <t xml:space="preserve">Amount </t>
  </si>
  <si>
    <t>Rate</t>
  </si>
  <si>
    <t>Units</t>
  </si>
  <si>
    <t>Description</t>
  </si>
  <si>
    <t>S.No.</t>
  </si>
  <si>
    <t>Total Cost of ACMV Works Rs.</t>
  </si>
  <si>
    <t>Qty</t>
  </si>
  <si>
    <t>Amount</t>
  </si>
  <si>
    <t>Rft</t>
  </si>
  <si>
    <t>Sqft</t>
  </si>
  <si>
    <t>No.</t>
  </si>
  <si>
    <t>Rev.00</t>
  </si>
  <si>
    <t>BILL OF QUANTITIES</t>
  </si>
  <si>
    <t>ISLAMABAD</t>
  </si>
  <si>
    <t>SP-01 @ 20 gpm  1.0 bar head.</t>
  </si>
  <si>
    <t>Duplex submersible pump set for waste water drainage including float switch, water proof cable, check valve with union, lifting chain.</t>
  </si>
  <si>
    <t>Supply &amp; Installation of Motor Control panel for Duplex (2 Nos.) submersible pumps including auto Lead/Lag sequencing of pumps, pump starters, auto on / off, float switches, high level alarm, power and control wiring</t>
  </si>
  <si>
    <t>Job.</t>
  </si>
  <si>
    <t>HVAC</t>
  </si>
  <si>
    <t>Plumbing</t>
  </si>
  <si>
    <t>KANTEEN, F-6</t>
  </si>
  <si>
    <t>Date : 30-01-2025</t>
  </si>
  <si>
    <t>Addendum 1 (HVAC &amp; PS)</t>
  </si>
  <si>
    <t xml:space="preserve">6" wide channel drain with S.S. Grating </t>
  </si>
  <si>
    <t>Supply and installation of 18 SWG Painted G.I. sheet metal tray for refrigerant pipes and control wiring exposed to weather and internal areas complete in all respects including hangers, supports brackets complete in all respects ready to operate as per specification, drawings and as per instruction of Consultant.</t>
  </si>
  <si>
    <t>Nos</t>
  </si>
  <si>
    <t>Fire extinguishers with fixing accessories.</t>
  </si>
  <si>
    <r>
      <t>Type Class B&amp;C FX-3  (5 Kg. CO</t>
    </r>
    <r>
      <rPr>
        <sz val="8"/>
        <rFont val="Arial"/>
        <family val="2"/>
      </rPr>
      <t>2</t>
    </r>
    <r>
      <rPr>
        <sz val="10"/>
        <rFont val="Arial"/>
        <family val="2"/>
      </rPr>
      <t xml:space="preserve"> Carbon Dioxide Gas)</t>
    </r>
  </si>
  <si>
    <t>Type Class A,B&amp;C  FX-4  (6 Kg. Dry Chemical Powder)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</si>
</sst>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0_);_(* \(#,##0.00\);_(* &quot;-&quot;??_);_(@_)"/>
    <numFmt numFmtId="166" formatCode="General_)"/>
    <numFmt numFmtId="167" formatCode="0.0"/>
    <numFmt numFmtId="168" formatCode="#,##0.0"/>
  </numFmts>
  <fonts count="14" x14ac:knownFonts="1">
    <font>
      <sz val="11"/>
      <color theme="1"/>
      <name val="Calibri"/>
      <family val="2"/>
      <scheme val="minor"/>
    </font>
    <font>
      <sz val="10"/>
      <name val="Arial"/>
      <family val="2"/>
    </font>
    <font>
      <sz val="12"/>
      <name val="Arial"/>
      <family val="2"/>
    </font>
    <font>
      <b/>
      <sz val="14"/>
      <name val="Arial"/>
      <family val="2"/>
    </font>
    <font>
      <sz val="14"/>
      <name val="Arial"/>
      <family val="2"/>
    </font>
    <font>
      <sz val="11"/>
      <name val="Arial"/>
      <family val="2"/>
    </font>
    <font>
      <sz val="10"/>
      <name val="Arial"/>
      <family val="2"/>
    </font>
    <font>
      <sz val="11"/>
      <name val="Arial"/>
      <family val="2"/>
    </font>
    <font>
      <b/>
      <sz val="10"/>
      <name val="Arial"/>
      <family val="2"/>
    </font>
    <font>
      <sz val="12"/>
      <color theme="1"/>
      <name val="Arial"/>
      <family val="2"/>
    </font>
    <font>
      <b/>
      <sz val="14"/>
      <name val="Courier"/>
      <family val="3"/>
    </font>
    <font>
      <b/>
      <sz val="12"/>
      <name val="Arial"/>
      <family val="2"/>
    </font>
    <font>
      <sz val="9"/>
      <color rgb="FF000000"/>
      <name val="Calibri"/>
      <family val="2"/>
      <scheme val="minor"/>
    </font>
    <font>
      <sz val="8"/>
      <name val="Arial"/>
      <family val="2"/>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2"/>
        <bgColor indexed="64"/>
      </patternFill>
    </fill>
  </fills>
  <borders count="36">
    <border>
      <left/>
      <right/>
      <top/>
      <bottom/>
      <diagonal/>
    </border>
    <border>
      <left style="thin">
        <color indexed="64"/>
      </left>
      <right style="thin">
        <color indexed="64"/>
      </right>
      <top style="double">
        <color indexed="64"/>
      </top>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style="thin">
        <color indexed="64"/>
      </left>
      <right/>
      <top/>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medium">
        <color indexed="64"/>
      </top>
      <bottom/>
      <diagonal/>
    </border>
    <border>
      <left style="thin">
        <color indexed="64"/>
      </left>
      <right style="medium">
        <color indexed="64"/>
      </right>
      <top style="double">
        <color indexed="64"/>
      </top>
      <bottom/>
      <diagonal/>
    </border>
    <border>
      <left style="thin">
        <color indexed="64"/>
      </left>
      <right style="medium">
        <color indexed="64"/>
      </right>
      <top/>
      <bottom/>
      <diagonal/>
    </border>
    <border>
      <left style="thin">
        <color indexed="64"/>
      </left>
      <right style="medium">
        <color indexed="64"/>
      </right>
      <top/>
      <bottom style="hair">
        <color indexed="64"/>
      </bottom>
      <diagonal/>
    </border>
    <border>
      <left style="thin">
        <color indexed="64"/>
      </left>
      <right style="medium">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top style="medium">
        <color indexed="64"/>
      </top>
      <bottom style="thin">
        <color indexed="64"/>
      </bottom>
      <diagonal/>
    </border>
    <border>
      <left style="thin">
        <color indexed="64"/>
      </left>
      <right/>
      <top style="double">
        <color indexed="64"/>
      </top>
      <bottom/>
      <diagonal/>
    </border>
    <border>
      <left/>
      <right style="thin">
        <color indexed="64"/>
      </right>
      <top style="medium">
        <color indexed="64"/>
      </top>
      <bottom/>
      <diagonal/>
    </border>
    <border>
      <left/>
      <right style="thin">
        <color indexed="64"/>
      </right>
      <top/>
      <bottom style="double">
        <color indexed="64"/>
      </bottom>
      <diagonal/>
    </border>
    <border>
      <left/>
      <right style="thin">
        <color indexed="64"/>
      </right>
      <top style="double">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bottom style="double">
        <color indexed="64"/>
      </bottom>
      <diagonal/>
    </border>
    <border>
      <left style="medium">
        <color indexed="64"/>
      </left>
      <right/>
      <top style="double">
        <color indexed="64"/>
      </top>
      <bottom/>
      <diagonal/>
    </border>
    <border>
      <left style="medium">
        <color indexed="64"/>
      </left>
      <right/>
      <top/>
      <bottom/>
      <diagonal/>
    </border>
    <border>
      <left style="medium">
        <color indexed="64"/>
      </left>
      <right/>
      <top style="double">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hair">
        <color indexed="64"/>
      </top>
      <bottom/>
      <diagonal/>
    </border>
    <border>
      <left/>
      <right style="thin">
        <color indexed="64"/>
      </right>
      <top style="hair">
        <color indexed="64"/>
      </top>
      <bottom/>
      <diagonal/>
    </border>
    <border>
      <left style="thin">
        <color indexed="64"/>
      </left>
      <right style="medium">
        <color indexed="64"/>
      </right>
      <top style="hair">
        <color indexed="64"/>
      </top>
      <bottom/>
      <diagonal/>
    </border>
    <border>
      <left style="thin">
        <color indexed="64"/>
      </left>
      <right/>
      <top style="hair">
        <color indexed="64"/>
      </top>
      <bottom/>
      <diagonal/>
    </border>
  </borders>
  <cellStyleXfs count="11">
    <xf numFmtId="0" fontId="0" fillId="0" borderId="0"/>
    <xf numFmtId="0" fontId="1" fillId="0" borderId="0"/>
    <xf numFmtId="165" fontId="6" fillId="0" borderId="0" applyFont="0" applyFill="0" applyBorder="0" applyAlignment="0" applyProtection="0"/>
    <xf numFmtId="165" fontId="5" fillId="0" borderId="0" applyFont="0" applyFill="0" applyBorder="0" applyAlignment="0" applyProtection="0"/>
    <xf numFmtId="0" fontId="6" fillId="0" borderId="0"/>
    <xf numFmtId="0" fontId="5" fillId="0" borderId="0"/>
    <xf numFmtId="0" fontId="7" fillId="0" borderId="0"/>
    <xf numFmtId="165" fontId="1" fillId="0" borderId="0" applyFont="0" applyFill="0" applyBorder="0" applyAlignment="0" applyProtection="0"/>
    <xf numFmtId="0" fontId="1" fillId="0" borderId="0"/>
    <xf numFmtId="0" fontId="5" fillId="0" borderId="0"/>
    <xf numFmtId="0" fontId="1" fillId="0" borderId="0"/>
  </cellStyleXfs>
  <cellXfs count="98">
    <xf numFmtId="0" fontId="0" fillId="0" borderId="0" xfId="0"/>
    <xf numFmtId="0" fontId="1" fillId="2" borderId="0" xfId="1" applyFill="1" applyAlignment="1"/>
    <xf numFmtId="0" fontId="1" fillId="2" borderId="0" xfId="1" applyFill="1" applyBorder="1" applyAlignment="1">
      <alignment horizontal="center"/>
    </xf>
    <xf numFmtId="0" fontId="1" fillId="2" borderId="0" xfId="1" applyFill="1"/>
    <xf numFmtId="0" fontId="2" fillId="2" borderId="0" xfId="1" applyFont="1" applyFill="1" applyBorder="1" applyAlignment="1">
      <alignment horizontal="left" vertical="center"/>
    </xf>
    <xf numFmtId="0" fontId="1" fillId="2" borderId="0" xfId="1" applyFill="1" applyBorder="1" applyAlignment="1">
      <alignment horizontal="center" vertical="center"/>
    </xf>
    <xf numFmtId="0" fontId="1" fillId="2" borderId="0" xfId="1" applyFill="1" applyAlignment="1">
      <alignment horizontal="left" vertical="center"/>
    </xf>
    <xf numFmtId="0" fontId="4" fillId="2" borderId="0" xfId="1" applyFont="1" applyFill="1" applyBorder="1" applyAlignment="1">
      <alignment horizontal="centerContinuous"/>
    </xf>
    <xf numFmtId="166" fontId="3" fillId="2" borderId="0" xfId="1" applyNumberFormat="1" applyFont="1" applyFill="1" applyBorder="1" applyAlignment="1" applyProtection="1">
      <alignment horizontal="left"/>
    </xf>
    <xf numFmtId="0" fontId="2" fillId="2" borderId="0" xfId="1" applyFont="1" applyFill="1" applyBorder="1" applyAlignment="1">
      <alignment horizontal="right"/>
    </xf>
    <xf numFmtId="166" fontId="4" fillId="2" borderId="0" xfId="1" applyNumberFormat="1" applyFont="1" applyFill="1" applyBorder="1" applyAlignment="1" applyProtection="1">
      <alignment horizontal="left"/>
    </xf>
    <xf numFmtId="0" fontId="6" fillId="2" borderId="0" xfId="1" applyFont="1" applyFill="1"/>
    <xf numFmtId="0" fontId="2" fillId="2" borderId="6" xfId="1" applyFont="1" applyFill="1" applyBorder="1" applyAlignment="1">
      <alignment horizontal="center"/>
    </xf>
    <xf numFmtId="0" fontId="2" fillId="2" borderId="15" xfId="1" applyFont="1" applyFill="1" applyBorder="1" applyAlignment="1">
      <alignment horizontal="center"/>
    </xf>
    <xf numFmtId="0" fontId="6" fillId="2" borderId="0" xfId="1" applyFont="1" applyFill="1" applyBorder="1"/>
    <xf numFmtId="0" fontId="1" fillId="2" borderId="0" xfId="1" applyFill="1" applyAlignment="1">
      <alignment horizontal="center" vertical="center"/>
    </xf>
    <xf numFmtId="0" fontId="1" fillId="2" borderId="0" xfId="1" applyFill="1" applyAlignment="1">
      <alignment horizontal="center"/>
    </xf>
    <xf numFmtId="164" fontId="2" fillId="2" borderId="15" xfId="1" applyNumberFormat="1" applyFont="1" applyFill="1" applyBorder="1" applyAlignment="1" applyProtection="1">
      <alignment horizontal="center" vertical="center"/>
    </xf>
    <xf numFmtId="164" fontId="2" fillId="2" borderId="2" xfId="2" applyNumberFormat="1" applyFont="1" applyFill="1" applyBorder="1" applyAlignment="1" applyProtection="1">
      <alignment horizontal="center"/>
      <protection locked="0" hidden="1"/>
    </xf>
    <xf numFmtId="0" fontId="1" fillId="2" borderId="0" xfId="1" applyFont="1" applyFill="1"/>
    <xf numFmtId="0" fontId="6" fillId="2" borderId="0" xfId="1" applyFont="1" applyFill="1" applyAlignment="1">
      <alignment vertical="center"/>
    </xf>
    <xf numFmtId="0" fontId="1" fillId="2" borderId="0" xfId="1" applyFont="1" applyFill="1" applyAlignment="1">
      <alignment vertical="center"/>
    </xf>
    <xf numFmtId="166" fontId="1" fillId="2" borderId="0" xfId="1" applyNumberFormat="1" applyFont="1" applyFill="1" applyBorder="1" applyAlignment="1" applyProtection="1">
      <alignment horizontal="center"/>
    </xf>
    <xf numFmtId="0" fontId="1" fillId="2" borderId="0" xfId="1" applyFont="1" applyFill="1" applyAlignment="1">
      <alignment horizontal="center"/>
    </xf>
    <xf numFmtId="0" fontId="2" fillId="2" borderId="2" xfId="1" applyFont="1" applyFill="1" applyBorder="1" applyAlignment="1">
      <alignment horizontal="center"/>
    </xf>
    <xf numFmtId="164" fontId="2" fillId="2" borderId="2" xfId="1" applyNumberFormat="1" applyFont="1" applyFill="1" applyBorder="1" applyAlignment="1">
      <alignment horizontal="center" vertical="center" wrapText="1"/>
    </xf>
    <xf numFmtId="0" fontId="6" fillId="3" borderId="0" xfId="1" applyFont="1" applyFill="1" applyAlignment="1">
      <alignment vertical="center"/>
    </xf>
    <xf numFmtId="166" fontId="2" fillId="2" borderId="3" xfId="1" applyNumberFormat="1" applyFont="1" applyFill="1" applyBorder="1" applyAlignment="1" applyProtection="1">
      <alignment horizontal="center" vertical="center"/>
    </xf>
    <xf numFmtId="166" fontId="2" fillId="2" borderId="2" xfId="1" quotePrefix="1" applyNumberFormat="1" applyFont="1" applyFill="1" applyBorder="1" applyAlignment="1" applyProtection="1">
      <alignment horizontal="justify" vertical="top"/>
    </xf>
    <xf numFmtId="166" fontId="2" fillId="2" borderId="3" xfId="1" quotePrefix="1" applyNumberFormat="1" applyFont="1" applyFill="1" applyBorder="1" applyAlignment="1" applyProtection="1">
      <alignment horizontal="justify" vertical="center"/>
    </xf>
    <xf numFmtId="0" fontId="4" fillId="2" borderId="0" xfId="1" applyFont="1" applyFill="1" applyBorder="1" applyAlignment="1">
      <alignment horizontal="right"/>
    </xf>
    <xf numFmtId="0" fontId="4" fillId="2" borderId="0" xfId="1" applyFont="1" applyFill="1" applyAlignment="1">
      <alignment vertical="center"/>
    </xf>
    <xf numFmtId="0" fontId="10" fillId="2" borderId="0" xfId="1" applyFont="1" applyFill="1" applyAlignment="1">
      <alignment vertical="center"/>
    </xf>
    <xf numFmtId="166" fontId="11" fillId="2" borderId="0" xfId="5" applyNumberFormat="1" applyFont="1" applyFill="1" applyBorder="1" applyAlignment="1" applyProtection="1">
      <alignment horizontal="left" vertical="center"/>
    </xf>
    <xf numFmtId="166" fontId="2" fillId="2" borderId="0" xfId="5" applyNumberFormat="1" applyFont="1" applyFill="1" applyBorder="1" applyAlignment="1" applyProtection="1">
      <alignment horizontal="left" vertical="center"/>
    </xf>
    <xf numFmtId="0" fontId="11" fillId="4" borderId="9" xfId="0" applyFont="1" applyFill="1" applyBorder="1" applyAlignment="1" applyProtection="1">
      <alignment horizontal="center" vertical="center"/>
      <protection hidden="1"/>
    </xf>
    <xf numFmtId="166" fontId="2" fillId="2" borderId="1" xfId="1" quotePrefix="1" applyNumberFormat="1" applyFont="1" applyFill="1" applyBorder="1" applyAlignment="1" applyProtection="1">
      <alignment horizontal="left"/>
    </xf>
    <xf numFmtId="166" fontId="2" fillId="2" borderId="1" xfId="1" quotePrefix="1" applyNumberFormat="1" applyFont="1" applyFill="1" applyBorder="1" applyAlignment="1" applyProtection="1">
      <alignment horizontal="center"/>
    </xf>
    <xf numFmtId="3" fontId="2" fillId="2" borderId="1" xfId="1" applyNumberFormat="1" applyFont="1" applyFill="1" applyBorder="1" applyAlignment="1" applyProtection="1">
      <alignment horizontal="center"/>
    </xf>
    <xf numFmtId="3" fontId="2" fillId="2" borderId="21" xfId="1" applyNumberFormat="1" applyFont="1" applyFill="1" applyBorder="1" applyAlignment="1" applyProtection="1">
      <alignment horizontal="center"/>
    </xf>
    <xf numFmtId="3" fontId="2" fillId="2" borderId="14" xfId="1" applyNumberFormat="1" applyFont="1" applyFill="1" applyBorder="1" applyAlignment="1" applyProtection="1">
      <alignment horizontal="center"/>
    </xf>
    <xf numFmtId="164" fontId="2" fillId="2" borderId="18" xfId="1" applyNumberFormat="1" applyFont="1" applyFill="1" applyBorder="1" applyAlignment="1">
      <alignment horizontal="center" vertical="center"/>
    </xf>
    <xf numFmtId="164" fontId="11" fillId="2" borderId="17" xfId="1" applyNumberFormat="1" applyFont="1" applyFill="1" applyBorder="1" applyAlignment="1">
      <alignment horizontal="center" vertical="center"/>
    </xf>
    <xf numFmtId="166" fontId="2" fillId="3" borderId="5" xfId="1" applyNumberFormat="1" applyFont="1" applyFill="1" applyBorder="1" applyAlignment="1" applyProtection="1">
      <alignment horizontal="justify" vertical="top"/>
    </xf>
    <xf numFmtId="166" fontId="2" fillId="2" borderId="2" xfId="1" applyNumberFormat="1" applyFont="1" applyFill="1" applyBorder="1" applyAlignment="1" applyProtection="1">
      <alignment horizontal="center"/>
    </xf>
    <xf numFmtId="3" fontId="2" fillId="2" borderId="2" xfId="2" applyNumberFormat="1" applyFont="1" applyFill="1" applyBorder="1" applyAlignment="1" applyProtection="1">
      <alignment horizontal="center"/>
      <protection locked="0" hidden="1"/>
    </xf>
    <xf numFmtId="166" fontId="2" fillId="3" borderId="29" xfId="1" applyNumberFormat="1" applyFont="1" applyFill="1" applyBorder="1" applyAlignment="1" applyProtection="1">
      <alignment horizontal="left" vertical="top"/>
    </xf>
    <xf numFmtId="166" fontId="2" fillId="2" borderId="28" xfId="1" applyNumberFormat="1" applyFont="1" applyFill="1" applyBorder="1" applyAlignment="1" applyProtection="1">
      <alignment horizontal="left" vertical="top"/>
    </xf>
    <xf numFmtId="0" fontId="2" fillId="2" borderId="29" xfId="1" applyFont="1" applyFill="1" applyBorder="1" applyAlignment="1">
      <alignment horizontal="left" vertical="top"/>
    </xf>
    <xf numFmtId="166" fontId="2" fillId="2" borderId="29" xfId="1" applyNumberFormat="1" applyFont="1" applyFill="1" applyBorder="1" applyAlignment="1" applyProtection="1">
      <alignment horizontal="left" vertical="top"/>
    </xf>
    <xf numFmtId="166" fontId="2" fillId="2" borderId="29" xfId="1" applyNumberFormat="1" applyFont="1" applyFill="1" applyBorder="1" applyAlignment="1" applyProtection="1">
      <alignment horizontal="left" vertical="center"/>
    </xf>
    <xf numFmtId="0" fontId="2" fillId="2" borderId="30" xfId="1" applyFont="1" applyFill="1" applyBorder="1" applyAlignment="1">
      <alignment horizontal="left" vertical="center"/>
    </xf>
    <xf numFmtId="0" fontId="1" fillId="2" borderId="0" xfId="1" applyFill="1" applyAlignment="1">
      <alignment horizontal="left"/>
    </xf>
    <xf numFmtId="0" fontId="8" fillId="2" borderId="0" xfId="1" applyFont="1" applyFill="1" applyBorder="1" applyAlignment="1">
      <alignment horizontal="center"/>
    </xf>
    <xf numFmtId="0" fontId="1" fillId="2" borderId="0" xfId="1" applyFont="1" applyFill="1" applyBorder="1" applyAlignment="1">
      <alignment horizontal="center" vertical="center"/>
    </xf>
    <xf numFmtId="166" fontId="1" fillId="2" borderId="24" xfId="1" applyNumberFormat="1" applyFont="1" applyFill="1" applyBorder="1" applyAlignment="1" applyProtection="1">
      <alignment horizontal="center" vertical="top"/>
    </xf>
    <xf numFmtId="0" fontId="1" fillId="2" borderId="25" xfId="1" applyFont="1" applyFill="1" applyBorder="1" applyAlignment="1">
      <alignment horizontal="center" vertical="top"/>
    </xf>
    <xf numFmtId="166" fontId="1" fillId="2" borderId="25" xfId="1" applyNumberFormat="1" applyFont="1" applyFill="1" applyBorder="1" applyAlignment="1" applyProtection="1">
      <alignment horizontal="center" vertical="top"/>
    </xf>
    <xf numFmtId="167" fontId="1" fillId="3" borderId="25" xfId="1" applyNumberFormat="1" applyFont="1" applyFill="1" applyBorder="1" applyAlignment="1" applyProtection="1">
      <alignment horizontal="center" vertical="center"/>
    </xf>
    <xf numFmtId="168" fontId="1" fillId="2" borderId="25" xfId="1" applyNumberFormat="1" applyFont="1" applyFill="1" applyBorder="1" applyAlignment="1" applyProtection="1">
      <alignment horizontal="center" vertical="center"/>
    </xf>
    <xf numFmtId="0" fontId="1" fillId="2" borderId="19" xfId="1" applyFont="1" applyFill="1" applyBorder="1" applyAlignment="1">
      <alignment horizontal="center" vertical="center"/>
    </xf>
    <xf numFmtId="166" fontId="1" fillId="2" borderId="25" xfId="1" applyNumberFormat="1" applyFont="1" applyFill="1" applyBorder="1" applyAlignment="1" applyProtection="1">
      <alignment horizontal="center" vertical="center"/>
    </xf>
    <xf numFmtId="0" fontId="9" fillId="2" borderId="5" xfId="0" applyFont="1" applyFill="1" applyBorder="1" applyAlignment="1">
      <alignment horizontal="justify" vertical="center"/>
    </xf>
    <xf numFmtId="0" fontId="2" fillId="2" borderId="5" xfId="1" applyFont="1" applyFill="1" applyBorder="1" applyAlignment="1">
      <alignment horizontal="center" vertical="center"/>
    </xf>
    <xf numFmtId="0" fontId="12" fillId="0" borderId="0" xfId="0" applyFont="1"/>
    <xf numFmtId="0" fontId="1" fillId="2" borderId="33" xfId="1" applyFont="1" applyFill="1" applyBorder="1" applyAlignment="1">
      <alignment horizontal="center" vertical="top"/>
    </xf>
    <xf numFmtId="0" fontId="2" fillId="2" borderId="32" xfId="1" applyFont="1" applyFill="1" applyBorder="1" applyAlignment="1">
      <alignment horizontal="left" vertical="top"/>
    </xf>
    <xf numFmtId="0" fontId="11" fillId="2" borderId="2" xfId="1" applyFont="1" applyFill="1" applyBorder="1" applyAlignment="1">
      <alignment horizontal="justify" vertical="center"/>
    </xf>
    <xf numFmtId="166" fontId="2" fillId="3" borderId="3" xfId="1" applyNumberFormat="1" applyFont="1" applyFill="1" applyBorder="1" applyAlignment="1" applyProtection="1">
      <alignment horizontal="justify" vertical="top"/>
    </xf>
    <xf numFmtId="166" fontId="2" fillId="3" borderId="3" xfId="1" applyNumberFormat="1" applyFont="1" applyFill="1" applyBorder="1" applyAlignment="1" applyProtection="1">
      <alignment horizontal="center"/>
    </xf>
    <xf numFmtId="3" fontId="2" fillId="3" borderId="3" xfId="1" applyNumberFormat="1" applyFont="1" applyFill="1" applyBorder="1" applyAlignment="1" applyProtection="1">
      <alignment horizontal="center"/>
    </xf>
    <xf numFmtId="164" fontId="2" fillId="3" borderId="3" xfId="1" applyNumberFormat="1" applyFont="1" applyFill="1" applyBorder="1" applyAlignment="1" applyProtection="1">
      <alignment horizontal="center"/>
    </xf>
    <xf numFmtId="164" fontId="2" fillId="3" borderId="3" xfId="1" applyNumberFormat="1" applyFont="1" applyFill="1" applyBorder="1" applyAlignment="1">
      <alignment horizontal="center" wrapText="1"/>
    </xf>
    <xf numFmtId="164" fontId="2" fillId="3" borderId="16" xfId="1" applyNumberFormat="1" applyFont="1" applyFill="1" applyBorder="1" applyAlignment="1" applyProtection="1">
      <alignment horizontal="center"/>
    </xf>
    <xf numFmtId="0" fontId="2" fillId="2" borderId="34" xfId="1" applyFont="1" applyFill="1" applyBorder="1" applyAlignment="1">
      <alignment horizontal="center"/>
    </xf>
    <xf numFmtId="0" fontId="2" fillId="2" borderId="35" xfId="1" applyFont="1" applyFill="1" applyBorder="1" applyAlignment="1">
      <alignment horizontal="center"/>
    </xf>
    <xf numFmtId="164" fontId="2" fillId="2" borderId="2" xfId="1" applyNumberFormat="1" applyFont="1" applyFill="1" applyBorder="1" applyAlignment="1" applyProtection="1">
      <alignment horizontal="center" vertical="center"/>
    </xf>
    <xf numFmtId="0" fontId="2" fillId="2" borderId="4" xfId="1" applyFont="1" applyFill="1" applyBorder="1" applyAlignment="1">
      <alignment horizontal="center"/>
    </xf>
    <xf numFmtId="0" fontId="11" fillId="2" borderId="4" xfId="1" applyFont="1" applyFill="1" applyBorder="1" applyAlignment="1">
      <alignment horizontal="justify" vertical="center"/>
    </xf>
    <xf numFmtId="3" fontId="2" fillId="2" borderId="3" xfId="2" applyNumberFormat="1" applyFont="1" applyFill="1" applyBorder="1" applyAlignment="1" applyProtection="1">
      <alignment horizontal="center"/>
      <protection locked="0" hidden="1"/>
    </xf>
    <xf numFmtId="164" fontId="2" fillId="2" borderId="3" xfId="2" applyNumberFormat="1" applyFont="1" applyFill="1" applyBorder="1" applyAlignment="1" applyProtection="1">
      <alignment horizontal="center"/>
      <protection locked="0" hidden="1"/>
    </xf>
    <xf numFmtId="3" fontId="2" fillId="2" borderId="5" xfId="1" applyNumberFormat="1" applyFont="1" applyFill="1" applyBorder="1" applyAlignment="1">
      <alignment horizontal="center"/>
    </xf>
    <xf numFmtId="164" fontId="2" fillId="2" borderId="5" xfId="2" applyNumberFormat="1" applyFont="1" applyFill="1" applyBorder="1" applyAlignment="1" applyProtection="1">
      <alignment horizontal="center"/>
      <protection locked="0" hidden="1"/>
    </xf>
    <xf numFmtId="166" fontId="11" fillId="3" borderId="3" xfId="1" applyNumberFormat="1" applyFont="1" applyFill="1" applyBorder="1" applyAlignment="1" applyProtection="1">
      <alignment horizontal="justify" vertical="top"/>
    </xf>
    <xf numFmtId="0" fontId="8" fillId="2" borderId="0" xfId="1" applyFont="1" applyFill="1" applyBorder="1" applyAlignment="1">
      <alignment horizontal="center" vertical="center"/>
    </xf>
    <xf numFmtId="0" fontId="11" fillId="4" borderId="11" xfId="0" applyFont="1" applyFill="1" applyBorder="1" applyAlignment="1" applyProtection="1">
      <alignment horizontal="center" vertical="center"/>
      <protection hidden="1"/>
    </xf>
    <xf numFmtId="0" fontId="11" fillId="4" borderId="12" xfId="0" applyFont="1" applyFill="1" applyBorder="1" applyAlignment="1" applyProtection="1">
      <alignment horizontal="center" vertical="center"/>
      <protection hidden="1"/>
    </xf>
    <xf numFmtId="37" fontId="11" fillId="2" borderId="7" xfId="1" quotePrefix="1" applyNumberFormat="1" applyFont="1" applyFill="1" applyBorder="1" applyAlignment="1" applyProtection="1">
      <alignment horizontal="right" vertical="center"/>
    </xf>
    <xf numFmtId="37" fontId="11" fillId="2" borderId="8" xfId="1" quotePrefix="1" applyNumberFormat="1" applyFont="1" applyFill="1" applyBorder="1" applyAlignment="1" applyProtection="1">
      <alignment horizontal="right" vertical="center"/>
    </xf>
    <xf numFmtId="37" fontId="11" fillId="2" borderId="19" xfId="1" quotePrefix="1" applyNumberFormat="1" applyFont="1" applyFill="1" applyBorder="1" applyAlignment="1" applyProtection="1">
      <alignment horizontal="right" vertical="center"/>
    </xf>
    <xf numFmtId="166" fontId="11" fillId="4" borderId="26" xfId="1" applyNumberFormat="1" applyFont="1" applyFill="1" applyBorder="1" applyAlignment="1" applyProtection="1">
      <alignment horizontal="center" vertical="center"/>
    </xf>
    <xf numFmtId="166" fontId="11" fillId="4" borderId="22" xfId="1" applyNumberFormat="1" applyFont="1" applyFill="1" applyBorder="1" applyAlignment="1" applyProtection="1">
      <alignment horizontal="center" vertical="center"/>
    </xf>
    <xf numFmtId="166" fontId="11" fillId="4" borderId="27" xfId="1" applyNumberFormat="1" applyFont="1" applyFill="1" applyBorder="1" applyAlignment="1" applyProtection="1">
      <alignment horizontal="center" vertical="center"/>
    </xf>
    <xf numFmtId="166" fontId="11" fillId="4" borderId="23" xfId="1" applyNumberFormat="1" applyFont="1" applyFill="1" applyBorder="1" applyAlignment="1" applyProtection="1">
      <alignment horizontal="center" vertical="center"/>
    </xf>
    <xf numFmtId="166" fontId="11" fillId="4" borderId="13" xfId="1" applyNumberFormat="1" applyFont="1" applyFill="1" applyBorder="1" applyAlignment="1" applyProtection="1">
      <alignment horizontal="center" vertical="center"/>
    </xf>
    <xf numFmtId="166" fontId="11" fillId="4" borderId="10" xfId="1" applyNumberFormat="1" applyFont="1" applyFill="1" applyBorder="1" applyAlignment="1" applyProtection="1">
      <alignment horizontal="center" vertical="center"/>
    </xf>
    <xf numFmtId="0" fontId="11" fillId="4" borderId="20" xfId="0" applyFont="1" applyFill="1" applyBorder="1" applyAlignment="1" applyProtection="1">
      <alignment horizontal="center" vertical="center"/>
      <protection hidden="1"/>
    </xf>
    <xf numFmtId="0" fontId="11" fillId="4" borderId="31" xfId="0" applyFont="1" applyFill="1" applyBorder="1" applyAlignment="1" applyProtection="1">
      <alignment horizontal="center" vertical="center"/>
      <protection hidden="1"/>
    </xf>
  </cellXfs>
  <cellStyles count="11">
    <cellStyle name="Comma 2" xfId="2" xr:uid="{00000000-0005-0000-0000-000000000000}"/>
    <cellStyle name="Comma 2 2" xfId="7" xr:uid="{00000000-0005-0000-0000-000001000000}"/>
    <cellStyle name="Comma 3" xfId="3" xr:uid="{00000000-0005-0000-0000-000002000000}"/>
    <cellStyle name="Normal" xfId="0" builtinId="0"/>
    <cellStyle name="Normal 2" xfId="1" xr:uid="{00000000-0005-0000-0000-000004000000}"/>
    <cellStyle name="Normal 2 2" xfId="5" xr:uid="{00000000-0005-0000-0000-000005000000}"/>
    <cellStyle name="Normal 2 3" xfId="10" xr:uid="{00000000-0005-0000-0000-000006000000}"/>
    <cellStyle name="Normal 3" xfId="4" xr:uid="{00000000-0005-0000-0000-000007000000}"/>
    <cellStyle name="Normal 3 2" xfId="8" xr:uid="{00000000-0005-0000-0000-000008000000}"/>
    <cellStyle name="Normal 4" xfId="6" xr:uid="{00000000-0005-0000-0000-000009000000}"/>
    <cellStyle name="Normal 4 2" xfId="9" xr:uid="{00000000-0005-0000-0000-00000A000000}"/>
  </cellStyles>
  <dxfs count="0"/>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J31"/>
  <sheetViews>
    <sheetView showGridLines="0" tabSelected="1" zoomScaleNormal="100" zoomScaleSheetLayoutView="100" workbookViewId="0">
      <selection activeCell="J21" sqref="J21"/>
    </sheetView>
  </sheetViews>
  <sheetFormatPr defaultColWidth="9.140625" defaultRowHeight="12.75" x14ac:dyDescent="0.2"/>
  <cols>
    <col min="1" max="1" width="5.140625" style="52" customWidth="1"/>
    <col min="2" max="2" width="6.140625" style="23" customWidth="1"/>
    <col min="3" max="3" width="86.28515625" style="3" customWidth="1"/>
    <col min="4" max="4" width="6.42578125" style="16" customWidth="1"/>
    <col min="5" max="5" width="8" style="16" customWidth="1"/>
    <col min="6" max="6" width="12.42578125" style="3" customWidth="1"/>
    <col min="7" max="7" width="13.5703125" style="3" customWidth="1"/>
    <col min="8" max="8" width="12.140625" style="3" customWidth="1"/>
    <col min="9" max="9" width="11.85546875" style="3" customWidth="1"/>
    <col min="10" max="10" width="14.42578125" style="3" customWidth="1"/>
    <col min="11" max="16384" width="9.140625" style="3"/>
  </cols>
  <sheetData>
    <row r="1" spans="1:10" ht="21.95" customHeight="1" x14ac:dyDescent="0.2">
      <c r="A1" s="33" t="s">
        <v>14</v>
      </c>
      <c r="B1" s="53"/>
      <c r="C1" s="1"/>
      <c r="D1" s="84"/>
      <c r="E1" s="84"/>
      <c r="F1" s="84"/>
      <c r="G1" s="15"/>
    </row>
    <row r="2" spans="1:10" s="6" customFormat="1" ht="20.45" customHeight="1" x14ac:dyDescent="0.25">
      <c r="A2" s="34" t="s">
        <v>24</v>
      </c>
      <c r="B2" s="54"/>
      <c r="C2" s="4"/>
      <c r="D2" s="5"/>
      <c r="E2" s="5"/>
    </row>
    <row r="3" spans="1:10" ht="5.45" customHeight="1" x14ac:dyDescent="0.25">
      <c r="A3" s="33"/>
      <c r="B3" s="53"/>
      <c r="C3" s="7"/>
      <c r="D3" s="2"/>
      <c r="E3" s="2"/>
    </row>
    <row r="4" spans="1:10" ht="19.899999999999999" customHeight="1" x14ac:dyDescent="0.25">
      <c r="A4" s="33" t="s">
        <v>22</v>
      </c>
      <c r="B4" s="22"/>
      <c r="C4" s="8"/>
      <c r="D4" s="2"/>
      <c r="E4" s="2"/>
      <c r="J4" s="9"/>
    </row>
    <row r="5" spans="1:10" ht="20.45" customHeight="1" x14ac:dyDescent="0.25">
      <c r="A5" s="34" t="s">
        <v>15</v>
      </c>
      <c r="B5" s="22"/>
      <c r="C5" s="8"/>
      <c r="D5" s="2"/>
      <c r="E5" s="2"/>
      <c r="J5" s="30"/>
    </row>
    <row r="6" spans="1:10" ht="15.95" customHeight="1" x14ac:dyDescent="0.25">
      <c r="A6" s="34"/>
      <c r="B6" s="22"/>
      <c r="C6" s="8"/>
      <c r="D6" s="2"/>
      <c r="E6" s="2"/>
      <c r="J6" s="9" t="s">
        <v>13</v>
      </c>
    </row>
    <row r="7" spans="1:10" ht="15.95" customHeight="1" thickBot="1" x14ac:dyDescent="0.3">
      <c r="A7" s="10"/>
      <c r="B7" s="22"/>
      <c r="C7" s="8"/>
      <c r="D7" s="2"/>
      <c r="E7" s="2"/>
      <c r="J7" s="9" t="s">
        <v>23</v>
      </c>
    </row>
    <row r="8" spans="1:10" s="31" customFormat="1" ht="18" customHeight="1" x14ac:dyDescent="0.25">
      <c r="A8" s="90" t="s">
        <v>6</v>
      </c>
      <c r="B8" s="91"/>
      <c r="C8" s="94" t="s">
        <v>5</v>
      </c>
      <c r="D8" s="94" t="s">
        <v>4</v>
      </c>
      <c r="E8" s="94" t="s">
        <v>8</v>
      </c>
      <c r="F8" s="96" t="s">
        <v>0</v>
      </c>
      <c r="G8" s="97"/>
      <c r="H8" s="96" t="s">
        <v>1</v>
      </c>
      <c r="I8" s="97"/>
      <c r="J8" s="85" t="s">
        <v>2</v>
      </c>
    </row>
    <row r="9" spans="1:10" s="32" customFormat="1" ht="18" customHeight="1" thickBot="1" x14ac:dyDescent="0.3">
      <c r="A9" s="92"/>
      <c r="B9" s="93"/>
      <c r="C9" s="95"/>
      <c r="D9" s="95"/>
      <c r="E9" s="95"/>
      <c r="F9" s="35" t="s">
        <v>3</v>
      </c>
      <c r="G9" s="35" t="s">
        <v>9</v>
      </c>
      <c r="H9" s="35" t="s">
        <v>3</v>
      </c>
      <c r="I9" s="35" t="s">
        <v>9</v>
      </c>
      <c r="J9" s="86"/>
    </row>
    <row r="10" spans="1:10" s="11" customFormat="1" ht="6" customHeight="1" thickTop="1" x14ac:dyDescent="0.2">
      <c r="A10" s="47"/>
      <c r="B10" s="55"/>
      <c r="C10" s="36"/>
      <c r="D10" s="37"/>
      <c r="E10" s="38"/>
      <c r="F10" s="38"/>
      <c r="G10" s="38"/>
      <c r="H10" s="38"/>
      <c r="I10" s="39"/>
      <c r="J10" s="40"/>
    </row>
    <row r="11" spans="1:10" s="14" customFormat="1" ht="21" customHeight="1" x14ac:dyDescent="0.2">
      <c r="A11" s="48"/>
      <c r="B11" s="56"/>
      <c r="C11" s="67" t="s">
        <v>20</v>
      </c>
      <c r="D11" s="24"/>
      <c r="E11" s="24"/>
      <c r="F11" s="24"/>
      <c r="G11" s="24"/>
      <c r="H11" s="24"/>
      <c r="I11" s="12"/>
      <c r="J11" s="13"/>
    </row>
    <row r="12" spans="1:10" s="26" customFormat="1" ht="63" customHeight="1" x14ac:dyDescent="0.2">
      <c r="A12" s="46">
        <v>1</v>
      </c>
      <c r="B12" s="58"/>
      <c r="C12" s="68" t="s">
        <v>26</v>
      </c>
      <c r="D12" s="69" t="s">
        <v>11</v>
      </c>
      <c r="E12" s="70">
        <v>120</v>
      </c>
      <c r="F12" s="71">
        <v>850</v>
      </c>
      <c r="G12" s="72">
        <f>F12*E12</f>
        <v>102000</v>
      </c>
      <c r="H12" s="71">
        <v>220</v>
      </c>
      <c r="I12" s="71">
        <f>H12*E12</f>
        <v>26400</v>
      </c>
      <c r="J12" s="73">
        <f>I12+G12</f>
        <v>128400</v>
      </c>
    </row>
    <row r="13" spans="1:10" s="14" customFormat="1" ht="22.5" customHeight="1" x14ac:dyDescent="0.2">
      <c r="A13" s="66"/>
      <c r="B13" s="65"/>
      <c r="C13" s="78" t="s">
        <v>21</v>
      </c>
      <c r="D13" s="77"/>
      <c r="E13" s="77"/>
      <c r="F13" s="77"/>
      <c r="G13" s="77"/>
      <c r="H13" s="77"/>
      <c r="I13" s="75"/>
      <c r="J13" s="74"/>
    </row>
    <row r="14" spans="1:10" s="19" customFormat="1" ht="31.5" customHeight="1" x14ac:dyDescent="0.2">
      <c r="A14" s="49">
        <v>1</v>
      </c>
      <c r="B14" s="57"/>
      <c r="C14" s="28" t="s">
        <v>17</v>
      </c>
      <c r="D14" s="44"/>
      <c r="E14" s="45"/>
      <c r="F14" s="18"/>
      <c r="G14" s="25"/>
      <c r="H14" s="18"/>
      <c r="I14" s="76"/>
      <c r="J14" s="17"/>
    </row>
    <row r="15" spans="1:10" s="21" customFormat="1" ht="23.25" customHeight="1" x14ac:dyDescent="0.2">
      <c r="A15" s="50"/>
      <c r="B15" s="59">
        <f>A14+0.1</f>
        <v>1.1000000000000001</v>
      </c>
      <c r="C15" s="29" t="s">
        <v>16</v>
      </c>
      <c r="D15" s="27" t="s">
        <v>12</v>
      </c>
      <c r="E15" s="79">
        <v>1</v>
      </c>
      <c r="F15" s="71">
        <v>715000</v>
      </c>
      <c r="G15" s="72">
        <f>F15*E15</f>
        <v>715000</v>
      </c>
      <c r="H15" s="71">
        <v>25000</v>
      </c>
      <c r="I15" s="71">
        <f>H15*E15</f>
        <v>25000</v>
      </c>
      <c r="J15" s="73">
        <f>I15+G15</f>
        <v>740000</v>
      </c>
    </row>
    <row r="16" spans="1:10" s="21" customFormat="1" ht="52.5" customHeight="1" x14ac:dyDescent="0.2">
      <c r="A16" s="50">
        <f>A14+1</f>
        <v>2</v>
      </c>
      <c r="B16" s="59"/>
      <c r="C16" s="43" t="s">
        <v>18</v>
      </c>
      <c r="D16" s="27" t="s">
        <v>19</v>
      </c>
      <c r="E16" s="79">
        <v>1</v>
      </c>
      <c r="F16" s="80">
        <v>165000</v>
      </c>
      <c r="G16" s="72">
        <f t="shared" ref="G16:G17" si="0">F16*E16</f>
        <v>165000</v>
      </c>
      <c r="H16" s="71">
        <v>15000</v>
      </c>
      <c r="I16" s="71">
        <f t="shared" ref="I16:I17" si="1">H16*E16</f>
        <v>15000</v>
      </c>
      <c r="J16" s="73">
        <f t="shared" ref="J16:J17" si="2">I16+G16</f>
        <v>180000</v>
      </c>
    </row>
    <row r="17" spans="1:10" s="20" customFormat="1" ht="23.25" customHeight="1" x14ac:dyDescent="0.2">
      <c r="A17" s="50">
        <f>A16+1</f>
        <v>3</v>
      </c>
      <c r="B17" s="61"/>
      <c r="C17" s="62" t="s">
        <v>25</v>
      </c>
      <c r="D17" s="63" t="s">
        <v>10</v>
      </c>
      <c r="E17" s="81">
        <v>15</v>
      </c>
      <c r="F17" s="82">
        <v>9000</v>
      </c>
      <c r="G17" s="72">
        <f t="shared" si="0"/>
        <v>135000</v>
      </c>
      <c r="H17" s="71">
        <v>500</v>
      </c>
      <c r="I17" s="71">
        <f t="shared" si="1"/>
        <v>7500</v>
      </c>
      <c r="J17" s="73">
        <f t="shared" si="2"/>
        <v>142500</v>
      </c>
    </row>
    <row r="18" spans="1:10" s="20" customFormat="1" ht="23.25" customHeight="1" x14ac:dyDescent="0.2">
      <c r="A18" s="50">
        <v>4</v>
      </c>
      <c r="B18" s="61"/>
      <c r="C18" s="83" t="s">
        <v>28</v>
      </c>
      <c r="D18" s="63"/>
      <c r="E18" s="81"/>
      <c r="F18" s="82"/>
      <c r="G18" s="72"/>
      <c r="H18" s="71"/>
      <c r="I18" s="71"/>
      <c r="J18" s="73"/>
    </row>
    <row r="19" spans="1:10" s="20" customFormat="1" ht="23.25" customHeight="1" x14ac:dyDescent="0.2">
      <c r="A19" s="50"/>
      <c r="B19" s="61"/>
      <c r="C19" s="43" t="s">
        <v>29</v>
      </c>
      <c r="D19" s="63" t="s">
        <v>27</v>
      </c>
      <c r="E19" s="81">
        <v>6</v>
      </c>
      <c r="F19" s="82">
        <v>28000</v>
      </c>
      <c r="G19" s="72">
        <f t="shared" ref="G19:G20" si="3">F19*E19</f>
        <v>168000</v>
      </c>
      <c r="H19" s="71">
        <v>1000</v>
      </c>
      <c r="I19" s="71">
        <f t="shared" ref="I19:I20" si="4">H19*E19</f>
        <v>6000</v>
      </c>
      <c r="J19" s="73">
        <f t="shared" ref="J19:J20" si="5">I19+G19</f>
        <v>174000</v>
      </c>
    </row>
    <row r="20" spans="1:10" s="20" customFormat="1" ht="23.25" customHeight="1" thickBot="1" x14ac:dyDescent="0.25">
      <c r="A20" s="50"/>
      <c r="B20" s="61"/>
      <c r="C20" s="43" t="s">
        <v>30</v>
      </c>
      <c r="D20" s="63" t="s">
        <v>27</v>
      </c>
      <c r="E20" s="81">
        <v>6</v>
      </c>
      <c r="F20" s="82">
        <v>17000</v>
      </c>
      <c r="G20" s="72">
        <f t="shared" si="3"/>
        <v>102000</v>
      </c>
      <c r="H20" s="71">
        <v>1000</v>
      </c>
      <c r="I20" s="71">
        <f t="shared" si="4"/>
        <v>6000</v>
      </c>
      <c r="J20" s="73">
        <f t="shared" si="5"/>
        <v>108000</v>
      </c>
    </row>
    <row r="21" spans="1:10" s="15" customFormat="1" ht="32.25" customHeight="1" thickTop="1" thickBot="1" x14ac:dyDescent="0.3">
      <c r="A21" s="51"/>
      <c r="B21" s="60"/>
      <c r="C21" s="87" t="s">
        <v>7</v>
      </c>
      <c r="D21" s="88"/>
      <c r="E21" s="89"/>
      <c r="F21" s="41"/>
      <c r="G21" s="42">
        <f>SUM(G11:G20)</f>
        <v>1387000</v>
      </c>
      <c r="H21" s="41"/>
      <c r="I21" s="42">
        <f>SUM(I11:I20)</f>
        <v>85900</v>
      </c>
      <c r="J21" s="42">
        <f>SUM(J11:J20)</f>
        <v>1472900</v>
      </c>
    </row>
    <row r="28" spans="1:10" x14ac:dyDescent="0.2">
      <c r="E28" s="64" t="s">
        <v>18</v>
      </c>
    </row>
    <row r="29" spans="1:10" x14ac:dyDescent="0.2">
      <c r="E29" s="64"/>
    </row>
    <row r="30" spans="1:10" x14ac:dyDescent="0.2">
      <c r="E30" s="64"/>
    </row>
    <row r="31" spans="1:10" x14ac:dyDescent="0.2">
      <c r="E31" s="64"/>
    </row>
  </sheetData>
  <mergeCells count="9">
    <mergeCell ref="D1:F1"/>
    <mergeCell ref="J8:J9"/>
    <mergeCell ref="C21:E21"/>
    <mergeCell ref="A8:B9"/>
    <mergeCell ref="C8:C9"/>
    <mergeCell ref="D8:D9"/>
    <mergeCell ref="E8:E9"/>
    <mergeCell ref="F8:G8"/>
    <mergeCell ref="H8:I8"/>
  </mergeCells>
  <printOptions horizontalCentered="1"/>
  <pageMargins left="0.25" right="0.25" top="0.75" bottom="0.4" header="0.5" footer="0.25"/>
  <pageSetup paperSize="9" scale="56" orientation="landscape" r:id="rId1"/>
  <headerFooter scaleWithDoc="0" alignWithMargins="0">
    <oddFooter>&amp;L&amp;8SEM Engineers&amp;R&amp;8Page &amp;P of &amp;N</oddFooter>
  </headerFooter>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BOQ</vt:lpstr>
      <vt:lpstr>BOQ!Print_Area</vt:lpstr>
      <vt:lpstr>BOQ!Print_Titles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sem</dc:creator>
  <cp:lastModifiedBy>Rehan Aslam</cp:lastModifiedBy>
  <cp:lastPrinted>2025-01-29T07:59:34Z</cp:lastPrinted>
  <dcterms:created xsi:type="dcterms:W3CDTF">2013-06-15T05:02:46Z</dcterms:created>
  <dcterms:modified xsi:type="dcterms:W3CDTF">2025-02-06T10:59:22Z</dcterms:modified>
</cp:coreProperties>
</file>