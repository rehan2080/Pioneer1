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Dolmen City Family Area\"/>
    </mc:Choice>
  </mc:AlternateContent>
  <xr:revisionPtr revIDLastSave="0" documentId="13_ncr:1_{EE2B287D-0DF8-408A-9818-BE1E03E3A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3" i="32" l="1"/>
  <c r="E15" i="32" s="1"/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K65" i="35" s="1"/>
  <c r="L65" i="35" s="1"/>
  <c r="J64" i="35"/>
  <c r="J62" i="35"/>
  <c r="J61" i="35"/>
  <c r="K61" i="35" s="1"/>
  <c r="J60" i="35"/>
  <c r="J59" i="35"/>
  <c r="K59" i="35" s="1"/>
  <c r="J58" i="35"/>
  <c r="J54" i="35"/>
  <c r="J52" i="35"/>
  <c r="J51" i="35"/>
  <c r="J50" i="35"/>
  <c r="J49" i="35"/>
  <c r="K49" i="35" s="1"/>
  <c r="L49" i="35" s="1"/>
  <c r="J48" i="35"/>
  <c r="J46" i="35"/>
  <c r="K46" i="35" s="1"/>
  <c r="L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L31" i="35" s="1"/>
  <c r="J30" i="35"/>
  <c r="K30" i="35" s="1"/>
  <c r="L30" i="35" s="1"/>
  <c r="J29" i="35"/>
  <c r="J28" i="35"/>
  <c r="K28" i="35" s="1"/>
  <c r="J27" i="35"/>
  <c r="J26" i="35"/>
  <c r="J24" i="35"/>
  <c r="K24" i="35" s="1"/>
  <c r="J22" i="35"/>
  <c r="J21" i="35"/>
  <c r="J20" i="35"/>
  <c r="J19" i="35"/>
  <c r="J16" i="35"/>
  <c r="J15" i="35"/>
  <c r="J14" i="35"/>
  <c r="J13" i="35"/>
  <c r="K13" i="35" s="1"/>
  <c r="L13" i="35" s="1"/>
  <c r="J12" i="35"/>
  <c r="K12" i="35" s="1"/>
  <c r="L12" i="35" s="1"/>
  <c r="J11" i="35"/>
  <c r="I86" i="36"/>
  <c r="I85" i="36"/>
  <c r="J85" i="36" s="1"/>
  <c r="K85" i="36" s="1"/>
  <c r="I84" i="36"/>
  <c r="I83" i="36"/>
  <c r="J83" i="36" s="1"/>
  <c r="K83" i="36" s="1"/>
  <c r="I82" i="36"/>
  <c r="J82" i="36" s="1"/>
  <c r="K82" i="36" s="1"/>
  <c r="I81" i="36"/>
  <c r="I78" i="36"/>
  <c r="I75" i="36"/>
  <c r="J75" i="36" s="1"/>
  <c r="K75" i="36" s="1"/>
  <c r="I74" i="36"/>
  <c r="I73" i="36"/>
  <c r="J73" i="36" s="1"/>
  <c r="I72" i="36"/>
  <c r="J72" i="36" s="1"/>
  <c r="I71" i="36"/>
  <c r="J71" i="36" s="1"/>
  <c r="K71" i="36" s="1"/>
  <c r="I70" i="36"/>
  <c r="I69" i="36"/>
  <c r="I68" i="36"/>
  <c r="J68" i="36" s="1"/>
  <c r="K68" i="36" s="1"/>
  <c r="I67" i="36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I54" i="36"/>
  <c r="I52" i="36"/>
  <c r="I51" i="36"/>
  <c r="J51" i="36" s="1"/>
  <c r="K51" i="36" s="1"/>
  <c r="I50" i="36"/>
  <c r="I49" i="36"/>
  <c r="J49" i="36" s="1"/>
  <c r="K49" i="36" s="1"/>
  <c r="I48" i="36"/>
  <c r="I46" i="36"/>
  <c r="I45" i="36"/>
  <c r="I44" i="36"/>
  <c r="I43" i="36"/>
  <c r="I42" i="36"/>
  <c r="I40" i="36"/>
  <c r="I39" i="36"/>
  <c r="I38" i="36"/>
  <c r="J38" i="36" s="1"/>
  <c r="K38" i="36" s="1"/>
  <c r="I37" i="36"/>
  <c r="I36" i="36"/>
  <c r="I32" i="36"/>
  <c r="J32" i="36" s="1"/>
  <c r="K32" i="36" s="1"/>
  <c r="I31" i="36"/>
  <c r="J31" i="36" s="1"/>
  <c r="I30" i="36"/>
  <c r="I29" i="36"/>
  <c r="I27" i="36"/>
  <c r="J27" i="36" s="1"/>
  <c r="K27" i="36" s="1"/>
  <c r="I26" i="36"/>
  <c r="I25" i="36"/>
  <c r="I24" i="36"/>
  <c r="I23" i="36"/>
  <c r="I22" i="36"/>
  <c r="I18" i="36"/>
  <c r="I15" i="36"/>
  <c r="I12" i="36"/>
  <c r="I11" i="36"/>
  <c r="I10" i="36"/>
  <c r="J10" i="36" s="1"/>
  <c r="I29" i="33"/>
  <c r="K29" i="33" s="1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L91" i="35" s="1"/>
  <c r="I91" i="35"/>
  <c r="K90" i="35"/>
  <c r="I90" i="35"/>
  <c r="K89" i="35"/>
  <c r="I89" i="35"/>
  <c r="L89" i="35" s="1"/>
  <c r="K86" i="35"/>
  <c r="I86" i="35"/>
  <c r="K85" i="35"/>
  <c r="L85" i="35" s="1"/>
  <c r="I85" i="35"/>
  <c r="K84" i="35"/>
  <c r="L84" i="35" s="1"/>
  <c r="I84" i="35"/>
  <c r="K83" i="35"/>
  <c r="L83" i="35" s="1"/>
  <c r="I83" i="35"/>
  <c r="K82" i="35"/>
  <c r="I82" i="35"/>
  <c r="L82" i="35" s="1"/>
  <c r="K81" i="35"/>
  <c r="L81" i="35" s="1"/>
  <c r="I81" i="35"/>
  <c r="K80" i="35"/>
  <c r="L80" i="35" s="1"/>
  <c r="I80" i="35"/>
  <c r="K79" i="35"/>
  <c r="L79" i="35" s="1"/>
  <c r="I79" i="35"/>
  <c r="K78" i="35"/>
  <c r="I78" i="35"/>
  <c r="K75" i="35"/>
  <c r="L75" i="35" s="1"/>
  <c r="I75" i="35"/>
  <c r="K74" i="35"/>
  <c r="L74" i="35" s="1"/>
  <c r="I74" i="35"/>
  <c r="K73" i="35"/>
  <c r="I73" i="35"/>
  <c r="K71" i="35"/>
  <c r="I71" i="35"/>
  <c r="K69" i="35"/>
  <c r="I69" i="35"/>
  <c r="K66" i="35"/>
  <c r="I66" i="35"/>
  <c r="I65" i="35"/>
  <c r="I61" i="35"/>
  <c r="I59" i="35"/>
  <c r="K58" i="35"/>
  <c r="I58" i="35"/>
  <c r="K54" i="35"/>
  <c r="L54" i="35" s="1"/>
  <c r="I54" i="35"/>
  <c r="K52" i="35"/>
  <c r="L52" i="35" s="1"/>
  <c r="I52" i="35"/>
  <c r="K51" i="35"/>
  <c r="I51" i="35"/>
  <c r="I49" i="35"/>
  <c r="I46" i="35"/>
  <c r="I43" i="35"/>
  <c r="I40" i="35"/>
  <c r="K36" i="35"/>
  <c r="I36" i="35"/>
  <c r="I31" i="35"/>
  <c r="I30" i="35"/>
  <c r="K29" i="35"/>
  <c r="I29" i="35"/>
  <c r="I28" i="35"/>
  <c r="K27" i="35"/>
  <c r="I27" i="35"/>
  <c r="K26" i="35"/>
  <c r="I26" i="35"/>
  <c r="I24" i="35"/>
  <c r="K22" i="35"/>
  <c r="L22" i="35" s="1"/>
  <c r="I22" i="35"/>
  <c r="K21" i="35"/>
  <c r="I21" i="35"/>
  <c r="K16" i="35"/>
  <c r="L16" i="35" s="1"/>
  <c r="I16" i="35"/>
  <c r="K15" i="35"/>
  <c r="L15" i="35" s="1"/>
  <c r="I15" i="35"/>
  <c r="K14" i="35"/>
  <c r="L14" i="35" s="1"/>
  <c r="I14" i="35"/>
  <c r="I13" i="35"/>
  <c r="I12" i="35"/>
  <c r="I11" i="35"/>
  <c r="L11" i="35" s="1"/>
  <c r="J86" i="36"/>
  <c r="K86" i="36" s="1"/>
  <c r="H86" i="36"/>
  <c r="H85" i="36"/>
  <c r="J84" i="36"/>
  <c r="K84" i="36" s="1"/>
  <c r="H84" i="36"/>
  <c r="H83" i="36"/>
  <c r="H82" i="36"/>
  <c r="J81" i="36"/>
  <c r="K81" i="36" s="1"/>
  <c r="H81" i="36"/>
  <c r="J78" i="36"/>
  <c r="K78" i="36" s="1"/>
  <c r="K79" i="36" s="1"/>
  <c r="H78" i="36"/>
  <c r="H75" i="36"/>
  <c r="J74" i="36"/>
  <c r="K74" i="36" s="1"/>
  <c r="H74" i="36"/>
  <c r="H73" i="36"/>
  <c r="H72" i="36"/>
  <c r="H71" i="36"/>
  <c r="J70" i="36"/>
  <c r="K70" i="36" s="1"/>
  <c r="H70" i="36"/>
  <c r="J69" i="36"/>
  <c r="K69" i="36" s="1"/>
  <c r="H69" i="36"/>
  <c r="H68" i="36"/>
  <c r="J67" i="36"/>
  <c r="K67" i="36" s="1"/>
  <c r="H67" i="36"/>
  <c r="J66" i="36"/>
  <c r="K66" i="36" s="1"/>
  <c r="H66" i="36"/>
  <c r="H65" i="36"/>
  <c r="J64" i="36"/>
  <c r="K64" i="36" s="1"/>
  <c r="H64" i="36"/>
  <c r="H60" i="36"/>
  <c r="H57" i="36"/>
  <c r="H56" i="36"/>
  <c r="J55" i="36"/>
  <c r="K55" i="36" s="1"/>
  <c r="H55" i="36"/>
  <c r="J54" i="36"/>
  <c r="K54" i="36" s="1"/>
  <c r="H54" i="36"/>
  <c r="J52" i="36"/>
  <c r="K52" i="36" s="1"/>
  <c r="H52" i="36"/>
  <c r="H51" i="36"/>
  <c r="J50" i="36"/>
  <c r="K50" i="36" s="1"/>
  <c r="H50" i="36"/>
  <c r="H49" i="36"/>
  <c r="J48" i="36"/>
  <c r="K48" i="36" s="1"/>
  <c r="H48" i="36"/>
  <c r="J46" i="36"/>
  <c r="K46" i="36" s="1"/>
  <c r="H46" i="36"/>
  <c r="J45" i="36"/>
  <c r="K45" i="36" s="1"/>
  <c r="H45" i="36"/>
  <c r="J44" i="36"/>
  <c r="K44" i="36" s="1"/>
  <c r="H44" i="36"/>
  <c r="J43" i="36"/>
  <c r="K43" i="36" s="1"/>
  <c r="H43" i="36"/>
  <c r="J42" i="36"/>
  <c r="K42" i="36" s="1"/>
  <c r="H42" i="36"/>
  <c r="J40" i="36"/>
  <c r="K40" i="36" s="1"/>
  <c r="H40" i="36"/>
  <c r="J39" i="36"/>
  <c r="K39" i="36" s="1"/>
  <c r="H39" i="36"/>
  <c r="H38" i="36"/>
  <c r="J37" i="36"/>
  <c r="K37" i="36" s="1"/>
  <c r="H37" i="36"/>
  <c r="J36" i="36"/>
  <c r="K36" i="36" s="1"/>
  <c r="H36" i="36"/>
  <c r="H32" i="36"/>
  <c r="H31" i="36"/>
  <c r="J30" i="36"/>
  <c r="K30" i="36" s="1"/>
  <c r="H30" i="36"/>
  <c r="J29" i="36"/>
  <c r="K29" i="36" s="1"/>
  <c r="H29" i="36"/>
  <c r="H27" i="36"/>
  <c r="K26" i="36"/>
  <c r="J26" i="36"/>
  <c r="H26" i="36"/>
  <c r="J25" i="36"/>
  <c r="K25" i="36" s="1"/>
  <c r="H25" i="36"/>
  <c r="J24" i="36"/>
  <c r="K24" i="36" s="1"/>
  <c r="H24" i="36"/>
  <c r="J23" i="36"/>
  <c r="K23" i="36" s="1"/>
  <c r="H23" i="36"/>
  <c r="K22" i="36"/>
  <c r="J22" i="36"/>
  <c r="H22" i="36"/>
  <c r="J18" i="36"/>
  <c r="K18" i="36" s="1"/>
  <c r="K19" i="36" s="1"/>
  <c r="H18" i="36"/>
  <c r="J15" i="36"/>
  <c r="H15" i="36"/>
  <c r="J12" i="36"/>
  <c r="H12" i="36"/>
  <c r="J11" i="36"/>
  <c r="H11" i="36"/>
  <c r="H10" i="36"/>
  <c r="L73" i="35" l="1"/>
  <c r="L71" i="35"/>
  <c r="L69" i="35"/>
  <c r="L66" i="35"/>
  <c r="L61" i="35"/>
  <c r="L59" i="35"/>
  <c r="L58" i="35"/>
  <c r="L36" i="35"/>
  <c r="L29" i="35"/>
  <c r="L21" i="35"/>
  <c r="L93" i="35"/>
  <c r="L86" i="35"/>
  <c r="L78" i="35"/>
  <c r="L87" i="35" s="1"/>
  <c r="L90" i="35"/>
  <c r="L94" i="35" s="1"/>
  <c r="L51" i="35"/>
  <c r="L43" i="35"/>
  <c r="L40" i="35"/>
  <c r="L27" i="35"/>
  <c r="L26" i="35"/>
  <c r="L24" i="35"/>
  <c r="L28" i="35"/>
  <c r="K73" i="36"/>
  <c r="K72" i="36"/>
  <c r="K76" i="36" s="1"/>
  <c r="K56" i="36"/>
  <c r="K58" i="36" s="1"/>
  <c r="K60" i="36"/>
  <c r="K61" i="36" s="1"/>
  <c r="K57" i="36"/>
  <c r="K31" i="36"/>
  <c r="K15" i="36"/>
  <c r="K16" i="36" s="1"/>
  <c r="K10" i="36"/>
  <c r="K87" i="36"/>
  <c r="K33" i="36"/>
  <c r="K12" i="36"/>
  <c r="K11" i="36"/>
  <c r="L83" i="33"/>
  <c r="M83" i="33" s="1"/>
  <c r="J83" i="33"/>
  <c r="L82" i="33"/>
  <c r="J82" i="33"/>
  <c r="L81" i="33"/>
  <c r="J81" i="33"/>
  <c r="L80" i="33"/>
  <c r="J80" i="33"/>
  <c r="L77" i="33"/>
  <c r="J77" i="33"/>
  <c r="L76" i="33"/>
  <c r="M76" i="33" s="1"/>
  <c r="J76" i="33"/>
  <c r="L73" i="33"/>
  <c r="J73" i="33"/>
  <c r="L72" i="33"/>
  <c r="M72" i="33" s="1"/>
  <c r="J72" i="33"/>
  <c r="L71" i="33"/>
  <c r="M71" i="33" s="1"/>
  <c r="J71" i="33"/>
  <c r="L68" i="33"/>
  <c r="M68" i="33" s="1"/>
  <c r="J68" i="33"/>
  <c r="L65" i="33"/>
  <c r="J65" i="33"/>
  <c r="M64" i="33"/>
  <c r="L64" i="33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M52" i="33" s="1"/>
  <c r="J52" i="33"/>
  <c r="L51" i="33"/>
  <c r="M51" i="33" s="1"/>
  <c r="J51" i="33"/>
  <c r="L50" i="33"/>
  <c r="M50" i="33" s="1"/>
  <c r="J50" i="33"/>
  <c r="L49" i="33"/>
  <c r="M49" i="33" s="1"/>
  <c r="J49" i="33"/>
  <c r="M48" i="33"/>
  <c r="L48" i="33"/>
  <c r="J48" i="33"/>
  <c r="L47" i="33"/>
  <c r="M47" i="33" s="1"/>
  <c r="J47" i="33"/>
  <c r="L46" i="33"/>
  <c r="M46" i="33" s="1"/>
  <c r="J46" i="33"/>
  <c r="L44" i="33"/>
  <c r="J44" i="33"/>
  <c r="L43" i="33"/>
  <c r="M43" i="33" s="1"/>
  <c r="J43" i="33"/>
  <c r="L42" i="33"/>
  <c r="J42" i="33"/>
  <c r="L40" i="33"/>
  <c r="M40" i="33" s="1"/>
  <c r="J40" i="33"/>
  <c r="L39" i="33"/>
  <c r="M39" i="33" s="1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M22" i="33" s="1"/>
  <c r="J22" i="33"/>
  <c r="L21" i="33"/>
  <c r="J21" i="33"/>
  <c r="M19" i="33"/>
  <c r="L19" i="33"/>
  <c r="J19" i="33"/>
  <c r="L18" i="33"/>
  <c r="J18" i="33"/>
  <c r="L17" i="33"/>
  <c r="J17" i="33"/>
  <c r="L16" i="33"/>
  <c r="J16" i="33"/>
  <c r="L15" i="33"/>
  <c r="J15" i="33"/>
  <c r="L12" i="33"/>
  <c r="J12" i="33"/>
  <c r="L11" i="33"/>
  <c r="M11" i="33" s="1"/>
  <c r="J11" i="33"/>
  <c r="L10" i="33"/>
  <c r="L76" i="35" l="1"/>
  <c r="L55" i="35"/>
  <c r="L32" i="35"/>
  <c r="M82" i="33"/>
  <c r="M81" i="33"/>
  <c r="M80" i="33"/>
  <c r="M77" i="33"/>
  <c r="M73" i="33"/>
  <c r="M74" i="33" s="1"/>
  <c r="M65" i="33"/>
  <c r="M63" i="33"/>
  <c r="M62" i="33"/>
  <c r="M59" i="33"/>
  <c r="M60" i="33" s="1"/>
  <c r="M58" i="33"/>
  <c r="M55" i="33"/>
  <c r="M44" i="33"/>
  <c r="M42" i="33"/>
  <c r="M38" i="33"/>
  <c r="M37" i="33"/>
  <c r="M36" i="33"/>
  <c r="M35" i="33"/>
  <c r="M34" i="33"/>
  <c r="M30" i="33"/>
  <c r="M29" i="33"/>
  <c r="M25" i="33"/>
  <c r="M21" i="33"/>
  <c r="M18" i="33"/>
  <c r="M17" i="33"/>
  <c r="M16" i="33"/>
  <c r="M15" i="33"/>
  <c r="M12" i="33"/>
  <c r="K13" i="36"/>
  <c r="K88" i="36" s="1"/>
  <c r="E9" i="32" s="1"/>
  <c r="J10" i="33"/>
  <c r="M10" i="33" s="1"/>
  <c r="M27" i="33"/>
  <c r="M69" i="33"/>
  <c r="M78" i="33"/>
  <c r="L95" i="35" l="1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</calcChain>
</file>

<file path=xl/sharedStrings.xml><?xml version="1.0" encoding="utf-8"?>
<sst xmlns="http://schemas.openxmlformats.org/spreadsheetml/2006/main" count="667" uniqueCount="282">
  <si>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</si>
  <si>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</si>
  <si>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</si>
  <si>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</si>
  <si>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</si>
  <si>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</si>
  <si>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</si>
  <si>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</si>
  <si>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</si>
  <si>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</si>
  <si>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</si>
  <si>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</si>
  <si>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</si>
  <si>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</si>
  <si>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</si>
  <si>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</si>
  <si>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</si>
  <si>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</si>
  <si>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</si>
  <si>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</si>
  <si>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</si>
  <si>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</si>
  <si>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</si>
  <si>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</si>
  <si>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</si>
  <si>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</si>
  <si>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</si>
  <si>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</si>
  <si>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</si>
  <si>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</si>
  <si>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</si>
  <si>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</si>
  <si>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</si>
  <si>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</si>
  <si>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</si>
  <si>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</si>
  <si>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</si>
  <si>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</si>
  <si>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</si>
  <si>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</si>
  <si>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</si>
  <si>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</si>
  <si>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</si>
  <si>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</si>
  <si>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</si>
  <si>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</si>
  <si>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</si>
  <si>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</si>
  <si>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</si>
  <si>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</si>
  <si>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</si>
  <si>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</si>
  <si>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</si>
  <si>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</si>
  <si>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</si>
  <si>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</si>
  <si>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</si>
  <si>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</si>
  <si>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</si>
  <si>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</si>
  <si>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</si>
  <si>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</si>
  <si>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</si>
  <si>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</si>
  <si>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</si>
  <si>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</si>
  <si>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</si>
  <si>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</si>
  <si>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</si>
  <si>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</si>
  <si>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</si>
  <si>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</si>
  <si>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</si>
  <si>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</si>
  <si>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</si>
  <si>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</si>
  <si>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</si>
  <si>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</si>
  <si>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</si>
  <si>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</si>
  <si>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</si>
  <si>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</si>
  <si>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</si>
  <si>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</si>
  <si>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</si>
  <si>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</si>
  <si>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</si>
  <si>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</si>
  <si>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</si>
  <si>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</si>
  <si>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</si>
  <si>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</si>
  <si>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</si>
  <si>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</si>
  <si>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</si>
  <si>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</si>
  <si>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</si>
  <si>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</si>
  <si>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</si>
  <si>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</si>
  <si>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</si>
  <si>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</si>
  <si>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</si>
  <si>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</si>
  <si>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</si>
  <si>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</si>
  <si>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</si>
  <si>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</si>
  <si>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</si>
  <si>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</si>
  <si>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</si>
  <si>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</si>
  <si>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</si>
  <si>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</si>
  <si>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</si>
  <si>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</si>
  <si>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</si>
  <si>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</si>
  <si>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</si>
  <si>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</si>
  <si>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</si>
  <si>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</si>
  <si>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</si>
  <si>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</si>
  <si>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</si>
  <si>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</si>
  <si>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</si>
  <si>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</si>
  <si>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</si>
  <si>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</si>
  <si>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</si>
  <si>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</si>
  <si>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</si>
  <si>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</si>
  <si>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</si>
  <si>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</si>
  <si>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</si>
  <si>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</si>
  <si>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</si>
  <si>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</si>
  <si>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</si>
  <si>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</si>
  <si>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</si>
  <si>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</si>
  <si>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</si>
  <si>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</si>
  <si>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</si>
  <si>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</si>
  <si>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</si>
  <si>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</si>
  <si>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</si>
  <si>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</si>
  <si>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</si>
  <si>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</si>
  <si>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</si>
  <si>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</si>
  <si>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</si>
  <si>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</si>
  <si>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</si>
  <si>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</si>
  <si>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</si>
  <si>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</si>
  <si>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</si>
  <si>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</si>
  <si>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</si>
  <si>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</si>
  <si>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</si>
  <si>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</si>
  <si>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</si>
  <si>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</si>
  <si>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</si>
  <si>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</si>
  <si>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</si>
  <si>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</si>
  <si>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</si>
  <si>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</si>
  <si>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</si>
  <si>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</si>
  <si>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</si>
  <si>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</si>
  <si>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</si>
  <si>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</si>
  <si>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</si>
  <si>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</si>
  <si>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</si>
  <si>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</si>
  <si>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</si>
  <si>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</si>
  <si>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</si>
  <si>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</si>
  <si>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</si>
  <si>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</si>
  <si>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</si>
  <si>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</si>
  <si>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</si>
  <si>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</si>
  <si>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</si>
  <si>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</si>
  <si>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</si>
  <si>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</si>
  <si>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</si>
  <si>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</si>
  <si>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</si>
  <si>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</si>
  <si>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</si>
  <si>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</si>
  <si>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</si>
  <si>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</si>
  <si>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</si>
  <si>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</si>
  <si>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</si>
  <si>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</si>
  <si>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</si>
  <si>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</si>
  <si>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</si>
  <si>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</si>
  <si>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</si>
  <si>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</si>
  <si>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</si>
  <si>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</si>
  <si>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</si>
  <si>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</si>
  <si>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</si>
  <si>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</si>
  <si>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</si>
  <si>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</si>
  <si>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</si>
  <si>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</si>
  <si>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</si>
  <si>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</si>
  <si>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</si>
  <si>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</si>
  <si>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</si>
  <si>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</si>
  <si>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</si>
  <si>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</si>
  <si>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</si>
  <si>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</si>
  <si>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</si>
  <si>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</si>
  <si>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</si>
  <si>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</si>
  <si>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</si>
  <si>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</si>
  <si>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</si>
  <si>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</si>
  <si>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</si>
  <si>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</si>
  <si>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</si>
  <si>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</si>
  <si>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</si>
  <si>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</si>
  <si>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</si>
  <si>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</si>
  <si>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</si>
  <si>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</si>
  <si>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</si>
  <si>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</si>
  <si>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</si>
  <si>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</si>
  <si>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</si>
  <si>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</si>
  <si>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</si>
  <si>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</si>
  <si>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</si>
  <si>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</si>
  <si>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</si>
  <si>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</si>
  <si>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</si>
  <si>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</si>
  <si>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</si>
  <si>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</si>
  <si>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</si>
  <si>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</si>
  <si>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RUNNING BILL NO 1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</si>
  <si>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</si>
  <si>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</si>
  <si>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</t>
  </si>
  <si>
    <t>32mm PPRV PIPE 21.3 Meter</t>
  </si>
  <si>
    <t>PIPE</t>
  </si>
  <si>
    <t>INSULATON</t>
  </si>
  <si>
    <t>Variations (05 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</si>
</sst>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01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2" fillId="6" borderId="75" xfId="44" applyFont="1" applyFill="1" applyBorder="1" applyAlignment="1">
      <alignment vertical="center" wrapText="1"/>
    </xf>
    <xf numFmtId="0" fontId="47" fillId="6" borderId="76" xfId="44" applyFont="1" applyFill="1" applyBorder="1" applyAlignment="1">
      <alignment horizontal="center" vertical="center" wrapText="1"/>
    </xf>
    <xf numFmtId="0" fontId="48" fillId="6" borderId="76" xfId="44" applyFont="1" applyFill="1" applyBorder="1" applyAlignment="1">
      <alignment horizontal="center" vertical="center" wrapText="1"/>
    </xf>
    <xf numFmtId="167" fontId="47" fillId="6" borderId="77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8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>
      <alignment horizontal="center" vertical="center" wrapText="1"/>
    </xf>
    <xf numFmtId="40" fontId="13" fillId="0" borderId="3" xfId="1" applyFont="1" applyBorder="1" applyAlignment="1">
      <alignment horizontal="right" vertical="center"/>
    </xf>
    <xf numFmtId="38" fontId="15" fillId="0" borderId="79" xfId="1" applyNumberFormat="1" applyFont="1" applyBorder="1" applyAlignment="1">
      <alignment vertical="center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0" fontId="18" fillId="7" borderId="60" xfId="15" applyFont="1" applyFill="1" applyBorder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3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18" fillId="7" borderId="32" xfId="15" applyFont="1" applyFill="1" applyBorder="1">
      <alignment horizontal="center" vertical="center" wrapText="1"/>
    </xf>
    <xf numFmtId="0" fontId="18" fillId="7" borderId="32" xfId="15" applyFont="1" applyFill="1" applyBorder="1" applyAlignment="1">
      <alignment horizontal="center" vertical="center"/>
    </xf>
    <xf numFmtId="0" fontId="18" fillId="7" borderId="8" xfId="15" applyFont="1" applyFill="1" applyBorder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170" fontId="13" fillId="0" borderId="3" xfId="1" applyNumberFormat="1" applyFont="1" applyBorder="1" applyAlignment="1">
      <alignment horizontal="right" vertical="center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oneer\Running%20projects\Dolmen%20City%20Family%20Area\VO\Summary%20of%20VOs.xlsx" TargetMode="External"/><Relationship Id="rId1" Type="http://schemas.openxmlformats.org/officeDocument/2006/relationships/externalLinkPath" Target="VO/Summary%20of%20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C24">
            <v>1365810.9350000001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showGridLines="0" tabSelected="1" zoomScaleNormal="100" zoomScaleSheetLayoutView="75" workbookViewId="0">
      <selection activeCell="B29" sqref="B29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16384" width="9.140625" style="1"/>
  </cols>
  <sheetData>
    <row r="1" spans="1:8" ht="20.25" x14ac:dyDescent="0.2">
      <c r="A1" s="339" t="s">
        <v>75</v>
      </c>
      <c r="B1" s="339"/>
      <c r="C1" s="339"/>
      <c r="D1" s="339"/>
      <c r="E1" s="339"/>
      <c r="F1" s="321"/>
      <c r="H1" s="325"/>
    </row>
    <row r="2" spans="1:8" ht="20.25" x14ac:dyDescent="0.2">
      <c r="A2" s="321"/>
      <c r="B2" s="321"/>
      <c r="C2" s="321"/>
      <c r="D2" s="321"/>
      <c r="E2" s="321"/>
      <c r="F2" s="321"/>
      <c r="H2" s="325"/>
    </row>
    <row r="3" spans="1:8" ht="15.75" x14ac:dyDescent="0.2">
      <c r="A3" s="340" t="s">
        <v>274</v>
      </c>
      <c r="B3" s="340"/>
      <c r="C3" s="340"/>
      <c r="D3" s="340"/>
      <c r="E3" s="340"/>
      <c r="F3" s="302"/>
    </row>
    <row r="4" spans="1:8" ht="15.75" x14ac:dyDescent="0.2">
      <c r="A4" s="337"/>
      <c r="B4" s="338"/>
      <c r="C4" s="309"/>
      <c r="D4" s="309"/>
      <c r="E4" s="303"/>
      <c r="F4" s="303"/>
    </row>
    <row r="5" spans="1:8" ht="27.75" customHeight="1" x14ac:dyDescent="0.2">
      <c r="A5" s="334" t="s">
        <v>263</v>
      </c>
      <c r="B5" s="335" t="s">
        <v>276</v>
      </c>
      <c r="C5" s="336" t="s">
        <v>267</v>
      </c>
      <c r="D5" s="336" t="s">
        <v>268</v>
      </c>
      <c r="E5" s="336" t="s">
        <v>5</v>
      </c>
      <c r="F5" s="322"/>
    </row>
    <row r="6" spans="1:8" x14ac:dyDescent="0.2">
      <c r="A6" s="304"/>
      <c r="B6" s="305"/>
      <c r="C6" s="305"/>
      <c r="D6" s="305"/>
      <c r="E6" s="306"/>
      <c r="F6" s="319"/>
    </row>
    <row r="7" spans="1:8" x14ac:dyDescent="0.2">
      <c r="A7" s="299">
        <v>1</v>
      </c>
      <c r="B7" s="307" t="s">
        <v>264</v>
      </c>
      <c r="C7" s="310"/>
      <c r="D7" s="310"/>
      <c r="E7" s="301">
        <f>HVAC!M85</f>
        <v>3084597</v>
      </c>
      <c r="F7" s="320"/>
    </row>
    <row r="8" spans="1:8" x14ac:dyDescent="0.2">
      <c r="A8" s="298"/>
      <c r="B8" s="308"/>
      <c r="C8" s="308"/>
      <c r="D8" s="308"/>
      <c r="E8" s="300"/>
      <c r="F8" s="319"/>
    </row>
    <row r="9" spans="1:8" x14ac:dyDescent="0.2">
      <c r="A9" s="299">
        <v>2</v>
      </c>
      <c r="B9" s="307" t="s">
        <v>265</v>
      </c>
      <c r="C9" s="311"/>
      <c r="D9" s="311"/>
      <c r="E9" s="301">
        <f>Fire!K88</f>
        <v>844505</v>
      </c>
      <c r="F9" s="320"/>
    </row>
    <row r="10" spans="1:8" x14ac:dyDescent="0.2">
      <c r="A10" s="298"/>
      <c r="B10" s="308"/>
      <c r="C10" s="308"/>
      <c r="D10" s="308"/>
      <c r="E10" s="301"/>
      <c r="F10" s="320"/>
    </row>
    <row r="11" spans="1:8" x14ac:dyDescent="0.2">
      <c r="A11" s="299">
        <v>3</v>
      </c>
      <c r="B11" s="307" t="s">
        <v>266</v>
      </c>
      <c r="C11" s="311"/>
      <c r="D11" s="311"/>
      <c r="E11" s="301">
        <f>Plumbing!L95</f>
        <v>1374569.2</v>
      </c>
      <c r="F11" s="320"/>
    </row>
    <row r="12" spans="1:8" x14ac:dyDescent="0.2">
      <c r="A12" s="299"/>
      <c r="B12" s="307"/>
      <c r="C12" s="311"/>
      <c r="D12" s="311"/>
      <c r="E12" s="301"/>
      <c r="F12" s="320"/>
    </row>
    <row r="13" spans="1:8" x14ac:dyDescent="0.2">
      <c r="A13" s="299">
        <v>4</v>
      </c>
      <c r="B13" s="307" t="s">
        <v>281</v>
      </c>
      <c r="C13" s="311"/>
      <c r="D13" s="311"/>
      <c r="E13" s="301">
        <f>[23]Sheet1!$C$24</f>
        <v>1365810.9350000001</v>
      </c>
      <c r="F13" s="320"/>
    </row>
    <row r="14" spans="1:8" ht="15.75" thickBot="1" x14ac:dyDescent="0.25">
      <c r="A14" s="298"/>
      <c r="B14" s="308"/>
      <c r="C14" s="308"/>
      <c r="D14" s="308"/>
      <c r="E14" s="301"/>
      <c r="F14" s="320"/>
    </row>
    <row r="15" spans="1:8" s="316" customFormat="1" ht="20.25" thickBot="1" x14ac:dyDescent="0.25">
      <c r="A15" s="312"/>
      <c r="B15" s="313" t="s">
        <v>269</v>
      </c>
      <c r="C15" s="314"/>
      <c r="D15" s="314"/>
      <c r="E15" s="315">
        <f>E13+E11+E9+E7</f>
        <v>6669482.1349999998</v>
      </c>
      <c r="F15" s="323"/>
    </row>
    <row r="16" spans="1:8" x14ac:dyDescent="0.2">
      <c r="E16" s="324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topLeftCell="A73" zoomScale="110" zoomScaleNormal="110" zoomScaleSheetLayoutView="90" workbookViewId="0">
      <selection activeCell="G22" sqref="G22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13"/>
      <c r="E4" s="326"/>
      <c r="F4" s="326"/>
      <c r="G4" s="11"/>
      <c r="H4" s="11"/>
      <c r="I4" s="11"/>
      <c r="J4" s="11"/>
      <c r="K4" s="11"/>
      <c r="L4" s="11"/>
      <c r="M4" s="11"/>
    </row>
    <row r="5" spans="1:19" s="10" customFormat="1" ht="21.75" customHeight="1" x14ac:dyDescent="0.2">
      <c r="A5" s="341" t="s">
        <v>1</v>
      </c>
      <c r="B5" s="342" t="s">
        <v>2</v>
      </c>
      <c r="C5" s="342"/>
      <c r="D5" s="342"/>
      <c r="E5" s="343" t="s">
        <v>4</v>
      </c>
      <c r="F5" s="343"/>
      <c r="G5" s="343"/>
      <c r="H5" s="343"/>
      <c r="I5" s="344" t="s">
        <v>274</v>
      </c>
      <c r="J5" s="345"/>
      <c r="K5" s="345"/>
      <c r="L5" s="345"/>
      <c r="M5" s="346"/>
    </row>
    <row r="6" spans="1:19" s="10" customFormat="1" ht="21.75" customHeight="1" x14ac:dyDescent="0.2">
      <c r="A6" s="341"/>
      <c r="B6" s="342"/>
      <c r="C6" s="342"/>
      <c r="D6" s="342"/>
      <c r="E6" s="349" t="s">
        <v>271</v>
      </c>
      <c r="F6" s="351" t="s">
        <v>0</v>
      </c>
      <c r="G6" s="349" t="s">
        <v>272</v>
      </c>
      <c r="H6" s="349" t="s">
        <v>273</v>
      </c>
      <c r="I6" s="344" t="s">
        <v>267</v>
      </c>
      <c r="J6" s="346"/>
      <c r="K6" s="344" t="s">
        <v>268</v>
      </c>
      <c r="L6" s="346"/>
      <c r="M6" s="347" t="s">
        <v>269</v>
      </c>
    </row>
    <row r="7" spans="1:19" s="14" customFormat="1" ht="24.75" customHeight="1" x14ac:dyDescent="0.2">
      <c r="A7" s="341"/>
      <c r="B7" s="342"/>
      <c r="C7" s="342"/>
      <c r="D7" s="342"/>
      <c r="E7" s="350"/>
      <c r="F7" s="352"/>
      <c r="G7" s="350"/>
      <c r="H7" s="350"/>
      <c r="I7" s="331" t="s">
        <v>275</v>
      </c>
      <c r="J7" s="331" t="s">
        <v>270</v>
      </c>
      <c r="K7" s="331" t="s">
        <v>275</v>
      </c>
      <c r="L7" s="331" t="s">
        <v>270</v>
      </c>
      <c r="M7" s="348"/>
    </row>
    <row r="8" spans="1:19" s="21" customFormat="1" ht="15" customHeight="1" x14ac:dyDescent="0.2">
      <c r="A8" s="327">
        <v>1</v>
      </c>
      <c r="B8" s="328" t="s">
        <v>66</v>
      </c>
      <c r="C8" s="329"/>
      <c r="D8" s="329"/>
      <c r="E8" s="330"/>
      <c r="F8" s="330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>
        <v>15</v>
      </c>
      <c r="J10" s="104">
        <f>I10*G10</f>
        <v>11475</v>
      </c>
      <c r="K10" s="104">
        <f>I10</f>
        <v>15</v>
      </c>
      <c r="L10" s="105">
        <f>K10*H10</f>
        <v>2250</v>
      </c>
      <c r="M10" s="106">
        <f>L10+J10</f>
        <v>13725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>
        <v>1</v>
      </c>
      <c r="J11" s="104">
        <f>I11*G11</f>
        <v>4000</v>
      </c>
      <c r="K11" s="104">
        <f>I11</f>
        <v>1</v>
      </c>
      <c r="L11" s="105">
        <f>K11*H11</f>
        <v>1000</v>
      </c>
      <c r="M11" s="106">
        <f>L11+J11</f>
        <v>5000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>
        <v>1</v>
      </c>
      <c r="J12" s="104">
        <f>I12*G12</f>
        <v>18000</v>
      </c>
      <c r="K12" s="104">
        <f>I12</f>
        <v>1</v>
      </c>
      <c r="L12" s="105">
        <f>K12*H12</f>
        <v>2000</v>
      </c>
      <c r="M12" s="106">
        <f>L12+J12</f>
        <v>20000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56" t="s">
        <v>13</v>
      </c>
      <c r="B13" s="357"/>
      <c r="C13" s="357"/>
      <c r="D13" s="357"/>
      <c r="E13" s="357"/>
      <c r="F13" s="358"/>
      <c r="G13" s="99"/>
      <c r="H13" s="99"/>
      <c r="I13" s="99"/>
      <c r="J13" s="99"/>
      <c r="K13" s="99"/>
      <c r="L13" s="99"/>
      <c r="M13" s="19">
        <f>SUM(M10:M12)</f>
        <v>38725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>
        <v>121</v>
      </c>
      <c r="J15" s="104">
        <f t="shared" ref="J15:J19" si="0">I15*G15</f>
        <v>592900</v>
      </c>
      <c r="K15" s="104">
        <f t="shared" ref="K15:K19" si="1">I15</f>
        <v>121</v>
      </c>
      <c r="L15" s="105">
        <f t="shared" ref="L15:L19" si="2">K15*H15</f>
        <v>108900</v>
      </c>
      <c r="M15" s="106">
        <f t="shared" ref="M15:M19" si="3">L15+J15</f>
        <v>701800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>
        <v>16</v>
      </c>
      <c r="J16" s="104">
        <f t="shared" si="0"/>
        <v>78400</v>
      </c>
      <c r="K16" s="104">
        <f t="shared" si="1"/>
        <v>16</v>
      </c>
      <c r="L16" s="105">
        <f t="shared" si="2"/>
        <v>14400</v>
      </c>
      <c r="M16" s="106">
        <f t="shared" si="3"/>
        <v>92800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>
        <v>24</v>
      </c>
      <c r="J17" s="104">
        <f t="shared" si="0"/>
        <v>117600</v>
      </c>
      <c r="K17" s="104">
        <f t="shared" si="1"/>
        <v>24</v>
      </c>
      <c r="L17" s="105">
        <f t="shared" si="2"/>
        <v>21600</v>
      </c>
      <c r="M17" s="106">
        <f t="shared" si="3"/>
        <v>139200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>
        <v>1</v>
      </c>
      <c r="J18" s="104">
        <f t="shared" si="0"/>
        <v>72000</v>
      </c>
      <c r="K18" s="104">
        <f t="shared" si="1"/>
        <v>1</v>
      </c>
      <c r="L18" s="105">
        <f t="shared" si="2"/>
        <v>12000</v>
      </c>
      <c r="M18" s="106">
        <f t="shared" si="3"/>
        <v>84000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>
        <v>1</v>
      </c>
      <c r="J19" s="104">
        <f t="shared" si="0"/>
        <v>48500</v>
      </c>
      <c r="K19" s="104">
        <f t="shared" si="1"/>
        <v>1</v>
      </c>
      <c r="L19" s="105">
        <f t="shared" si="2"/>
        <v>7000</v>
      </c>
      <c r="M19" s="106">
        <f t="shared" si="3"/>
        <v>55500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>
        <v>1</v>
      </c>
      <c r="J21" s="104">
        <f t="shared" ref="J21:J22" si="4">I21*G21</f>
        <v>45000</v>
      </c>
      <c r="K21" s="104">
        <f t="shared" ref="K21:K22" si="5">I21</f>
        <v>1</v>
      </c>
      <c r="L21" s="105">
        <f t="shared" ref="L21:L22" si="6">K21*H21</f>
        <v>15000</v>
      </c>
      <c r="M21" s="106">
        <f t="shared" ref="M21:M22" si="7">L21+J21</f>
        <v>60000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>
        <v>1</v>
      </c>
      <c r="J22" s="104">
        <f t="shared" si="4"/>
        <v>11000</v>
      </c>
      <c r="K22" s="104">
        <f t="shared" si="5"/>
        <v>1</v>
      </c>
      <c r="L22" s="105">
        <f t="shared" si="6"/>
        <v>2000</v>
      </c>
      <c r="M22" s="106">
        <f t="shared" si="7"/>
        <v>13000</v>
      </c>
      <c r="N22" s="136"/>
      <c r="O22" s="136"/>
      <c r="P22" s="136"/>
    </row>
    <row r="23" spans="1:16" s="21" customFormat="1" ht="15" customHeight="1" thickBot="1" x14ac:dyDescent="0.25">
      <c r="A23" s="356" t="s">
        <v>13</v>
      </c>
      <c r="B23" s="357"/>
      <c r="C23" s="357"/>
      <c r="D23" s="357"/>
      <c r="E23" s="357"/>
      <c r="F23" s="358"/>
      <c r="G23" s="99"/>
      <c r="H23" s="99"/>
      <c r="I23" s="99"/>
      <c r="J23" s="99"/>
      <c r="K23" s="99"/>
      <c r="L23" s="99"/>
      <c r="M23" s="19">
        <f>SUM(M15:M22)</f>
        <v>1146300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32">
        <v>7.14</v>
      </c>
      <c r="J25" s="104">
        <f t="shared" ref="J25:J26" si="8">I25*G25</f>
        <v>53550</v>
      </c>
      <c r="K25" s="332">
        <f t="shared" ref="K25:K26" si="9">I25</f>
        <v>7.14</v>
      </c>
      <c r="L25" s="105">
        <f t="shared" ref="L25:L26" si="10">K25*H25</f>
        <v>7140</v>
      </c>
      <c r="M25" s="106">
        <f t="shared" ref="M25:M26" si="11">L25+J25</f>
        <v>60690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32">
        <v>12.8</v>
      </c>
      <c r="J26" s="104">
        <f t="shared" si="8"/>
        <v>66432</v>
      </c>
      <c r="K26" s="332">
        <f t="shared" si="9"/>
        <v>12.8</v>
      </c>
      <c r="L26" s="105">
        <f t="shared" si="10"/>
        <v>12800</v>
      </c>
      <c r="M26" s="106">
        <f t="shared" si="11"/>
        <v>79232</v>
      </c>
      <c r="N26" s="136"/>
      <c r="O26" s="136"/>
      <c r="P26" s="136"/>
    </row>
    <row r="27" spans="1:16" s="21" customFormat="1" ht="15" customHeight="1" thickBot="1" x14ac:dyDescent="0.25">
      <c r="A27" s="356" t="s">
        <v>13</v>
      </c>
      <c r="B27" s="357"/>
      <c r="C27" s="357"/>
      <c r="D27" s="357"/>
      <c r="E27" s="357"/>
      <c r="F27" s="358"/>
      <c r="G27" s="99"/>
      <c r="H27" s="99"/>
      <c r="I27" s="99"/>
      <c r="J27" s="99"/>
      <c r="K27" s="99"/>
      <c r="L27" s="99"/>
      <c r="M27" s="19">
        <f>SUM(M25:M26)</f>
        <v>139922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>
        <f>121+16</f>
        <v>137</v>
      </c>
      <c r="J29" s="104">
        <f t="shared" ref="J29:J30" si="12">I29*G29</f>
        <v>924750</v>
      </c>
      <c r="K29" s="104">
        <f t="shared" ref="K29:K30" si="13">I29</f>
        <v>137</v>
      </c>
      <c r="L29" s="105">
        <f t="shared" ref="L29:L30" si="14">K29*H29</f>
        <v>95900</v>
      </c>
      <c r="M29" s="106">
        <f t="shared" ref="M29:M30" si="15">L29+J29</f>
        <v>1020650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>
        <v>24</v>
      </c>
      <c r="J30" s="104">
        <f t="shared" si="12"/>
        <v>141600</v>
      </c>
      <c r="K30" s="104">
        <f t="shared" si="13"/>
        <v>24</v>
      </c>
      <c r="L30" s="105">
        <f t="shared" si="14"/>
        <v>14400</v>
      </c>
      <c r="M30" s="106">
        <f t="shared" si="15"/>
        <v>156000</v>
      </c>
      <c r="N30" s="136"/>
      <c r="O30" s="136"/>
      <c r="P30" s="136"/>
    </row>
    <row r="31" spans="1:16" s="21" customFormat="1" ht="15" customHeight="1" thickBot="1" x14ac:dyDescent="0.25">
      <c r="A31" s="356" t="s">
        <v>13</v>
      </c>
      <c r="B31" s="357"/>
      <c r="C31" s="357"/>
      <c r="D31" s="357"/>
      <c r="E31" s="357"/>
      <c r="F31" s="358"/>
      <c r="G31" s="99"/>
      <c r="H31" s="99"/>
      <c r="I31" s="99"/>
      <c r="J31" s="99"/>
      <c r="K31" s="99"/>
      <c r="L31" s="99"/>
      <c r="M31" s="20">
        <f>SUM(M29:M30)</f>
        <v>1176650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>
        <v>1</v>
      </c>
      <c r="J34" s="104">
        <f t="shared" ref="J34:J40" si="16">I34*G34</f>
        <v>3200</v>
      </c>
      <c r="K34" s="104">
        <f t="shared" ref="K34:K40" si="17">I34</f>
        <v>1</v>
      </c>
      <c r="L34" s="105">
        <f t="shared" ref="L34:L40" si="18">K34*H34</f>
        <v>1000</v>
      </c>
      <c r="M34" s="106">
        <f t="shared" ref="M34:M40" si="19">L34+J34</f>
        <v>4200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>
        <v>1</v>
      </c>
      <c r="J35" s="104">
        <f t="shared" si="16"/>
        <v>3200</v>
      </c>
      <c r="K35" s="104">
        <f t="shared" si="17"/>
        <v>1</v>
      </c>
      <c r="L35" s="105">
        <f t="shared" si="18"/>
        <v>1000</v>
      </c>
      <c r="M35" s="106">
        <f t="shared" si="19"/>
        <v>4200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>
        <v>1</v>
      </c>
      <c r="J36" s="104">
        <f t="shared" si="16"/>
        <v>4700</v>
      </c>
      <c r="K36" s="104">
        <f t="shared" si="17"/>
        <v>1</v>
      </c>
      <c r="L36" s="105">
        <f t="shared" si="18"/>
        <v>1000</v>
      </c>
      <c r="M36" s="106">
        <f t="shared" si="19"/>
        <v>5700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>
        <v>1</v>
      </c>
      <c r="J37" s="104">
        <f t="shared" si="16"/>
        <v>5880</v>
      </c>
      <c r="K37" s="104">
        <f t="shared" si="17"/>
        <v>1</v>
      </c>
      <c r="L37" s="105">
        <f t="shared" si="18"/>
        <v>1000</v>
      </c>
      <c r="M37" s="106">
        <f t="shared" si="19"/>
        <v>6880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>
        <v>1</v>
      </c>
      <c r="J38" s="104">
        <f t="shared" si="16"/>
        <v>3300</v>
      </c>
      <c r="K38" s="104">
        <f t="shared" si="17"/>
        <v>1</v>
      </c>
      <c r="L38" s="105">
        <f t="shared" si="18"/>
        <v>1000</v>
      </c>
      <c r="M38" s="106">
        <f t="shared" si="19"/>
        <v>4300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>
        <v>3</v>
      </c>
      <c r="J39" s="104">
        <f t="shared" si="16"/>
        <v>17640</v>
      </c>
      <c r="K39" s="104">
        <f t="shared" si="17"/>
        <v>3</v>
      </c>
      <c r="L39" s="105">
        <f t="shared" si="18"/>
        <v>3000</v>
      </c>
      <c r="M39" s="106">
        <f t="shared" si="19"/>
        <v>20640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>
        <v>2</v>
      </c>
      <c r="J40" s="104">
        <f t="shared" si="16"/>
        <v>14100</v>
      </c>
      <c r="K40" s="104">
        <f t="shared" si="17"/>
        <v>2</v>
      </c>
      <c r="L40" s="105">
        <f t="shared" si="18"/>
        <v>2000</v>
      </c>
      <c r="M40" s="106">
        <f t="shared" si="19"/>
        <v>16100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>
        <v>1</v>
      </c>
      <c r="J42" s="104">
        <f t="shared" ref="J42:J44" si="20">I42*G42</f>
        <v>4560</v>
      </c>
      <c r="K42" s="104">
        <f t="shared" ref="K42:K44" si="21">I42</f>
        <v>1</v>
      </c>
      <c r="L42" s="105">
        <f t="shared" ref="L42:L44" si="22">K42*H42</f>
        <v>1000</v>
      </c>
      <c r="M42" s="106">
        <f t="shared" ref="M42:M44" si="23">L42+J42</f>
        <v>5560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>
        <v>4</v>
      </c>
      <c r="J43" s="104">
        <f t="shared" si="20"/>
        <v>18240</v>
      </c>
      <c r="K43" s="104">
        <f t="shared" si="21"/>
        <v>4</v>
      </c>
      <c r="L43" s="105">
        <f t="shared" si="22"/>
        <v>4000</v>
      </c>
      <c r="M43" s="106">
        <f t="shared" si="23"/>
        <v>22240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>
        <v>3</v>
      </c>
      <c r="J44" s="104">
        <f t="shared" si="20"/>
        <v>13680</v>
      </c>
      <c r="K44" s="104">
        <f t="shared" si="21"/>
        <v>3</v>
      </c>
      <c r="L44" s="105">
        <f t="shared" si="22"/>
        <v>3000</v>
      </c>
      <c r="M44" s="106">
        <f t="shared" si="23"/>
        <v>16680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/>
      <c r="J46" s="104">
        <f t="shared" ref="J46:J53" si="24">I46*G46</f>
        <v>0</v>
      </c>
      <c r="K46" s="104">
        <f t="shared" ref="K46:K53" si="25">I46</f>
        <v>0</v>
      </c>
      <c r="L46" s="105">
        <f t="shared" ref="L46:L53" si="26">K46*H46</f>
        <v>0</v>
      </c>
      <c r="M46" s="106">
        <f t="shared" ref="M46:M53" si="27">L46+J46</f>
        <v>0</v>
      </c>
      <c r="N46" s="136"/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/>
      <c r="J47" s="104">
        <f t="shared" si="24"/>
        <v>0</v>
      </c>
      <c r="K47" s="104">
        <f t="shared" si="25"/>
        <v>0</v>
      </c>
      <c r="L47" s="105">
        <f t="shared" si="26"/>
        <v>0</v>
      </c>
      <c r="M47" s="106">
        <f t="shared" si="27"/>
        <v>0</v>
      </c>
      <c r="N47" s="136"/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/>
      <c r="J48" s="104">
        <f t="shared" si="24"/>
        <v>0</v>
      </c>
      <c r="K48" s="104">
        <f t="shared" si="25"/>
        <v>0</v>
      </c>
      <c r="L48" s="105">
        <f t="shared" si="26"/>
        <v>0</v>
      </c>
      <c r="M48" s="106">
        <f t="shared" si="27"/>
        <v>0</v>
      </c>
      <c r="N48" s="136"/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/>
      <c r="J49" s="104">
        <f t="shared" si="24"/>
        <v>0</v>
      </c>
      <c r="K49" s="104">
        <f t="shared" si="25"/>
        <v>0</v>
      </c>
      <c r="L49" s="105">
        <f t="shared" si="26"/>
        <v>0</v>
      </c>
      <c r="M49" s="106">
        <f t="shared" si="27"/>
        <v>0</v>
      </c>
      <c r="N49" s="136"/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/>
      <c r="J50" s="104">
        <f t="shared" si="24"/>
        <v>0</v>
      </c>
      <c r="K50" s="104">
        <f t="shared" si="25"/>
        <v>0</v>
      </c>
      <c r="L50" s="105">
        <f t="shared" si="26"/>
        <v>0</v>
      </c>
      <c r="M50" s="106">
        <f t="shared" si="27"/>
        <v>0</v>
      </c>
      <c r="N50" s="136"/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/>
      <c r="J51" s="104">
        <f t="shared" si="24"/>
        <v>0</v>
      </c>
      <c r="K51" s="104">
        <f t="shared" si="25"/>
        <v>0</v>
      </c>
      <c r="L51" s="105">
        <f t="shared" si="26"/>
        <v>0</v>
      </c>
      <c r="M51" s="106">
        <f t="shared" si="27"/>
        <v>0</v>
      </c>
      <c r="N51" s="136"/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/>
      <c r="J52" s="104">
        <f t="shared" si="24"/>
        <v>0</v>
      </c>
      <c r="K52" s="104">
        <f t="shared" si="25"/>
        <v>0</v>
      </c>
      <c r="L52" s="105">
        <f t="shared" si="26"/>
        <v>0</v>
      </c>
      <c r="M52" s="106">
        <f t="shared" si="27"/>
        <v>0</v>
      </c>
      <c r="N52" s="136"/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/>
      <c r="J53" s="104">
        <f t="shared" si="24"/>
        <v>0</v>
      </c>
      <c r="K53" s="104">
        <f t="shared" si="25"/>
        <v>0</v>
      </c>
      <c r="L53" s="105">
        <f t="shared" si="26"/>
        <v>0</v>
      </c>
      <c r="M53" s="106">
        <f t="shared" si="27"/>
        <v>0</v>
      </c>
      <c r="N53" s="136"/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>
        <v>5</v>
      </c>
      <c r="J55" s="104">
        <f t="shared" ref="J55" si="28">I55*G55</f>
        <v>6000</v>
      </c>
      <c r="K55" s="104">
        <f t="shared" ref="K55" si="29">I55</f>
        <v>5</v>
      </c>
      <c r="L55" s="105">
        <f t="shared" ref="L55" si="30">K55*H55</f>
        <v>2500</v>
      </c>
      <c r="M55" s="106">
        <f t="shared" ref="M55" si="31">L55+J55</f>
        <v>8500</v>
      </c>
      <c r="N55" s="136"/>
      <c r="O55" s="136"/>
      <c r="P55" s="136"/>
    </row>
    <row r="56" spans="1:16" s="21" customFormat="1" ht="15" customHeight="1" thickBot="1" x14ac:dyDescent="0.25">
      <c r="A56" s="356" t="s">
        <v>13</v>
      </c>
      <c r="B56" s="357"/>
      <c r="C56" s="357"/>
      <c r="D56" s="357"/>
      <c r="E56" s="357"/>
      <c r="F56" s="358"/>
      <c r="G56" s="99"/>
      <c r="H56" s="99"/>
      <c r="I56" s="99"/>
      <c r="J56" s="99"/>
      <c r="K56" s="99"/>
      <c r="L56" s="99"/>
      <c r="M56" s="19">
        <f>SUM(M34:M55)</f>
        <v>115000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>
        <v>1</v>
      </c>
      <c r="J58" s="104">
        <f t="shared" ref="J58:J59" si="32">I58*G58</f>
        <v>215000</v>
      </c>
      <c r="K58" s="104">
        <f t="shared" ref="K58:K59" si="33">I58</f>
        <v>1</v>
      </c>
      <c r="L58" s="105">
        <f t="shared" ref="L58:L59" si="34">K58*H58</f>
        <v>8000</v>
      </c>
      <c r="M58" s="106">
        <f t="shared" ref="M58:M59" si="35">L58+J58</f>
        <v>223000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>
        <v>1</v>
      </c>
      <c r="J59" s="104">
        <f t="shared" si="32"/>
        <v>0</v>
      </c>
      <c r="K59" s="104">
        <f t="shared" si="33"/>
        <v>1</v>
      </c>
      <c r="L59" s="105">
        <f t="shared" si="34"/>
        <v>90000</v>
      </c>
      <c r="M59" s="106">
        <f t="shared" si="35"/>
        <v>90000</v>
      </c>
      <c r="N59" s="136"/>
      <c r="O59" s="136"/>
      <c r="P59" s="136"/>
    </row>
    <row r="60" spans="1:16" s="9" customFormat="1" ht="15" customHeight="1" thickBot="1" x14ac:dyDescent="0.25">
      <c r="A60" s="356" t="s">
        <v>13</v>
      </c>
      <c r="B60" s="357"/>
      <c r="C60" s="357"/>
      <c r="D60" s="357"/>
      <c r="E60" s="357"/>
      <c r="F60" s="358"/>
      <c r="G60" s="99"/>
      <c r="H60" s="99"/>
      <c r="I60" s="99"/>
      <c r="J60" s="99"/>
      <c r="K60" s="99"/>
      <c r="L60" s="99"/>
      <c r="M60" s="19">
        <f>SUM(M58:M59)</f>
        <v>313000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>
        <v>1</v>
      </c>
      <c r="J62" s="104">
        <f t="shared" ref="J62:J65" si="36">I62*G62</f>
        <v>0</v>
      </c>
      <c r="K62" s="104">
        <f t="shared" ref="K62:K65" si="37">I62</f>
        <v>1</v>
      </c>
      <c r="L62" s="105">
        <f t="shared" ref="L62:L65" si="38">K62*H62</f>
        <v>35000</v>
      </c>
      <c r="M62" s="106">
        <f t="shared" ref="M62:M65" si="39">L62+J62</f>
        <v>35000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 t="shared" si="36"/>
        <v>0</v>
      </c>
      <c r="K63" s="104">
        <f t="shared" si="37"/>
        <v>0</v>
      </c>
      <c r="L63" s="105">
        <f t="shared" si="38"/>
        <v>0</v>
      </c>
      <c r="M63" s="106">
        <f t="shared" si="3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 t="shared" si="36"/>
        <v>0</v>
      </c>
      <c r="K64" s="104">
        <f t="shared" si="37"/>
        <v>0</v>
      </c>
      <c r="L64" s="105">
        <f t="shared" si="38"/>
        <v>0</v>
      </c>
      <c r="M64" s="106">
        <f t="shared" si="3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>
        <v>1</v>
      </c>
      <c r="J65" s="104">
        <f t="shared" si="36"/>
        <v>0</v>
      </c>
      <c r="K65" s="104">
        <f t="shared" si="37"/>
        <v>1</v>
      </c>
      <c r="L65" s="105">
        <f t="shared" si="38"/>
        <v>15000</v>
      </c>
      <c r="M65" s="106">
        <f t="shared" si="39"/>
        <v>15000</v>
      </c>
      <c r="N65" s="136"/>
      <c r="O65" s="136"/>
      <c r="P65" s="136"/>
    </row>
    <row r="66" spans="1:16" s="21" customFormat="1" ht="15" customHeight="1" thickBot="1" x14ac:dyDescent="0.25">
      <c r="A66" s="359" t="s">
        <v>13</v>
      </c>
      <c r="B66" s="360"/>
      <c r="C66" s="360"/>
      <c r="D66" s="360"/>
      <c r="E66" s="360"/>
      <c r="F66" s="361"/>
      <c r="G66" s="100"/>
      <c r="H66" s="100"/>
      <c r="I66" s="100"/>
      <c r="J66" s="100"/>
      <c r="K66" s="100"/>
      <c r="L66" s="100"/>
      <c r="M66" s="19">
        <f>SUM(M62:M65)</f>
        <v>50000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/>
      <c r="J68" s="104">
        <f t="shared" ref="J68" si="40">I68*G68</f>
        <v>0</v>
      </c>
      <c r="K68" s="104">
        <f t="shared" ref="K68" si="41">I68</f>
        <v>0</v>
      </c>
      <c r="L68" s="105">
        <f t="shared" ref="L68" si="42">K68*H68</f>
        <v>0</v>
      </c>
      <c r="M68" s="106">
        <f t="shared" ref="M68" si="43">L68+J68</f>
        <v>0</v>
      </c>
      <c r="N68" s="136"/>
      <c r="O68" s="136"/>
      <c r="P68" s="136"/>
    </row>
    <row r="69" spans="1:16" ht="15" customHeight="1" thickBot="1" x14ac:dyDescent="0.25">
      <c r="A69" s="356" t="s">
        <v>13</v>
      </c>
      <c r="B69" s="357"/>
      <c r="C69" s="357"/>
      <c r="D69" s="357"/>
      <c r="E69" s="357"/>
      <c r="F69" s="358"/>
      <c r="G69" s="99"/>
      <c r="H69" s="99"/>
      <c r="I69" s="99"/>
      <c r="J69" s="99"/>
      <c r="K69" s="99"/>
      <c r="L69" s="99"/>
      <c r="M69" s="19">
        <f>SUM(M68)</f>
        <v>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>
        <v>1</v>
      </c>
      <c r="J71" s="104">
        <f t="shared" ref="J71:J73" si="44">I71*G71</f>
        <v>0</v>
      </c>
      <c r="K71" s="104">
        <f t="shared" ref="K71:K73" si="45">I71</f>
        <v>1</v>
      </c>
      <c r="L71" s="105">
        <f t="shared" ref="L71:L73" si="46">K71*H71</f>
        <v>15000</v>
      </c>
      <c r="M71" s="106">
        <f t="shared" ref="M71:M73" si="47">L71+J71</f>
        <v>15000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/>
      <c r="J72" s="104">
        <f t="shared" si="44"/>
        <v>0</v>
      </c>
      <c r="K72" s="104">
        <f t="shared" si="45"/>
        <v>0</v>
      </c>
      <c r="L72" s="105">
        <f t="shared" si="46"/>
        <v>0</v>
      </c>
      <c r="M72" s="106">
        <f t="shared" si="47"/>
        <v>0</v>
      </c>
      <c r="N72" s="136"/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 t="shared" si="44"/>
        <v>0</v>
      </c>
      <c r="K73" s="104">
        <f t="shared" si="45"/>
        <v>1</v>
      </c>
      <c r="L73" s="105">
        <f t="shared" si="46"/>
        <v>15000</v>
      </c>
      <c r="M73" s="106">
        <f t="shared" si="47"/>
        <v>15000</v>
      </c>
      <c r="N73" s="136"/>
      <c r="O73" s="136"/>
      <c r="P73" s="136"/>
    </row>
    <row r="74" spans="1:16" s="47" customFormat="1" ht="15" customHeight="1" thickBot="1" x14ac:dyDescent="0.25">
      <c r="A74" s="356" t="s">
        <v>13</v>
      </c>
      <c r="B74" s="357"/>
      <c r="C74" s="357"/>
      <c r="D74" s="357"/>
      <c r="E74" s="357"/>
      <c r="F74" s="358"/>
      <c r="G74" s="99"/>
      <c r="H74" s="99"/>
      <c r="I74" s="99"/>
      <c r="J74" s="99"/>
      <c r="K74" s="99"/>
      <c r="L74" s="99"/>
      <c r="M74" s="19">
        <f>SUM(M71:M73)</f>
        <v>30000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>
        <v>1</v>
      </c>
      <c r="J76" s="104">
        <f t="shared" ref="J76:J77" si="48">I76*G76</f>
        <v>0</v>
      </c>
      <c r="K76" s="104">
        <f t="shared" ref="K76:K77" si="49">I76</f>
        <v>1</v>
      </c>
      <c r="L76" s="105">
        <f t="shared" ref="L76:L77" si="50">K76*H76</f>
        <v>30000</v>
      </c>
      <c r="M76" s="106">
        <f t="shared" ref="M76:M77" si="51">L76+J76</f>
        <v>30000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 t="shared" si="48"/>
        <v>0</v>
      </c>
      <c r="K77" s="104">
        <f t="shared" si="49"/>
        <v>0</v>
      </c>
      <c r="L77" s="105">
        <f t="shared" si="50"/>
        <v>0</v>
      </c>
      <c r="M77" s="106">
        <f t="shared" si="51"/>
        <v>0</v>
      </c>
      <c r="N77" s="136"/>
      <c r="O77" s="136"/>
      <c r="P77" s="136"/>
    </row>
    <row r="78" spans="1:16" s="50" customFormat="1" ht="15" customHeight="1" thickBot="1" x14ac:dyDescent="0.25">
      <c r="A78" s="356" t="s">
        <v>8</v>
      </c>
      <c r="B78" s="357"/>
      <c r="C78" s="357"/>
      <c r="D78" s="357"/>
      <c r="E78" s="357"/>
      <c r="F78" s="358"/>
      <c r="G78" s="99"/>
      <c r="H78" s="99"/>
      <c r="I78" s="99"/>
      <c r="J78" s="99"/>
      <c r="K78" s="99"/>
      <c r="L78" s="99"/>
      <c r="M78" s="19">
        <f>SUM(M76:M77)</f>
        <v>30000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>
        <v>1</v>
      </c>
      <c r="J80" s="104">
        <f t="shared" ref="J80:J83" si="52">I80*G80</f>
        <v>0</v>
      </c>
      <c r="K80" s="104">
        <f t="shared" ref="K80:K83" si="53">I80</f>
        <v>1</v>
      </c>
      <c r="L80" s="105">
        <f t="shared" ref="L80:L83" si="54">K80*H80</f>
        <v>15000</v>
      </c>
      <c r="M80" s="106">
        <f t="shared" ref="M80:M83" si="55">L80+J80</f>
        <v>15000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/>
      <c r="J81" s="104">
        <f t="shared" si="52"/>
        <v>0</v>
      </c>
      <c r="K81" s="104">
        <f t="shared" si="53"/>
        <v>0</v>
      </c>
      <c r="L81" s="105">
        <f t="shared" si="54"/>
        <v>0</v>
      </c>
      <c r="M81" s="106">
        <f t="shared" si="55"/>
        <v>0</v>
      </c>
      <c r="N81" s="136"/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>
        <v>1</v>
      </c>
      <c r="J82" s="104">
        <f t="shared" si="52"/>
        <v>0</v>
      </c>
      <c r="K82" s="104">
        <f t="shared" si="53"/>
        <v>1</v>
      </c>
      <c r="L82" s="105">
        <f t="shared" si="54"/>
        <v>30000</v>
      </c>
      <c r="M82" s="106">
        <f t="shared" si="55"/>
        <v>30000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/>
      <c r="J83" s="104">
        <f t="shared" si="52"/>
        <v>0</v>
      </c>
      <c r="K83" s="104">
        <f t="shared" si="53"/>
        <v>0</v>
      </c>
      <c r="L83" s="105">
        <f t="shared" si="54"/>
        <v>0</v>
      </c>
      <c r="M83" s="106">
        <f t="shared" si="55"/>
        <v>0</v>
      </c>
      <c r="N83" s="136"/>
      <c r="O83" s="136"/>
      <c r="P83" s="136"/>
    </row>
    <row r="84" spans="1:16" s="21" customFormat="1" ht="15" customHeight="1" thickBot="1" x14ac:dyDescent="0.25">
      <c r="A84" s="353" t="s">
        <v>13</v>
      </c>
      <c r="B84" s="354"/>
      <c r="C84" s="354"/>
      <c r="D84" s="354"/>
      <c r="E84" s="354"/>
      <c r="F84" s="355"/>
      <c r="G84" s="98"/>
      <c r="H84" s="98"/>
      <c r="I84" s="98"/>
      <c r="J84" s="98"/>
      <c r="K84" s="98"/>
      <c r="L84" s="98"/>
      <c r="M84" s="54">
        <f>SUM(M80:M83)</f>
        <v>45000</v>
      </c>
      <c r="N84" s="136"/>
      <c r="O84" s="136"/>
      <c r="P84" s="136"/>
    </row>
    <row r="85" spans="1:16" s="21" customFormat="1" ht="15" customHeight="1" thickBot="1" x14ac:dyDescent="0.25">
      <c r="A85" s="353" t="s">
        <v>103</v>
      </c>
      <c r="B85" s="354"/>
      <c r="C85" s="354"/>
      <c r="D85" s="354"/>
      <c r="E85" s="354"/>
      <c r="F85" s="355"/>
      <c r="G85" s="98"/>
      <c r="H85" s="98"/>
      <c r="I85" s="98"/>
      <c r="J85" s="98"/>
      <c r="K85" s="98"/>
      <c r="L85" s="98"/>
      <c r="M85" s="107">
        <f>M84+M78+M74+M69+M66+M60+M56+M31+M27+M23+M13</f>
        <v>3084597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topLeftCell="A58" zoomScale="110" zoomScaleNormal="110" zoomScaleSheetLayoutView="100" workbookViewId="0">
      <selection activeCell="G22" sqref="G22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69" t="s">
        <v>4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41" t="s">
        <v>1</v>
      </c>
      <c r="B6" s="351" t="s">
        <v>2</v>
      </c>
      <c r="C6" s="343" t="s">
        <v>4</v>
      </c>
      <c r="D6" s="343"/>
      <c r="E6" s="343"/>
      <c r="F6" s="343"/>
      <c r="G6" s="344" t="s">
        <v>274</v>
      </c>
      <c r="H6" s="345"/>
      <c r="I6" s="345"/>
      <c r="J6" s="345"/>
      <c r="K6" s="346"/>
    </row>
    <row r="7" spans="1:56" s="10" customFormat="1" ht="21.75" customHeight="1" x14ac:dyDescent="0.2">
      <c r="A7" s="341"/>
      <c r="B7" s="364"/>
      <c r="C7" s="349" t="s">
        <v>271</v>
      </c>
      <c r="D7" s="351" t="s">
        <v>0</v>
      </c>
      <c r="E7" s="349" t="s">
        <v>272</v>
      </c>
      <c r="F7" s="349" t="s">
        <v>273</v>
      </c>
      <c r="G7" s="344" t="s">
        <v>267</v>
      </c>
      <c r="H7" s="346"/>
      <c r="I7" s="344" t="s">
        <v>268</v>
      </c>
      <c r="J7" s="346"/>
      <c r="K7" s="347" t="s">
        <v>269</v>
      </c>
    </row>
    <row r="8" spans="1:56" s="14" customFormat="1" ht="24.75" customHeight="1" x14ac:dyDescent="0.2">
      <c r="A8" s="341"/>
      <c r="B8" s="363"/>
      <c r="C8" s="362"/>
      <c r="D8" s="363"/>
      <c r="E8" s="362"/>
      <c r="F8" s="362"/>
      <c r="G8" s="331" t="s">
        <v>275</v>
      </c>
      <c r="H8" s="331" t="s">
        <v>270</v>
      </c>
      <c r="I8" s="331" t="s">
        <v>275</v>
      </c>
      <c r="J8" s="331" t="s">
        <v>270</v>
      </c>
      <c r="K8" s="348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>
        <v>9</v>
      </c>
      <c r="H10" s="104">
        <f>G10*E10</f>
        <v>81000</v>
      </c>
      <c r="I10" s="104">
        <f>G10</f>
        <v>9</v>
      </c>
      <c r="J10" s="105">
        <f>I10*F10</f>
        <v>9000</v>
      </c>
      <c r="K10" s="106">
        <f>J10+H10</f>
        <v>90000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>
        <v>1</v>
      </c>
      <c r="H11" s="104">
        <f>G11*E11</f>
        <v>0</v>
      </c>
      <c r="I11" s="104">
        <f>G11</f>
        <v>1</v>
      </c>
      <c r="J11" s="105">
        <f>I11*F11</f>
        <v>35000</v>
      </c>
      <c r="K11" s="106">
        <f>J11+H11</f>
        <v>35000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>
        <v>0</v>
      </c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65" t="s">
        <v>8</v>
      </c>
      <c r="B13" s="366"/>
      <c r="C13" s="366"/>
      <c r="D13" s="366"/>
      <c r="E13" s="241"/>
      <c r="F13" s="241"/>
      <c r="G13" s="241"/>
      <c r="H13" s="241"/>
      <c r="I13" s="241"/>
      <c r="J13" s="241"/>
      <c r="K13" s="317">
        <f>SUM(K10:K12)</f>
        <v>125000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>
        <v>9</v>
      </c>
      <c r="H15" s="104">
        <f>G15*E15</f>
        <v>99000</v>
      </c>
      <c r="I15" s="104">
        <f>G15</f>
        <v>9</v>
      </c>
      <c r="J15" s="105">
        <f>I15*F15</f>
        <v>9000</v>
      </c>
      <c r="K15" s="106">
        <f>J15+H15</f>
        <v>108000</v>
      </c>
      <c r="L15" s="136"/>
      <c r="M15" s="136"/>
      <c r="N15" s="136"/>
    </row>
    <row r="16" spans="1:56" s="9" customFormat="1" ht="14.25" customHeight="1" thickBot="1" x14ac:dyDescent="0.25">
      <c r="A16" s="365" t="s">
        <v>8</v>
      </c>
      <c r="B16" s="366"/>
      <c r="C16" s="366"/>
      <c r="D16" s="366"/>
      <c r="E16" s="248"/>
      <c r="F16" s="248"/>
      <c r="G16" s="248"/>
      <c r="H16" s="248"/>
      <c r="I16" s="248"/>
      <c r="J16" s="248"/>
      <c r="K16" s="317">
        <f>SUM(K15)</f>
        <v>108000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>
        <v>0</v>
      </c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/>
      <c r="M18" s="136"/>
      <c r="N18" s="136"/>
    </row>
    <row r="19" spans="1:14" s="9" customFormat="1" ht="14.25" customHeight="1" thickBot="1" x14ac:dyDescent="0.25">
      <c r="A19" s="365" t="s">
        <v>8</v>
      </c>
      <c r="B19" s="366"/>
      <c r="C19" s="366"/>
      <c r="D19" s="366"/>
      <c r="E19" s="241"/>
      <c r="F19" s="241"/>
      <c r="G19" s="241"/>
      <c r="H19" s="241"/>
      <c r="I19" s="241"/>
      <c r="J19" s="241"/>
      <c r="K19" s="317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7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0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32">
        <v>7.1</v>
      </c>
      <c r="H30" s="104">
        <f t="shared" si="4"/>
        <v>40825</v>
      </c>
      <c r="I30" s="332">
        <f t="shared" si="5"/>
        <v>7.1</v>
      </c>
      <c r="J30" s="105">
        <f t="shared" si="6"/>
        <v>7100</v>
      </c>
      <c r="K30" s="106">
        <f t="shared" si="7"/>
        <v>47925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32">
        <v>7.2</v>
      </c>
      <c r="H31" s="104">
        <f t="shared" si="4"/>
        <v>34560</v>
      </c>
      <c r="I31" s="332">
        <f>G31</f>
        <v>7.2</v>
      </c>
      <c r="J31" s="105">
        <f t="shared" si="6"/>
        <v>6480</v>
      </c>
      <c r="K31" s="106">
        <f t="shared" si="7"/>
        <v>41040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32">
        <v>61</v>
      </c>
      <c r="H32" s="104">
        <f t="shared" si="4"/>
        <v>198250</v>
      </c>
      <c r="I32" s="332">
        <f>G32</f>
        <v>61</v>
      </c>
      <c r="J32" s="105">
        <f t="shared" si="6"/>
        <v>48800</v>
      </c>
      <c r="K32" s="106">
        <f t="shared" si="7"/>
        <v>247050</v>
      </c>
      <c r="L32" s="136"/>
      <c r="M32" s="136"/>
      <c r="N32" s="136"/>
    </row>
    <row r="33" spans="1:14" s="9" customFormat="1" ht="14.25" customHeight="1" thickBot="1" x14ac:dyDescent="0.25">
      <c r="A33" s="365" t="s">
        <v>8</v>
      </c>
      <c r="B33" s="366"/>
      <c r="C33" s="366"/>
      <c r="D33" s="366"/>
      <c r="E33" s="241"/>
      <c r="F33" s="241"/>
      <c r="G33" s="241"/>
      <c r="H33" s="241"/>
      <c r="I33" s="241"/>
      <c r="J33" s="241"/>
      <c r="K33" s="317">
        <f>SUM(K22:K32)</f>
        <v>336015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32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32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32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32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32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32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32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32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32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32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32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32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32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32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32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32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32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>
        <v>1</v>
      </c>
      <c r="H55" s="104">
        <f t="shared" si="18"/>
        <v>6500</v>
      </c>
      <c r="I55" s="332">
        <f t="shared" si="9"/>
        <v>1</v>
      </c>
      <c r="J55" s="105">
        <f t="shared" si="19"/>
        <v>1000</v>
      </c>
      <c r="K55" s="106">
        <f t="shared" si="20"/>
        <v>7500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>
        <v>1</v>
      </c>
      <c r="H56" s="104">
        <f t="shared" si="18"/>
        <v>6000</v>
      </c>
      <c r="I56" s="332">
        <f t="shared" si="9"/>
        <v>1</v>
      </c>
      <c r="J56" s="105">
        <f t="shared" si="19"/>
        <v>1000</v>
      </c>
      <c r="K56" s="106">
        <f t="shared" si="20"/>
        <v>7000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>
        <v>12</v>
      </c>
      <c r="H57" s="104">
        <f t="shared" si="18"/>
        <v>66000</v>
      </c>
      <c r="I57" s="332">
        <f t="shared" si="9"/>
        <v>12</v>
      </c>
      <c r="J57" s="105">
        <f t="shared" si="19"/>
        <v>12000</v>
      </c>
      <c r="K57" s="106">
        <f t="shared" si="20"/>
        <v>78000</v>
      </c>
      <c r="L57" s="136"/>
      <c r="M57" s="136"/>
      <c r="N57" s="136"/>
    </row>
    <row r="58" spans="1:14" s="266" customFormat="1" ht="14.25" customHeight="1" thickBot="1" x14ac:dyDescent="0.25">
      <c r="A58" s="365" t="s">
        <v>8</v>
      </c>
      <c r="B58" s="366"/>
      <c r="C58" s="366"/>
      <c r="D58" s="366"/>
      <c r="E58" s="241"/>
      <c r="F58" s="241"/>
      <c r="G58" s="241"/>
      <c r="H58" s="241"/>
      <c r="I58" s="241"/>
      <c r="J58" s="241"/>
      <c r="K58" s="318">
        <f>SUM(K36:K57)</f>
        <v>92500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>
        <v>1</v>
      </c>
      <c r="H60" s="104">
        <f>G60*E60</f>
        <v>0</v>
      </c>
      <c r="I60" s="332">
        <f t="shared" ref="I60" si="21">G60</f>
        <v>1</v>
      </c>
      <c r="J60" s="105">
        <f>I60*F60</f>
        <v>15000</v>
      </c>
      <c r="K60" s="106">
        <f>J60+H60</f>
        <v>15000</v>
      </c>
      <c r="L60" s="136"/>
      <c r="M60" s="136"/>
      <c r="N60" s="136"/>
    </row>
    <row r="61" spans="1:14" s="9" customFormat="1" ht="14.25" customHeight="1" thickBot="1" x14ac:dyDescent="0.25">
      <c r="A61" s="365" t="s">
        <v>8</v>
      </c>
      <c r="B61" s="366"/>
      <c r="C61" s="366"/>
      <c r="D61" s="366"/>
      <c r="E61" s="241"/>
      <c r="F61" s="241"/>
      <c r="G61" s="241"/>
      <c r="H61" s="241"/>
      <c r="I61" s="241"/>
      <c r="J61" s="241"/>
      <c r="K61" s="317">
        <f>SUM(K60)</f>
        <v>15000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32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32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32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32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32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32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32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32">
        <v>7.1</v>
      </c>
      <c r="H71" s="104">
        <f t="shared" si="22"/>
        <v>4260</v>
      </c>
      <c r="I71" s="332">
        <f t="shared" si="23"/>
        <v>7.1</v>
      </c>
      <c r="J71" s="105">
        <f t="shared" si="24"/>
        <v>3550</v>
      </c>
      <c r="K71" s="106">
        <f t="shared" si="25"/>
        <v>7810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32">
        <v>7.2</v>
      </c>
      <c r="H72" s="104">
        <f t="shared" si="22"/>
        <v>3600</v>
      </c>
      <c r="I72" s="332">
        <f t="shared" si="23"/>
        <v>7.2</v>
      </c>
      <c r="J72" s="105">
        <f t="shared" si="24"/>
        <v>2880</v>
      </c>
      <c r="K72" s="106">
        <f t="shared" si="25"/>
        <v>6480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32">
        <v>61</v>
      </c>
      <c r="H73" s="104">
        <f t="shared" si="22"/>
        <v>24400</v>
      </c>
      <c r="I73" s="332">
        <f t="shared" si="23"/>
        <v>61</v>
      </c>
      <c r="J73" s="105">
        <f t="shared" si="24"/>
        <v>18300</v>
      </c>
      <c r="K73" s="106">
        <f t="shared" si="25"/>
        <v>42700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>
        <v>1</v>
      </c>
      <c r="H74" s="104">
        <f t="shared" si="22"/>
        <v>15000</v>
      </c>
      <c r="I74" s="332">
        <f t="shared" si="23"/>
        <v>1</v>
      </c>
      <c r="J74" s="105">
        <f t="shared" si="24"/>
        <v>5000</v>
      </c>
      <c r="K74" s="106">
        <f t="shared" si="25"/>
        <v>20000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32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65" t="s">
        <v>8</v>
      </c>
      <c r="B76" s="366"/>
      <c r="C76" s="366"/>
      <c r="D76" s="366"/>
      <c r="E76" s="241"/>
      <c r="F76" s="241"/>
      <c r="G76" s="241"/>
      <c r="H76" s="241"/>
      <c r="I76" s="241"/>
      <c r="J76" s="241"/>
      <c r="K76" s="318">
        <f>SUM(K64:K75)</f>
        <v>76990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>
        <v>1</v>
      </c>
      <c r="H78" s="104">
        <f>G78*E78</f>
        <v>45000</v>
      </c>
      <c r="I78" s="332">
        <f t="shared" ref="I78" si="26">G78</f>
        <v>1</v>
      </c>
      <c r="J78" s="105">
        <f>I78*F78</f>
        <v>8000</v>
      </c>
      <c r="K78" s="106">
        <f>J78+H78</f>
        <v>53000</v>
      </c>
      <c r="L78" s="136"/>
      <c r="M78" s="136"/>
      <c r="N78" s="136"/>
    </row>
    <row r="79" spans="1:14" s="9" customFormat="1" ht="14.25" customHeight="1" thickBot="1" x14ac:dyDescent="0.25">
      <c r="A79" s="365" t="s">
        <v>8</v>
      </c>
      <c r="B79" s="366"/>
      <c r="C79" s="366"/>
      <c r="D79" s="366"/>
      <c r="E79" s="241"/>
      <c r="F79" s="241"/>
      <c r="G79" s="241"/>
      <c r="H79" s="241"/>
      <c r="I79" s="241"/>
      <c r="J79" s="241"/>
      <c r="K79" s="317">
        <f>SUM(K78)</f>
        <v>53000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>
        <v>1</v>
      </c>
      <c r="H81" s="104">
        <f t="shared" ref="H81:H86" si="27">G81*E81</f>
        <v>0</v>
      </c>
      <c r="I81" s="332">
        <f t="shared" ref="I81:I86" si="28">G81</f>
        <v>1</v>
      </c>
      <c r="J81" s="105">
        <f t="shared" ref="J81:J86" si="29">I81*F81</f>
        <v>15000</v>
      </c>
      <c r="K81" s="106">
        <f t="shared" ref="K81:K86" si="30">J81+H81</f>
        <v>15000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>
        <v>1</v>
      </c>
      <c r="H82" s="104">
        <f t="shared" si="27"/>
        <v>0</v>
      </c>
      <c r="I82" s="332">
        <f t="shared" si="28"/>
        <v>1</v>
      </c>
      <c r="J82" s="105">
        <f t="shared" si="29"/>
        <v>8000</v>
      </c>
      <c r="K82" s="106">
        <f t="shared" si="30"/>
        <v>8000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/>
      <c r="H83" s="104">
        <f t="shared" si="27"/>
        <v>0</v>
      </c>
      <c r="I83" s="332">
        <f t="shared" si="28"/>
        <v>0</v>
      </c>
      <c r="J83" s="105">
        <f t="shared" si="29"/>
        <v>0</v>
      </c>
      <c r="K83" s="106">
        <f t="shared" si="30"/>
        <v>0</v>
      </c>
      <c r="L83" s="136"/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/>
      <c r="H84" s="104">
        <f t="shared" si="27"/>
        <v>0</v>
      </c>
      <c r="I84" s="332">
        <f t="shared" si="28"/>
        <v>0</v>
      </c>
      <c r="J84" s="105">
        <f t="shared" si="29"/>
        <v>0</v>
      </c>
      <c r="K84" s="106">
        <f t="shared" si="30"/>
        <v>0</v>
      </c>
      <c r="L84" s="136"/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/>
      <c r="H85" s="104">
        <f t="shared" si="27"/>
        <v>0</v>
      </c>
      <c r="I85" s="332">
        <f t="shared" si="28"/>
        <v>0</v>
      </c>
      <c r="J85" s="105">
        <f t="shared" si="29"/>
        <v>0</v>
      </c>
      <c r="K85" s="106">
        <f t="shared" si="30"/>
        <v>0</v>
      </c>
      <c r="L85" s="136"/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>
        <v>1</v>
      </c>
      <c r="H86" s="104">
        <f t="shared" si="27"/>
        <v>0</v>
      </c>
      <c r="I86" s="332">
        <f t="shared" si="28"/>
        <v>1</v>
      </c>
      <c r="J86" s="105">
        <f t="shared" si="29"/>
        <v>15000</v>
      </c>
      <c r="K86" s="106">
        <f t="shared" si="30"/>
        <v>15000</v>
      </c>
      <c r="L86" s="136"/>
      <c r="M86" s="136"/>
      <c r="N86" s="136"/>
    </row>
    <row r="87" spans="1:14" s="9" customFormat="1" ht="14.25" customHeight="1" thickBot="1" x14ac:dyDescent="0.25">
      <c r="A87" s="367" t="s">
        <v>8</v>
      </c>
      <c r="B87" s="368"/>
      <c r="C87" s="368"/>
      <c r="D87" s="368"/>
      <c r="E87" s="288"/>
      <c r="F87" s="288"/>
      <c r="G87" s="288"/>
      <c r="H87" s="288"/>
      <c r="I87" s="288"/>
      <c r="J87" s="288"/>
      <c r="K87" s="333">
        <f>SUM(K81:K86)</f>
        <v>38000</v>
      </c>
      <c r="L87" s="136"/>
      <c r="M87" s="136"/>
      <c r="N87" s="136"/>
    </row>
    <row r="88" spans="1:14" s="9" customFormat="1" ht="14.25" customHeight="1" thickBot="1" x14ac:dyDescent="0.25">
      <c r="A88" s="367" t="s">
        <v>262</v>
      </c>
      <c r="B88" s="368"/>
      <c r="C88" s="368"/>
      <c r="D88" s="368"/>
      <c r="E88" s="289"/>
      <c r="F88" s="289"/>
      <c r="G88" s="289"/>
      <c r="H88" s="289"/>
      <c r="I88" s="289"/>
      <c r="J88" s="289"/>
      <c r="K88" s="318">
        <f>K87+K79+K61+K58+K33+K19+K16+K13+K76</f>
        <v>844505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A4:K4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6:A8"/>
    <mergeCell ref="C6:F6"/>
    <mergeCell ref="G6:K6"/>
    <mergeCell ref="G7:H7"/>
    <mergeCell ref="I7:J7"/>
    <mergeCell ref="K7:K8"/>
    <mergeCell ref="C7:C8"/>
    <mergeCell ref="D7:D8"/>
    <mergeCell ref="E7:E8"/>
    <mergeCell ref="F7:F8"/>
    <mergeCell ref="B6:B8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Q95"/>
  <sheetViews>
    <sheetView showGridLines="0" defaultGridColor="0" topLeftCell="A86" colorId="8" zoomScaleNormal="100" zoomScaleSheetLayoutView="100" workbookViewId="0">
      <selection activeCell="H98" sqref="H98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16" width="15.28515625" style="227" customWidth="1"/>
    <col min="17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98" t="s">
        <v>104</v>
      </c>
      <c r="B1" s="398"/>
      <c r="C1" s="398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99" t="s">
        <v>105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41" t="s">
        <v>1</v>
      </c>
      <c r="B6" s="370" t="s">
        <v>2</v>
      </c>
      <c r="C6" s="371"/>
      <c r="D6" s="343" t="s">
        <v>4</v>
      </c>
      <c r="E6" s="343"/>
      <c r="F6" s="343"/>
      <c r="G6" s="343"/>
      <c r="H6" s="344" t="s">
        <v>274</v>
      </c>
      <c r="I6" s="345"/>
      <c r="J6" s="345"/>
      <c r="K6" s="345"/>
      <c r="L6" s="346"/>
    </row>
    <row r="7" spans="1:12" s="10" customFormat="1" ht="21.75" customHeight="1" x14ac:dyDescent="0.2">
      <c r="A7" s="341"/>
      <c r="B7" s="372"/>
      <c r="C7" s="373"/>
      <c r="D7" s="349" t="s">
        <v>271</v>
      </c>
      <c r="E7" s="351" t="s">
        <v>0</v>
      </c>
      <c r="F7" s="349" t="s">
        <v>272</v>
      </c>
      <c r="G7" s="349" t="s">
        <v>273</v>
      </c>
      <c r="H7" s="344" t="s">
        <v>267</v>
      </c>
      <c r="I7" s="346"/>
      <c r="J7" s="344" t="s">
        <v>268</v>
      </c>
      <c r="K7" s="346"/>
      <c r="L7" s="347" t="s">
        <v>269</v>
      </c>
    </row>
    <row r="8" spans="1:12" s="14" customFormat="1" ht="24.75" customHeight="1" x14ac:dyDescent="0.2">
      <c r="A8" s="341"/>
      <c r="B8" s="374"/>
      <c r="C8" s="375"/>
      <c r="D8" s="350"/>
      <c r="E8" s="352"/>
      <c r="F8" s="350"/>
      <c r="G8" s="350"/>
      <c r="H8" s="331" t="s">
        <v>275</v>
      </c>
      <c r="I8" s="331" t="s">
        <v>270</v>
      </c>
      <c r="J8" s="331" t="s">
        <v>275</v>
      </c>
      <c r="K8" s="331" t="s">
        <v>270</v>
      </c>
      <c r="L8" s="348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91" t="s">
        <v>108</v>
      </c>
      <c r="C10" s="392"/>
      <c r="D10" s="392"/>
      <c r="E10" s="392"/>
      <c r="F10" s="392"/>
      <c r="G10" s="392"/>
      <c r="H10" s="392"/>
      <c r="I10" s="392"/>
      <c r="J10" s="392"/>
      <c r="K10" s="393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>
        <v>18.3</v>
      </c>
      <c r="I12" s="104">
        <f t="shared" ref="I12:I16" si="0">H12*F12</f>
        <v>98289.3</v>
      </c>
      <c r="J12" s="400">
        <f t="shared" ref="J12:J16" si="1">H12</f>
        <v>18.3</v>
      </c>
      <c r="K12" s="105">
        <f t="shared" ref="K12:K16" si="2">J12*G12</f>
        <v>7557.9000000000005</v>
      </c>
      <c r="L12" s="106">
        <f t="shared" ref="L12:L16" si="3">K12+I12</f>
        <v>105847.2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>
        <v>15.2</v>
      </c>
      <c r="I13" s="104">
        <f t="shared" si="0"/>
        <v>56513.599999999999</v>
      </c>
      <c r="J13" s="104">
        <f t="shared" si="1"/>
        <v>15.2</v>
      </c>
      <c r="K13" s="105">
        <f t="shared" si="2"/>
        <v>5654.4</v>
      </c>
      <c r="L13" s="106">
        <f t="shared" si="3"/>
        <v>62168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>
        <v>21.3</v>
      </c>
      <c r="I14" s="104">
        <f t="shared" si="0"/>
        <v>43111.200000000004</v>
      </c>
      <c r="J14" s="104">
        <f t="shared" si="1"/>
        <v>21.3</v>
      </c>
      <c r="K14" s="105">
        <f t="shared" si="2"/>
        <v>7050.3</v>
      </c>
      <c r="L14" s="106">
        <f t="shared" si="3"/>
        <v>50161.500000000007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>
        <v>36.6</v>
      </c>
      <c r="I15" s="104">
        <f t="shared" si="0"/>
        <v>57462</v>
      </c>
      <c r="J15" s="104">
        <f t="shared" si="1"/>
        <v>36.6</v>
      </c>
      <c r="K15" s="105">
        <f t="shared" si="2"/>
        <v>10577.4</v>
      </c>
      <c r="L15" s="106">
        <f t="shared" si="3"/>
        <v>68039.399999999994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>
        <v>0</v>
      </c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>
        <v>0</v>
      </c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>
        <v>0</v>
      </c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>
        <v>1</v>
      </c>
      <c r="I21" s="104">
        <f t="shared" ref="I21:I22" si="5">H21*F21</f>
        <v>9295</v>
      </c>
      <c r="J21" s="104">
        <f t="shared" si="4"/>
        <v>1</v>
      </c>
      <c r="K21" s="105">
        <f t="shared" ref="K21:K22" si="6">J21*G21</f>
        <v>826</v>
      </c>
      <c r="L21" s="106">
        <f t="shared" ref="L21:L22" si="7">K21+I21</f>
        <v>10121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>
        <v>6</v>
      </c>
      <c r="I22" s="104">
        <f t="shared" si="5"/>
        <v>42138</v>
      </c>
      <c r="J22" s="104">
        <f t="shared" si="4"/>
        <v>6</v>
      </c>
      <c r="K22" s="105">
        <f t="shared" si="6"/>
        <v>4956</v>
      </c>
      <c r="L22" s="106">
        <f t="shared" si="7"/>
        <v>47094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>
        <v>1</v>
      </c>
      <c r="I24" s="104">
        <f>H24*F24</f>
        <v>7436</v>
      </c>
      <c r="J24" s="104">
        <f>H24</f>
        <v>1</v>
      </c>
      <c r="K24" s="105">
        <f>J24*G24</f>
        <v>826</v>
      </c>
      <c r="L24" s="106">
        <f>K24+I24</f>
        <v>8262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>
        <v>1</v>
      </c>
      <c r="I26" s="104">
        <f t="shared" ref="I26:I31" si="8">H26*F26</f>
        <v>122286</v>
      </c>
      <c r="J26" s="104">
        <f t="shared" ref="J26:J31" si="9">H26</f>
        <v>1</v>
      </c>
      <c r="K26" s="105">
        <f t="shared" ref="K26:K31" si="10">J26*G26</f>
        <v>2479</v>
      </c>
      <c r="L26" s="106">
        <f t="shared" ref="L26:L31" si="11">K26+I26</f>
        <v>124765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94" t="s">
        <v>133</v>
      </c>
      <c r="C27" s="395"/>
      <c r="D27" s="155">
        <v>1</v>
      </c>
      <c r="E27" s="133" t="s">
        <v>9</v>
      </c>
      <c r="F27" s="134">
        <v>37182</v>
      </c>
      <c r="G27" s="137">
        <v>6610</v>
      </c>
      <c r="H27" s="104">
        <v>1</v>
      </c>
      <c r="I27" s="104">
        <f t="shared" si="8"/>
        <v>37182</v>
      </c>
      <c r="J27" s="104">
        <f t="shared" si="9"/>
        <v>1</v>
      </c>
      <c r="K27" s="105">
        <f t="shared" si="10"/>
        <v>6610</v>
      </c>
      <c r="L27" s="106">
        <f t="shared" si="11"/>
        <v>43792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89" t="s">
        <v>134</v>
      </c>
      <c r="C28" s="390"/>
      <c r="D28" s="155">
        <v>1</v>
      </c>
      <c r="E28" s="133" t="s">
        <v>9</v>
      </c>
      <c r="F28" s="134">
        <v>0</v>
      </c>
      <c r="G28" s="137">
        <v>20656</v>
      </c>
      <c r="H28" s="104">
        <v>1</v>
      </c>
      <c r="I28" s="104">
        <f t="shared" si="8"/>
        <v>0</v>
      </c>
      <c r="J28" s="104">
        <f t="shared" si="9"/>
        <v>1</v>
      </c>
      <c r="K28" s="105">
        <f t="shared" si="10"/>
        <v>20656</v>
      </c>
      <c r="L28" s="106">
        <f t="shared" si="11"/>
        <v>20656</v>
      </c>
      <c r="M28" s="136"/>
      <c r="N28" s="136"/>
      <c r="O28" s="136"/>
    </row>
    <row r="29" spans="1:15" s="128" customFormat="1" ht="15" customHeight="1" x14ac:dyDescent="0.2">
      <c r="A29" s="156">
        <v>1.5</v>
      </c>
      <c r="B29" s="394" t="s">
        <v>135</v>
      </c>
      <c r="C29" s="395"/>
      <c r="D29" s="157">
        <v>5</v>
      </c>
      <c r="E29" s="158" t="s">
        <v>6</v>
      </c>
      <c r="F29" s="134">
        <v>7436</v>
      </c>
      <c r="G29" s="137">
        <v>826</v>
      </c>
      <c r="H29" s="104">
        <v>0</v>
      </c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15" customHeight="1" x14ac:dyDescent="0.2">
      <c r="A30" s="154">
        <v>1.6</v>
      </c>
      <c r="B30" s="394" t="s">
        <v>136</v>
      </c>
      <c r="C30" s="395"/>
      <c r="D30" s="157">
        <v>1</v>
      </c>
      <c r="E30" s="158" t="s">
        <v>7</v>
      </c>
      <c r="F30" s="134">
        <v>14873</v>
      </c>
      <c r="G30" s="137">
        <v>826</v>
      </c>
      <c r="H30" s="104">
        <v>0</v>
      </c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94" t="s">
        <v>137</v>
      </c>
      <c r="C31" s="395"/>
      <c r="D31" s="157">
        <v>1</v>
      </c>
      <c r="E31" s="158" t="s">
        <v>7</v>
      </c>
      <c r="F31" s="134">
        <v>8263</v>
      </c>
      <c r="G31" s="137">
        <v>826</v>
      </c>
      <c r="H31" s="104">
        <v>1</v>
      </c>
      <c r="I31" s="104">
        <f t="shared" si="8"/>
        <v>8263</v>
      </c>
      <c r="J31" s="104">
        <f t="shared" si="9"/>
        <v>1</v>
      </c>
      <c r="K31" s="105">
        <f t="shared" si="10"/>
        <v>826</v>
      </c>
      <c r="L31" s="106">
        <f t="shared" si="11"/>
        <v>9089</v>
      </c>
      <c r="M31" s="136"/>
      <c r="N31" s="136"/>
      <c r="O31" s="136"/>
    </row>
    <row r="32" spans="1:15" s="128" customFormat="1" ht="15" customHeight="1" thickBot="1" x14ac:dyDescent="0.25">
      <c r="A32" s="376" t="s">
        <v>13</v>
      </c>
      <c r="B32" s="377"/>
      <c r="C32" s="377"/>
      <c r="D32" s="377"/>
      <c r="E32" s="378"/>
      <c r="F32" s="159"/>
      <c r="G32" s="160">
        <f>SUM(G11:G31)</f>
        <v>36354</v>
      </c>
      <c r="H32" s="159"/>
      <c r="I32" s="160">
        <f>SUM(I11:I31)</f>
        <v>481976.1</v>
      </c>
      <c r="J32" s="161"/>
      <c r="K32" s="160">
        <f>SUM(K11:K31)</f>
        <v>68019</v>
      </c>
      <c r="L32" s="160">
        <f>SUM(L11:L31)</f>
        <v>549995.1</v>
      </c>
      <c r="M32" s="136"/>
      <c r="N32" s="136"/>
      <c r="O32" s="136"/>
    </row>
    <row r="33" spans="1:17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7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7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>
        <v>0</v>
      </c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 t="s">
        <v>277</v>
      </c>
      <c r="O35" s="136" t="s">
        <v>278</v>
      </c>
      <c r="Q35" s="174" t="s">
        <v>279</v>
      </c>
    </row>
    <row r="36" spans="1:17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>
        <v>30.5</v>
      </c>
      <c r="I36" s="104">
        <f>H36*F36</f>
        <v>41571.5</v>
      </c>
      <c r="J36" s="104">
        <f t="shared" si="12"/>
        <v>30.5</v>
      </c>
      <c r="K36" s="105">
        <f>J36*G36</f>
        <v>10095.5</v>
      </c>
      <c r="L36" s="106">
        <f>K36+I36</f>
        <v>51667</v>
      </c>
      <c r="M36" s="136"/>
      <c r="N36" s="136"/>
      <c r="O36" s="136"/>
    </row>
    <row r="37" spans="1:17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>
        <v>0</v>
      </c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7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7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7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>
        <v>0</v>
      </c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7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7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>
        <v>0</v>
      </c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7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>
        <v>5</v>
      </c>
      <c r="I43" s="104">
        <f>H43*F43</f>
        <v>41315</v>
      </c>
      <c r="J43" s="104">
        <f t="shared" si="14"/>
        <v>5</v>
      </c>
      <c r="K43" s="105">
        <f>J43*G43</f>
        <v>4130</v>
      </c>
      <c r="L43" s="106">
        <f>K43+I43</f>
        <v>45445</v>
      </c>
      <c r="M43" s="136"/>
      <c r="N43" s="136"/>
      <c r="O43" s="136"/>
    </row>
    <row r="44" spans="1:17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>
        <v>0</v>
      </c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7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7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>
        <v>3</v>
      </c>
      <c r="I46" s="104">
        <f>H46*F46</f>
        <v>22308</v>
      </c>
      <c r="J46" s="104">
        <f t="shared" ref="J46" si="15">H46</f>
        <v>3</v>
      </c>
      <c r="K46" s="105">
        <f>J46*G46</f>
        <v>2478</v>
      </c>
      <c r="L46" s="106">
        <f>K46+I46</f>
        <v>24786</v>
      </c>
      <c r="M46" s="136"/>
      <c r="N46" s="136"/>
      <c r="O46" s="136"/>
    </row>
    <row r="47" spans="1:17" s="187" customFormat="1" ht="1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7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>
        <v>0</v>
      </c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 t="s">
        <v>277</v>
      </c>
      <c r="O48" s="136" t="s">
        <v>278</v>
      </c>
      <c r="P48" s="174"/>
      <c r="Q48" s="191" t="s">
        <v>280</v>
      </c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>
        <v>30.5</v>
      </c>
      <c r="I49" s="104">
        <f>H49*F49</f>
        <v>107116</v>
      </c>
      <c r="J49" s="104">
        <f t="shared" si="16"/>
        <v>30.5</v>
      </c>
      <c r="K49" s="105">
        <f>J49*G49</f>
        <v>15128</v>
      </c>
      <c r="L49" s="106">
        <f>K49+I49</f>
        <v>122244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>
        <v>0</v>
      </c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94" t="s">
        <v>155</v>
      </c>
      <c r="C51" s="395"/>
      <c r="D51" s="146">
        <v>1</v>
      </c>
      <c r="E51" s="147" t="s">
        <v>9</v>
      </c>
      <c r="F51" s="134">
        <v>39660</v>
      </c>
      <c r="G51" s="137">
        <v>9915</v>
      </c>
      <c r="H51" s="104">
        <v>1</v>
      </c>
      <c r="I51" s="104">
        <f t="shared" ref="I51:I52" si="17">H51*F51</f>
        <v>39660</v>
      </c>
      <c r="J51" s="104">
        <f t="shared" si="16"/>
        <v>1</v>
      </c>
      <c r="K51" s="105">
        <f t="shared" ref="K51:K52" si="18">J51*G51</f>
        <v>9915</v>
      </c>
      <c r="L51" s="106">
        <f t="shared" ref="L51:L52" si="19">K51+I51</f>
        <v>49575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94" t="s">
        <v>156</v>
      </c>
      <c r="C52" s="395"/>
      <c r="D52" s="146">
        <v>1</v>
      </c>
      <c r="E52" s="147" t="s">
        <v>9</v>
      </c>
      <c r="F52" s="134">
        <v>0</v>
      </c>
      <c r="G52" s="137">
        <v>12394</v>
      </c>
      <c r="H52" s="104">
        <v>1</v>
      </c>
      <c r="I52" s="104">
        <f t="shared" si="17"/>
        <v>0</v>
      </c>
      <c r="J52" s="104">
        <f t="shared" si="16"/>
        <v>1</v>
      </c>
      <c r="K52" s="105">
        <f t="shared" si="18"/>
        <v>12394</v>
      </c>
      <c r="L52" s="106">
        <f t="shared" si="19"/>
        <v>12394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96" t="s">
        <v>159</v>
      </c>
      <c r="C54" s="397"/>
      <c r="D54" s="190">
        <v>2</v>
      </c>
      <c r="E54" s="133" t="s">
        <v>6</v>
      </c>
      <c r="F54" s="134">
        <v>65274</v>
      </c>
      <c r="G54" s="137">
        <v>2479</v>
      </c>
      <c r="H54" s="104">
        <v>2</v>
      </c>
      <c r="I54" s="104">
        <f>H54*F54</f>
        <v>130548</v>
      </c>
      <c r="J54" s="104">
        <f t="shared" ref="J54" si="20">H54</f>
        <v>2</v>
      </c>
      <c r="K54" s="105">
        <f>J54*G54</f>
        <v>4958</v>
      </c>
      <c r="L54" s="106">
        <f>K54+I54</f>
        <v>135506</v>
      </c>
      <c r="M54" s="136"/>
      <c r="N54" s="136"/>
      <c r="O54" s="136"/>
    </row>
    <row r="55" spans="1:15" s="128" customFormat="1" ht="15" customHeight="1" thickBot="1" x14ac:dyDescent="0.25">
      <c r="A55" s="376" t="s">
        <v>13</v>
      </c>
      <c r="B55" s="377"/>
      <c r="C55" s="377"/>
      <c r="D55" s="377"/>
      <c r="E55" s="378"/>
      <c r="F55" s="159"/>
      <c r="G55" s="160">
        <f>SUM(G35:G54)</f>
        <v>28920</v>
      </c>
      <c r="H55" s="159"/>
      <c r="I55" s="160">
        <f>SUM(I35:I54)</f>
        <v>382518.5</v>
      </c>
      <c r="J55" s="161"/>
      <c r="K55" s="160">
        <f>SUM(K35:K54)</f>
        <v>59098.5</v>
      </c>
      <c r="L55" s="160">
        <f>SUM(L35:L54)</f>
        <v>441617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86" t="s">
        <v>161</v>
      </c>
      <c r="C57" s="387"/>
      <c r="D57" s="387"/>
      <c r="E57" s="387"/>
      <c r="F57" s="387"/>
      <c r="G57" s="387"/>
      <c r="H57" s="387"/>
      <c r="I57" s="387"/>
      <c r="J57" s="387"/>
      <c r="K57" s="388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>
        <v>27.4</v>
      </c>
      <c r="I58" s="104">
        <f t="shared" ref="I58:I59" si="21">H58*F58</f>
        <v>110942.59999999999</v>
      </c>
      <c r="J58" s="104">
        <f t="shared" ref="J58:J62" si="22">H58</f>
        <v>27.4</v>
      </c>
      <c r="K58" s="105">
        <f t="shared" ref="K58:K59" si="23">J58*G58</f>
        <v>22632.399999999998</v>
      </c>
      <c r="L58" s="106">
        <f t="shared" ref="L58:L59" si="24">K58+I58</f>
        <v>133575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>
        <v>9.1</v>
      </c>
      <c r="I59" s="104">
        <f t="shared" si="21"/>
        <v>28419.3</v>
      </c>
      <c r="J59" s="104">
        <f t="shared" si="22"/>
        <v>9.1</v>
      </c>
      <c r="K59" s="105">
        <f t="shared" si="23"/>
        <v>7516.5999999999995</v>
      </c>
      <c r="L59" s="106">
        <f t="shared" si="24"/>
        <v>35935.9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>
        <v>0</v>
      </c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>
        <v>18.3</v>
      </c>
      <c r="I61" s="104">
        <f>H61*F61</f>
        <v>25711.5</v>
      </c>
      <c r="J61" s="104">
        <f t="shared" si="22"/>
        <v>18.3</v>
      </c>
      <c r="K61" s="105">
        <f>J61*G61</f>
        <v>9076.8000000000011</v>
      </c>
      <c r="L61" s="106">
        <f>K61+I61</f>
        <v>34788.300000000003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>
        <v>0</v>
      </c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86" t="s">
        <v>169</v>
      </c>
      <c r="C63" s="387"/>
      <c r="D63" s="387"/>
      <c r="E63" s="387"/>
      <c r="F63" s="387"/>
      <c r="G63" s="387"/>
      <c r="H63" s="387"/>
      <c r="I63" s="387"/>
      <c r="J63" s="387"/>
      <c r="K63" s="388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>
        <v>0</v>
      </c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>
        <v>18.3</v>
      </c>
      <c r="I65" s="104">
        <f>H65*F65</f>
        <v>34770</v>
      </c>
      <c r="J65" s="104">
        <f t="shared" si="25"/>
        <v>18.3</v>
      </c>
      <c r="K65" s="105">
        <f>J65*G65</f>
        <v>7557.9000000000005</v>
      </c>
      <c r="L65" s="106">
        <f>K65+I65</f>
        <v>42327.9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>
        <v>0</v>
      </c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86" t="s">
        <v>173</v>
      </c>
      <c r="C67" s="387"/>
      <c r="D67" s="387"/>
      <c r="E67" s="387"/>
      <c r="F67" s="387"/>
      <c r="G67" s="387"/>
      <c r="H67" s="387"/>
      <c r="I67" s="387"/>
      <c r="J67" s="387"/>
      <c r="K67" s="388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>
        <v>5</v>
      </c>
      <c r="I69" s="104">
        <f>H69*F69</f>
        <v>37180</v>
      </c>
      <c r="J69" s="104">
        <f t="shared" ref="J69" si="26">H69</f>
        <v>5</v>
      </c>
      <c r="K69" s="105">
        <f>J69*G69</f>
        <v>4130</v>
      </c>
      <c r="L69" s="106">
        <f>K69+I69</f>
        <v>41310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>
        <v>1</v>
      </c>
      <c r="I71" s="104">
        <f>H71*F71</f>
        <v>5784</v>
      </c>
      <c r="J71" s="104">
        <f t="shared" ref="J71" si="27">H71</f>
        <v>1</v>
      </c>
      <c r="K71" s="105">
        <f>J71*G71</f>
        <v>826</v>
      </c>
      <c r="L71" s="106">
        <f>K71+I71</f>
        <v>6610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>
        <v>0</v>
      </c>
      <c r="I73" s="104">
        <f t="shared" ref="I73:I75" si="28">H73*F73</f>
        <v>0</v>
      </c>
      <c r="J73" s="104">
        <f t="shared" ref="J73:J75" si="29">H73</f>
        <v>0</v>
      </c>
      <c r="K73" s="105">
        <f t="shared" ref="K73:K75" si="30">J73*G73</f>
        <v>0</v>
      </c>
      <c r="L73" s="106">
        <f t="shared" ref="L73:L75" si="31">K73+I73</f>
        <v>0</v>
      </c>
      <c r="M73" s="136"/>
      <c r="N73" s="136"/>
      <c r="O73" s="136"/>
    </row>
    <row r="74" spans="1:15" s="128" customFormat="1" ht="25.5" customHeight="1" x14ac:dyDescent="0.2">
      <c r="A74" s="203">
        <v>3.4</v>
      </c>
      <c r="B74" s="389" t="s">
        <v>184</v>
      </c>
      <c r="C74" s="390"/>
      <c r="D74" s="201">
        <v>1</v>
      </c>
      <c r="E74" s="133" t="s">
        <v>9</v>
      </c>
      <c r="F74" s="134">
        <v>26440</v>
      </c>
      <c r="G74" s="137">
        <v>6610</v>
      </c>
      <c r="H74" s="104"/>
      <c r="I74" s="104">
        <f t="shared" si="28"/>
        <v>0</v>
      </c>
      <c r="J74" s="104">
        <f t="shared" si="29"/>
        <v>0</v>
      </c>
      <c r="K74" s="105">
        <f t="shared" si="30"/>
        <v>0</v>
      </c>
      <c r="L74" s="106">
        <f t="shared" si="31"/>
        <v>0</v>
      </c>
      <c r="M74" s="136"/>
      <c r="N74" s="136"/>
      <c r="O74" s="136"/>
    </row>
    <row r="75" spans="1:15" s="128" customFormat="1" ht="25.5" customHeight="1" thickBot="1" x14ac:dyDescent="0.25">
      <c r="A75" s="203">
        <v>3.5</v>
      </c>
      <c r="B75" s="389" t="s">
        <v>185</v>
      </c>
      <c r="C75" s="390"/>
      <c r="D75" s="201">
        <v>1</v>
      </c>
      <c r="E75" s="133" t="s">
        <v>9</v>
      </c>
      <c r="F75" s="134">
        <v>0</v>
      </c>
      <c r="G75" s="137">
        <v>12394</v>
      </c>
      <c r="H75" s="104"/>
      <c r="I75" s="104">
        <f t="shared" si="28"/>
        <v>0</v>
      </c>
      <c r="J75" s="104">
        <f t="shared" si="29"/>
        <v>0</v>
      </c>
      <c r="K75" s="105">
        <f t="shared" si="30"/>
        <v>0</v>
      </c>
      <c r="L75" s="106">
        <f t="shared" si="31"/>
        <v>0</v>
      </c>
      <c r="M75" s="136"/>
      <c r="N75" s="136"/>
      <c r="O75" s="136"/>
    </row>
    <row r="76" spans="1:15" s="128" customFormat="1" ht="15" customHeight="1" thickBot="1" x14ac:dyDescent="0.25">
      <c r="A76" s="376" t="s">
        <v>13</v>
      </c>
      <c r="B76" s="377"/>
      <c r="C76" s="377"/>
      <c r="D76" s="377"/>
      <c r="E76" s="378"/>
      <c r="F76" s="159"/>
      <c r="G76" s="160">
        <f>SUM(G58:G75)</f>
        <v>24456</v>
      </c>
      <c r="H76" s="159"/>
      <c r="I76" s="160">
        <f>SUM(I58:I75)</f>
        <v>242807.4</v>
      </c>
      <c r="J76" s="161"/>
      <c r="K76" s="160">
        <f>SUM(K58:K75)</f>
        <v>51739.7</v>
      </c>
      <c r="L76" s="160">
        <f>SUM(L58:L75)</f>
        <v>294547.09999999998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384" t="s">
        <v>187</v>
      </c>
      <c r="C78" s="385"/>
      <c r="D78" s="211">
        <v>3</v>
      </c>
      <c r="E78" s="211" t="s">
        <v>6</v>
      </c>
      <c r="F78" s="134">
        <v>133854</v>
      </c>
      <c r="G78" s="137">
        <v>8263</v>
      </c>
      <c r="H78" s="104"/>
      <c r="I78" s="104">
        <f t="shared" ref="I78:I86" si="32">H78*F78</f>
        <v>0</v>
      </c>
      <c r="J78" s="104">
        <f t="shared" ref="J78:J86" si="33">H78</f>
        <v>0</v>
      </c>
      <c r="K78" s="105">
        <f t="shared" ref="K78:K86" si="34">J78*G78</f>
        <v>0</v>
      </c>
      <c r="L78" s="106">
        <f t="shared" ref="L78:L86" si="35">K78+I78</f>
        <v>0</v>
      </c>
      <c r="M78" s="136"/>
      <c r="N78" s="136"/>
      <c r="O78" s="136"/>
    </row>
    <row r="79" spans="1:15" s="128" customFormat="1" ht="25.5" customHeight="1" x14ac:dyDescent="0.2">
      <c r="A79" s="210">
        <v>4.2</v>
      </c>
      <c r="B79" s="384" t="s">
        <v>188</v>
      </c>
      <c r="C79" s="385"/>
      <c r="D79" s="211">
        <v>3</v>
      </c>
      <c r="E79" s="211" t="s">
        <v>6</v>
      </c>
      <c r="F79" s="134">
        <v>82626</v>
      </c>
      <c r="G79" s="137">
        <v>6610</v>
      </c>
      <c r="H79" s="104"/>
      <c r="I79" s="104">
        <f t="shared" si="32"/>
        <v>0</v>
      </c>
      <c r="J79" s="104">
        <f t="shared" si="33"/>
        <v>0</v>
      </c>
      <c r="K79" s="105">
        <f t="shared" si="34"/>
        <v>0</v>
      </c>
      <c r="L79" s="106">
        <f t="shared" si="35"/>
        <v>0</v>
      </c>
      <c r="M79" s="136"/>
      <c r="N79" s="136"/>
      <c r="O79" s="136"/>
    </row>
    <row r="80" spans="1:15" s="128" customFormat="1" ht="25.5" customHeight="1" x14ac:dyDescent="0.2">
      <c r="A80" s="210">
        <v>4.3</v>
      </c>
      <c r="B80" s="384" t="s">
        <v>189</v>
      </c>
      <c r="C80" s="385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384" t="s">
        <v>190</v>
      </c>
      <c r="C81" s="385"/>
      <c r="D81" s="211">
        <v>1</v>
      </c>
      <c r="E81" s="211" t="s">
        <v>7</v>
      </c>
      <c r="F81" s="134">
        <v>59491</v>
      </c>
      <c r="G81" s="137">
        <v>4958</v>
      </c>
      <c r="H81" s="104"/>
      <c r="I81" s="104">
        <f t="shared" si="32"/>
        <v>0</v>
      </c>
      <c r="J81" s="104">
        <f t="shared" si="33"/>
        <v>0</v>
      </c>
      <c r="K81" s="105">
        <f t="shared" si="34"/>
        <v>0</v>
      </c>
      <c r="L81" s="106">
        <f t="shared" si="35"/>
        <v>0</v>
      </c>
      <c r="M81" s="136"/>
      <c r="N81" s="136"/>
      <c r="O81" s="136"/>
    </row>
    <row r="82" spans="1:15" s="128" customFormat="1" ht="25.5" customHeight="1" x14ac:dyDescent="0.2">
      <c r="A82" s="210">
        <v>4.5</v>
      </c>
      <c r="B82" s="384" t="s">
        <v>191</v>
      </c>
      <c r="C82" s="385"/>
      <c r="D82" s="211">
        <v>3</v>
      </c>
      <c r="E82" s="211" t="s">
        <v>6</v>
      </c>
      <c r="F82" s="134">
        <v>11981</v>
      </c>
      <c r="G82" s="137">
        <v>826</v>
      </c>
      <c r="H82" s="104"/>
      <c r="I82" s="104">
        <f t="shared" si="32"/>
        <v>0</v>
      </c>
      <c r="J82" s="104">
        <f t="shared" si="33"/>
        <v>0</v>
      </c>
      <c r="K82" s="105">
        <f t="shared" si="34"/>
        <v>0</v>
      </c>
      <c r="L82" s="106">
        <f t="shared" si="35"/>
        <v>0</v>
      </c>
      <c r="M82" s="136"/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/>
      <c r="I83" s="104">
        <f t="shared" si="32"/>
        <v>0</v>
      </c>
      <c r="J83" s="104">
        <f t="shared" si="33"/>
        <v>0</v>
      </c>
      <c r="K83" s="105">
        <f t="shared" si="34"/>
        <v>0</v>
      </c>
      <c r="L83" s="106">
        <f t="shared" si="35"/>
        <v>0</v>
      </c>
      <c r="M83" s="136"/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/>
      <c r="I84" s="104">
        <f t="shared" si="32"/>
        <v>0</v>
      </c>
      <c r="J84" s="104">
        <f t="shared" si="33"/>
        <v>0</v>
      </c>
      <c r="K84" s="105">
        <f t="shared" si="34"/>
        <v>0</v>
      </c>
      <c r="L84" s="106">
        <f t="shared" si="35"/>
        <v>0</v>
      </c>
      <c r="M84" s="136"/>
      <c r="N84" s="136"/>
      <c r="O84" s="136"/>
    </row>
    <row r="85" spans="1:15" s="128" customFormat="1" ht="25.5" customHeight="1" x14ac:dyDescent="0.2">
      <c r="A85" s="210">
        <v>4.8</v>
      </c>
      <c r="B85" s="389" t="s">
        <v>194</v>
      </c>
      <c r="C85" s="390"/>
      <c r="D85" s="214">
        <v>1</v>
      </c>
      <c r="E85" s="215" t="s">
        <v>7</v>
      </c>
      <c r="F85" s="134">
        <v>8474</v>
      </c>
      <c r="G85" s="137">
        <v>826</v>
      </c>
      <c r="H85" s="104"/>
      <c r="I85" s="104">
        <f t="shared" si="32"/>
        <v>0</v>
      </c>
      <c r="J85" s="104">
        <f t="shared" si="33"/>
        <v>0</v>
      </c>
      <c r="K85" s="105">
        <f t="shared" si="34"/>
        <v>0</v>
      </c>
      <c r="L85" s="106">
        <f t="shared" si="35"/>
        <v>0</v>
      </c>
      <c r="M85" s="136"/>
      <c r="N85" s="136"/>
      <c r="O85" s="136"/>
    </row>
    <row r="86" spans="1:15" s="174" customFormat="1" ht="25.5" customHeight="1" thickBot="1" x14ac:dyDescent="0.25">
      <c r="A86" s="210">
        <v>4.9000000000000004</v>
      </c>
      <c r="B86" s="384" t="s">
        <v>195</v>
      </c>
      <c r="C86" s="385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76" t="s">
        <v>13</v>
      </c>
      <c r="B87" s="377"/>
      <c r="C87" s="377"/>
      <c r="D87" s="377"/>
      <c r="E87" s="378"/>
      <c r="F87" s="159"/>
      <c r="G87" s="160">
        <f>SUM(G78:G86)</f>
        <v>31811</v>
      </c>
      <c r="H87" s="159"/>
      <c r="I87" s="160">
        <f>SUM(I78:I86)</f>
        <v>0</v>
      </c>
      <c r="J87" s="161"/>
      <c r="K87" s="160">
        <f>SUM(K78:K86)</f>
        <v>0</v>
      </c>
      <c r="L87" s="160">
        <f>SUM(L78:L86)</f>
        <v>0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>
        <v>1</v>
      </c>
      <c r="I89" s="104">
        <f t="shared" ref="I89:I93" si="36">H89*F89</f>
        <v>24788</v>
      </c>
      <c r="J89" s="104">
        <f t="shared" ref="J89:J93" si="37">H89</f>
        <v>1</v>
      </c>
      <c r="K89" s="105">
        <f t="shared" ref="K89:K93" si="38">J89*G89</f>
        <v>41313</v>
      </c>
      <c r="L89" s="106">
        <f t="shared" ref="L89:L93" si="39">K89+I89</f>
        <v>66101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>
        <v>1</v>
      </c>
      <c r="I90" s="104">
        <f t="shared" si="36"/>
        <v>0</v>
      </c>
      <c r="J90" s="104">
        <f t="shared" si="37"/>
        <v>1</v>
      </c>
      <c r="K90" s="105">
        <f t="shared" si="38"/>
        <v>12394</v>
      </c>
      <c r="L90" s="106">
        <f t="shared" si="39"/>
        <v>12394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/>
      <c r="I91" s="104">
        <f t="shared" si="36"/>
        <v>0</v>
      </c>
      <c r="J91" s="104">
        <f t="shared" si="37"/>
        <v>0</v>
      </c>
      <c r="K91" s="105">
        <f t="shared" si="38"/>
        <v>0</v>
      </c>
      <c r="L91" s="106">
        <f t="shared" si="39"/>
        <v>0</v>
      </c>
      <c r="M91" s="136"/>
      <c r="N91" s="136"/>
      <c r="O91" s="136"/>
    </row>
    <row r="92" spans="1:15" s="128" customFormat="1" ht="25.35" customHeight="1" x14ac:dyDescent="0.2">
      <c r="A92" s="221">
        <v>5.4</v>
      </c>
      <c r="B92" s="379" t="s">
        <v>197</v>
      </c>
      <c r="C92" s="380"/>
      <c r="D92" s="201">
        <v>1</v>
      </c>
      <c r="E92" s="215" t="s">
        <v>9</v>
      </c>
      <c r="F92" s="134">
        <v>16525</v>
      </c>
      <c r="G92" s="137">
        <v>2479</v>
      </c>
      <c r="H92" s="104"/>
      <c r="I92" s="104">
        <f t="shared" si="36"/>
        <v>0</v>
      </c>
      <c r="J92" s="104">
        <f t="shared" si="37"/>
        <v>0</v>
      </c>
      <c r="K92" s="105">
        <f t="shared" si="38"/>
        <v>0</v>
      </c>
      <c r="L92" s="106">
        <f t="shared" si="39"/>
        <v>0</v>
      </c>
      <c r="M92" s="136"/>
      <c r="N92" s="136"/>
      <c r="O92" s="136"/>
    </row>
    <row r="93" spans="1:15" s="128" customFormat="1" ht="25.35" customHeight="1" thickBot="1" x14ac:dyDescent="0.25">
      <c r="A93" s="221">
        <v>5.5</v>
      </c>
      <c r="B93" s="379" t="s">
        <v>198</v>
      </c>
      <c r="C93" s="380"/>
      <c r="D93" s="201">
        <v>1</v>
      </c>
      <c r="E93" s="215" t="s">
        <v>9</v>
      </c>
      <c r="F93" s="134">
        <v>0</v>
      </c>
      <c r="G93" s="137">
        <v>9915</v>
      </c>
      <c r="H93" s="104">
        <v>1</v>
      </c>
      <c r="I93" s="104">
        <f t="shared" si="36"/>
        <v>0</v>
      </c>
      <c r="J93" s="104">
        <f t="shared" si="37"/>
        <v>1</v>
      </c>
      <c r="K93" s="105">
        <f t="shared" si="38"/>
        <v>9915</v>
      </c>
      <c r="L93" s="106">
        <f t="shared" si="39"/>
        <v>9915</v>
      </c>
      <c r="M93" s="136"/>
      <c r="N93" s="136"/>
      <c r="O93" s="136"/>
    </row>
    <row r="94" spans="1:15" s="128" customFormat="1" ht="15" customHeight="1" thickBot="1" x14ac:dyDescent="0.25">
      <c r="A94" s="381" t="s">
        <v>13</v>
      </c>
      <c r="B94" s="382"/>
      <c r="C94" s="382"/>
      <c r="D94" s="382"/>
      <c r="E94" s="383"/>
      <c r="F94" s="224"/>
      <c r="G94" s="160"/>
      <c r="H94" s="224"/>
      <c r="I94" s="160">
        <f>SUM(I89:I93)</f>
        <v>24788</v>
      </c>
      <c r="J94" s="225"/>
      <c r="K94" s="160">
        <f>SUM(K89:K93)</f>
        <v>63622</v>
      </c>
      <c r="L94" s="160">
        <f>SUM(L89:L93)</f>
        <v>88410</v>
      </c>
      <c r="M94" s="136"/>
      <c r="N94" s="136"/>
      <c r="O94" s="136"/>
    </row>
    <row r="95" spans="1:15" s="128" customFormat="1" ht="15" customHeight="1" thickBot="1" x14ac:dyDescent="0.25">
      <c r="A95" s="381" t="s">
        <v>103</v>
      </c>
      <c r="B95" s="382"/>
      <c r="C95" s="382"/>
      <c r="D95" s="382"/>
      <c r="E95" s="383"/>
      <c r="F95" s="224"/>
      <c r="G95" s="160"/>
      <c r="H95" s="224"/>
      <c r="I95" s="160">
        <f>I94+I87+I76+I55+I32</f>
        <v>1132090</v>
      </c>
      <c r="J95" s="225"/>
      <c r="K95" s="160">
        <f>K94+K87+K76+K55+K32</f>
        <v>242479.2</v>
      </c>
      <c r="L95" s="160">
        <f>L94+L87+L76+L55+L32</f>
        <v>1374569.2</v>
      </c>
    </row>
  </sheetData>
  <mergeCells count="42">
    <mergeCell ref="A55:E55"/>
    <mergeCell ref="A1:C1"/>
    <mergeCell ref="A4:K4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  <mergeCell ref="B85:C85"/>
    <mergeCell ref="A6:A8"/>
    <mergeCell ref="D6:G6"/>
    <mergeCell ref="A87:E87"/>
    <mergeCell ref="B92:C92"/>
    <mergeCell ref="B93:C93"/>
    <mergeCell ref="B57:K57"/>
    <mergeCell ref="B10:K10"/>
    <mergeCell ref="B27:C27"/>
    <mergeCell ref="B28:C28"/>
    <mergeCell ref="B29:C29"/>
    <mergeCell ref="B30:C30"/>
    <mergeCell ref="B31:C31"/>
    <mergeCell ref="A32:E32"/>
    <mergeCell ref="B51:C51"/>
    <mergeCell ref="B52:C52"/>
    <mergeCell ref="B54:C54"/>
    <mergeCell ref="H6:L6"/>
    <mergeCell ref="H7:I7"/>
    <mergeCell ref="J7:K7"/>
    <mergeCell ref="L7:L8"/>
    <mergeCell ref="B6:C8"/>
    <mergeCell ref="D7:D8"/>
    <mergeCell ref="E7:E8"/>
    <mergeCell ref="F7:F8"/>
    <mergeCell ref="G7:G8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2024-02-20T12:37:59Z</cp:lastPrinted>
  <dcterms:created xsi:type="dcterms:W3CDTF">1996-06-15T06:21:35Z</dcterms:created>
  <dcterms:modified xsi:type="dcterms:W3CDTF">2024-02-20T13:16:47Z</dcterms:modified>
</cp:coreProperties>
</file>