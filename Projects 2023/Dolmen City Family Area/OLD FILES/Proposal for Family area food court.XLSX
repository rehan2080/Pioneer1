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ioneer\Projects 2023\Dolmen City Family Area\"/>
    </mc:Choice>
  </mc:AlternateContent>
  <xr:revisionPtr revIDLastSave="0" documentId="13_ncr:1_{014BC734-EFE6-4D74-B5B1-B0C620DBD9FD}" xr6:coauthVersionLast="47" xr6:coauthVersionMax="47" xr10:uidLastSave="{00000000-0000-0000-0000-000000000000}"/>
  <bookViews>
    <workbookView xWindow="-120" yWindow="-120" windowWidth="29040" windowHeight="15840" tabRatio="861" xr2:uid="{00000000-000D-0000-FFFF-FFFF00000000}"/>
  </bookViews>
  <sheets>
    <sheet name="SUMM" sheetId="32" r:id="rId1"/>
    <sheet name="HVAC" sheetId="33" r:id="rId2"/>
    <sheet name="Plumbing" sheetId="35" r:id="rId3"/>
    <sheet name="Fire" sheetId="3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\c" localSheetId="3">Fire!#REF!</definedName>
    <definedName name="\\c" localSheetId="1">HVAC!#REF!</definedName>
    <definedName name="\\c" localSheetId="2">Plumbing!#REF!</definedName>
    <definedName name="\\c" localSheetId="0">SUMM!#REF!</definedName>
    <definedName name="\\c">#REF!</definedName>
    <definedName name="\\x" localSheetId="3">Fire!#REF!</definedName>
    <definedName name="\\x" localSheetId="1">HVAC!#REF!</definedName>
    <definedName name="\\x" localSheetId="2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2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3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3">Fire!$A$1:$J$89</definedName>
    <definedName name="_xlnm.Print_Area" localSheetId="1">HVAC!$A$1:$L$87</definedName>
    <definedName name="_xlnm.Print_Area" localSheetId="2">Plumbing!$A$1:$K$97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3">Fire!$1:$10</definedName>
    <definedName name="_xlnm.Print_Titles" localSheetId="1">HVAC!$1:$10</definedName>
    <definedName name="_xlnm.Print_Titles" localSheetId="2">Plumbing!$1:$10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E12" i="32" l="1"/>
  <c r="D10" i="32" l="1"/>
  <c r="C10" i="32"/>
  <c r="D8" i="32"/>
  <c r="C8" i="32"/>
  <c r="D6" i="32"/>
  <c r="E6" i="32" s="1"/>
  <c r="C6" i="32"/>
  <c r="E10" i="32" l="1"/>
  <c r="E8" i="32"/>
  <c r="F90" i="36"/>
  <c r="H90" i="36"/>
  <c r="G97" i="35"/>
  <c r="I97" i="35"/>
  <c r="H88" i="33"/>
  <c r="J88" i="33"/>
  <c r="L88" i="33"/>
  <c r="H88" i="36"/>
  <c r="J88" i="36" s="1"/>
  <c r="F88" i="36"/>
  <c r="H87" i="36"/>
  <c r="J87" i="36" s="1"/>
  <c r="F87" i="36"/>
  <c r="J86" i="36"/>
  <c r="H86" i="36"/>
  <c r="F86" i="36"/>
  <c r="H85" i="36"/>
  <c r="J85" i="36" s="1"/>
  <c r="F85" i="36"/>
  <c r="H84" i="36"/>
  <c r="J84" i="36" s="1"/>
  <c r="F84" i="36"/>
  <c r="H83" i="36"/>
  <c r="J83" i="36" s="1"/>
  <c r="F83" i="36"/>
  <c r="J80" i="36"/>
  <c r="H80" i="36"/>
  <c r="F80" i="36"/>
  <c r="H76" i="36"/>
  <c r="J76" i="36" s="1"/>
  <c r="F76" i="36"/>
  <c r="F75" i="36"/>
  <c r="C75" i="36"/>
  <c r="H75" i="36" s="1"/>
  <c r="J75" i="36" s="1"/>
  <c r="F74" i="36"/>
  <c r="C74" i="36"/>
  <c r="H74" i="36" s="1"/>
  <c r="J74" i="36" s="1"/>
  <c r="F73" i="36"/>
  <c r="C73" i="36"/>
  <c r="H73" i="36" s="1"/>
  <c r="J73" i="36" s="1"/>
  <c r="H62" i="36"/>
  <c r="J62" i="36" s="1"/>
  <c r="F62" i="36"/>
  <c r="H59" i="36"/>
  <c r="J59" i="36" s="1"/>
  <c r="F59" i="36"/>
  <c r="J58" i="36"/>
  <c r="H58" i="36"/>
  <c r="F58" i="36"/>
  <c r="H57" i="36"/>
  <c r="J57" i="36" s="1"/>
  <c r="F57" i="36"/>
  <c r="H34" i="36"/>
  <c r="J34" i="36" s="1"/>
  <c r="F34" i="36"/>
  <c r="H33" i="36"/>
  <c r="J33" i="36" s="1"/>
  <c r="F33" i="36"/>
  <c r="J32" i="36"/>
  <c r="H32" i="36"/>
  <c r="F32" i="36"/>
  <c r="H20" i="36"/>
  <c r="J20" i="36" s="1"/>
  <c r="F20" i="36"/>
  <c r="F17" i="36"/>
  <c r="C17" i="36"/>
  <c r="H17" i="36" s="1"/>
  <c r="J17" i="36" s="1"/>
  <c r="H13" i="36"/>
  <c r="J13" i="36" s="1"/>
  <c r="F13" i="36"/>
  <c r="H12" i="36"/>
  <c r="J12" i="36" s="1"/>
  <c r="F12" i="36"/>
  <c r="I95" i="35"/>
  <c r="K95" i="35" s="1"/>
  <c r="G95" i="35"/>
  <c r="I94" i="35"/>
  <c r="K94" i="35" s="1"/>
  <c r="G94" i="35"/>
  <c r="K93" i="35"/>
  <c r="I93" i="35"/>
  <c r="G93" i="35"/>
  <c r="I92" i="35"/>
  <c r="K92" i="35" s="1"/>
  <c r="G92" i="35"/>
  <c r="I91" i="35"/>
  <c r="K91" i="35" s="1"/>
  <c r="G91" i="35"/>
  <c r="I88" i="35"/>
  <c r="K88" i="35" s="1"/>
  <c r="G88" i="35"/>
  <c r="K87" i="35"/>
  <c r="I87" i="35"/>
  <c r="G87" i="35"/>
  <c r="I86" i="35"/>
  <c r="K86" i="35" s="1"/>
  <c r="G86" i="35"/>
  <c r="I85" i="35"/>
  <c r="K85" i="35" s="1"/>
  <c r="G85" i="35"/>
  <c r="I84" i="35"/>
  <c r="K84" i="35" s="1"/>
  <c r="G84" i="35"/>
  <c r="K83" i="35"/>
  <c r="I83" i="35"/>
  <c r="G83" i="35"/>
  <c r="I82" i="35"/>
  <c r="K82" i="35" s="1"/>
  <c r="G82" i="35"/>
  <c r="I81" i="35"/>
  <c r="K81" i="35" s="1"/>
  <c r="G81" i="35"/>
  <c r="I80" i="35"/>
  <c r="K80" i="35" s="1"/>
  <c r="G80" i="35"/>
  <c r="K77" i="35"/>
  <c r="I77" i="35"/>
  <c r="G77" i="35"/>
  <c r="I76" i="35"/>
  <c r="K76" i="35" s="1"/>
  <c r="G76" i="35"/>
  <c r="I75" i="35"/>
  <c r="K75" i="35" s="1"/>
  <c r="G75" i="35"/>
  <c r="I73" i="35"/>
  <c r="K73" i="35" s="1"/>
  <c r="G73" i="35"/>
  <c r="K71" i="35"/>
  <c r="I71" i="35"/>
  <c r="G71" i="35"/>
  <c r="I68" i="35"/>
  <c r="K68" i="35" s="1"/>
  <c r="G68" i="35"/>
  <c r="I67" i="35"/>
  <c r="K67" i="35" s="1"/>
  <c r="G67" i="35"/>
  <c r="I63" i="35"/>
  <c r="K63" i="35" s="1"/>
  <c r="G63" i="35"/>
  <c r="K61" i="35"/>
  <c r="I61" i="35"/>
  <c r="G61" i="35"/>
  <c r="I60" i="35"/>
  <c r="K60" i="35" s="1"/>
  <c r="G60" i="35"/>
  <c r="I56" i="35"/>
  <c r="K56" i="35" s="1"/>
  <c r="G56" i="35"/>
  <c r="I54" i="35"/>
  <c r="K54" i="35" s="1"/>
  <c r="G54" i="35"/>
  <c r="K53" i="35"/>
  <c r="I53" i="35"/>
  <c r="G53" i="35"/>
  <c r="D52" i="35"/>
  <c r="D51" i="35"/>
  <c r="I51" i="35" s="1"/>
  <c r="K48" i="35"/>
  <c r="I48" i="35"/>
  <c r="G48" i="35"/>
  <c r="I45" i="35"/>
  <c r="D45" i="35"/>
  <c r="G45" i="35" s="1"/>
  <c r="I42" i="35"/>
  <c r="K42" i="35" s="1"/>
  <c r="G42" i="35"/>
  <c r="I38" i="35"/>
  <c r="K38" i="35" s="1"/>
  <c r="G38" i="35"/>
  <c r="I33" i="35"/>
  <c r="K33" i="35" s="1"/>
  <c r="G33" i="35"/>
  <c r="K32" i="35"/>
  <c r="I32" i="35"/>
  <c r="G32" i="35"/>
  <c r="I31" i="35"/>
  <c r="K31" i="35" s="1"/>
  <c r="G31" i="35"/>
  <c r="I30" i="35"/>
  <c r="K30" i="35" s="1"/>
  <c r="G30" i="35"/>
  <c r="I29" i="35"/>
  <c r="K29" i="35" s="1"/>
  <c r="G29" i="35"/>
  <c r="K28" i="35"/>
  <c r="I28" i="35"/>
  <c r="G28" i="35"/>
  <c r="I26" i="35"/>
  <c r="K26" i="35" s="1"/>
  <c r="G26" i="35"/>
  <c r="I24" i="35"/>
  <c r="K24" i="35" s="1"/>
  <c r="G24" i="35"/>
  <c r="I23" i="35"/>
  <c r="K23" i="35" s="1"/>
  <c r="G23" i="35"/>
  <c r="K18" i="35"/>
  <c r="I18" i="35"/>
  <c r="G18" i="35"/>
  <c r="I17" i="35"/>
  <c r="K17" i="35" s="1"/>
  <c r="G17" i="35"/>
  <c r="I16" i="35"/>
  <c r="K16" i="35" s="1"/>
  <c r="G16" i="35"/>
  <c r="I15" i="35"/>
  <c r="K15" i="35" s="1"/>
  <c r="G15" i="35"/>
  <c r="K14" i="35"/>
  <c r="I14" i="35"/>
  <c r="G14" i="35"/>
  <c r="E14" i="32" l="1"/>
  <c r="E19" i="32" s="1"/>
  <c r="J90" i="36"/>
  <c r="K45" i="35"/>
  <c r="G51" i="35"/>
  <c r="K51" i="35" s="1"/>
  <c r="K97" i="35" l="1"/>
  <c r="J86" i="33" l="1"/>
  <c r="H86" i="33"/>
  <c r="J85" i="33"/>
  <c r="H85" i="33"/>
  <c r="J84" i="33"/>
  <c r="H84" i="33"/>
  <c r="J83" i="33"/>
  <c r="H83" i="33"/>
  <c r="J80" i="33"/>
  <c r="H80" i="33"/>
  <c r="J79" i="33"/>
  <c r="H79" i="33"/>
  <c r="J76" i="33"/>
  <c r="H76" i="33"/>
  <c r="J75" i="33"/>
  <c r="H75" i="33"/>
  <c r="L75" i="33" s="1"/>
  <c r="J74" i="33"/>
  <c r="H74" i="33"/>
  <c r="J71" i="33"/>
  <c r="H71" i="33"/>
  <c r="J68" i="33"/>
  <c r="H68" i="33"/>
  <c r="J67" i="33"/>
  <c r="H67" i="33"/>
  <c r="J66" i="33"/>
  <c r="H66" i="33"/>
  <c r="J65" i="33"/>
  <c r="H65" i="33"/>
  <c r="L65" i="33" s="1"/>
  <c r="J62" i="33"/>
  <c r="L62" i="33" s="1"/>
  <c r="H62" i="33"/>
  <c r="J61" i="33"/>
  <c r="H61" i="33"/>
  <c r="L61" i="33" s="1"/>
  <c r="J58" i="33"/>
  <c r="H58" i="33"/>
  <c r="J56" i="33"/>
  <c r="H56" i="33"/>
  <c r="J55" i="33"/>
  <c r="H55" i="33"/>
  <c r="J54" i="33"/>
  <c r="L54" i="33" s="1"/>
  <c r="H54" i="33"/>
  <c r="J53" i="33"/>
  <c r="H53" i="33"/>
  <c r="J52" i="33"/>
  <c r="L52" i="33" s="1"/>
  <c r="H52" i="33"/>
  <c r="J51" i="33"/>
  <c r="H51" i="33"/>
  <c r="L51" i="33" s="1"/>
  <c r="J50" i="33"/>
  <c r="H50" i="33"/>
  <c r="J49" i="33"/>
  <c r="H49" i="33"/>
  <c r="J47" i="33"/>
  <c r="H47" i="33"/>
  <c r="J46" i="33"/>
  <c r="H46" i="33"/>
  <c r="J45" i="33"/>
  <c r="H45" i="33"/>
  <c r="J43" i="33"/>
  <c r="H43" i="33"/>
  <c r="L43" i="33" s="1"/>
  <c r="J42" i="33"/>
  <c r="H42" i="33"/>
  <c r="L42" i="33" s="1"/>
  <c r="J41" i="33"/>
  <c r="L41" i="33" s="1"/>
  <c r="H41" i="33"/>
  <c r="J40" i="33"/>
  <c r="H40" i="33"/>
  <c r="J39" i="33"/>
  <c r="H39" i="33"/>
  <c r="J38" i="33"/>
  <c r="H38" i="33"/>
  <c r="L38" i="33" s="1"/>
  <c r="J37" i="33"/>
  <c r="H37" i="33"/>
  <c r="J33" i="33"/>
  <c r="H33" i="33"/>
  <c r="J32" i="33"/>
  <c r="H32" i="33"/>
  <c r="J29" i="33"/>
  <c r="H29" i="33"/>
  <c r="J28" i="33"/>
  <c r="H28" i="33"/>
  <c r="J25" i="33"/>
  <c r="H25" i="33"/>
  <c r="J24" i="33"/>
  <c r="H24" i="33"/>
  <c r="L24" i="33" s="1"/>
  <c r="J23" i="33"/>
  <c r="L23" i="33" s="1"/>
  <c r="H23" i="33"/>
  <c r="J22" i="33"/>
  <c r="H22" i="33"/>
  <c r="J21" i="33"/>
  <c r="H21" i="33"/>
  <c r="J20" i="33"/>
  <c r="H20" i="33"/>
  <c r="L20" i="33" s="1"/>
  <c r="J19" i="33"/>
  <c r="H19" i="33"/>
  <c r="J18" i="33"/>
  <c r="H18" i="33"/>
  <c r="J15" i="33"/>
  <c r="H15" i="33"/>
  <c r="J14" i="33"/>
  <c r="H14" i="33"/>
  <c r="J13" i="33"/>
  <c r="H13" i="33"/>
  <c r="L29" i="33" l="1"/>
  <c r="L28" i="33"/>
  <c r="L21" i="33"/>
  <c r="L86" i="33"/>
  <c r="L85" i="33"/>
  <c r="L84" i="33"/>
  <c r="L83" i="33"/>
  <c r="L80" i="33"/>
  <c r="L79" i="33"/>
  <c r="L76" i="33"/>
  <c r="L74" i="33"/>
  <c r="L71" i="33"/>
  <c r="L68" i="33"/>
  <c r="L67" i="33"/>
  <c r="L66" i="33"/>
  <c r="L58" i="33"/>
  <c r="L55" i="33"/>
  <c r="L56" i="33"/>
  <c r="L53" i="33"/>
  <c r="L50" i="33"/>
  <c r="L49" i="33"/>
  <c r="L46" i="33"/>
  <c r="L47" i="33"/>
  <c r="L45" i="33"/>
  <c r="L39" i="33"/>
  <c r="L40" i="33"/>
  <c r="L37" i="33"/>
  <c r="L33" i="33"/>
  <c r="L32" i="33"/>
  <c r="L25" i="33"/>
  <c r="L22" i="33"/>
  <c r="L19" i="33"/>
  <c r="L18" i="33"/>
  <c r="L13" i="33"/>
  <c r="L15" i="33"/>
  <c r="L14" i="33"/>
  <c r="E32" i="33"/>
  <c r="E33" i="33"/>
</calcChain>
</file>

<file path=xl/sharedStrings.xml><?xml version="1.0" encoding="utf-8"?>
<sst xmlns="http://schemas.openxmlformats.org/spreadsheetml/2006/main" count="814" uniqueCount="297">
  <si>
    <t>RATE</t>
  </si>
  <si>
    <t>UNIT</t>
  </si>
  <si>
    <t>ITEM NO.</t>
  </si>
  <si>
    <t>DESCRIPTION</t>
  </si>
  <si>
    <t>MISCELLANEOUS</t>
  </si>
  <si>
    <t>BILL OF QUANTITIES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</si>
  <si>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</si>
  <si>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</si>
  <si>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</si>
  <si>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</si>
  <si>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</si>
  <si>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</si>
  <si>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</si>
  <si>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</si>
  <si>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</si>
  <si>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</si>
  <si>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ESTIMATED QUANTITY</t>
  </si>
  <si>
    <t>MATERIAL</t>
  </si>
  <si>
    <t>INSTALLATION</t>
  </si>
  <si>
    <t>TOTAL</t>
  </si>
  <si>
    <t>AMOUNT</t>
  </si>
  <si>
    <t>(Rs.)</t>
  </si>
  <si>
    <t>(3) x (5)</t>
  </si>
  <si>
    <t>(3) x (7)</t>
  </si>
  <si>
    <t>(5) + (7)</t>
  </si>
  <si>
    <t>(6) + (8)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</si>
  <si>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</si>
  <si>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</si>
  <si>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</si>
  <si>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</si>
  <si>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</si>
  <si>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</si>
  <si>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</si>
  <si>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</si>
  <si>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</si>
  <si>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</si>
  <si>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</si>
  <si>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</si>
  <si>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</si>
  <si>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</si>
  <si>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</si>
  <si>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</si>
  <si>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</si>
  <si>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</si>
  <si>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</si>
  <si>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</si>
  <si>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</si>
  <si>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</si>
  <si>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</si>
  <si>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</si>
  <si>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</si>
  <si>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</si>
  <si>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</si>
  <si>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</si>
  <si>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</si>
  <si>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</si>
  <si>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</si>
  <si>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</si>
  <si>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</si>
  <si>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</si>
  <si>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</si>
  <si>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</si>
  <si>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</si>
  <si>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</si>
  <si>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</si>
  <si>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</si>
  <si>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</si>
  <si>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</si>
  <si>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</si>
  <si>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</si>
  <si>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</si>
  <si>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</si>
  <si>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</si>
  <si>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 xml:space="preserve"> BILL OF QUANTITIES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</si>
  <si>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</si>
  <si>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</si>
  <si>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</si>
  <si>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</si>
  <si>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</si>
  <si>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</si>
  <si>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</si>
  <si>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</si>
  <si>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</si>
  <si>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</si>
  <si>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</si>
  <si>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</si>
  <si>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</si>
  <si>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</si>
  <si>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</si>
  <si>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</si>
  <si>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</si>
  <si>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</si>
  <si>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</si>
  <si>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</si>
  <si>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</si>
  <si>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</si>
  <si>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</si>
  <si>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DATED: APRIL 12, 2023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</si>
  <si>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</si>
  <si>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</si>
  <si>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</si>
  <si>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</si>
  <si>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</si>
  <si>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</si>
  <si>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</si>
  <si>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</si>
  <si>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</si>
  <si>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</si>
  <si>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</si>
  <si>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</si>
  <si>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</si>
  <si>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</si>
  <si>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</si>
  <si>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</si>
  <si>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</si>
  <si>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</si>
  <si>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</si>
  <si>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</si>
  <si>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</si>
  <si>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</si>
  <si>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</si>
  <si>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</si>
  <si>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</si>
  <si>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</si>
  <si>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</si>
  <si>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</si>
  <si>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>BILL OF QUANTITES</t>
  </si>
  <si>
    <t xml:space="preserve">PLUMBING WORKS </t>
  </si>
  <si>
    <t xml:space="preserve">DESCRIPTION            </t>
  </si>
  <si>
    <t xml:space="preserve">INSTALLATION </t>
  </si>
  <si>
    <t xml:space="preserve">TOTAL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</si>
  <si>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</si>
  <si>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</si>
  <si>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</si>
  <si>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</si>
  <si>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</si>
  <si>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</si>
  <si>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</si>
  <si>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</si>
  <si>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</si>
  <si>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</si>
  <si>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</si>
  <si>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</si>
  <si>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</si>
  <si>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</si>
  <si>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</si>
  <si>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</si>
  <si>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</si>
  <si>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</si>
  <si>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</si>
  <si>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</si>
  <si>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</si>
  <si>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</si>
  <si>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</si>
  <si>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</si>
  <si>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</si>
  <si>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</si>
  <si>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</si>
  <si>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</si>
  <si>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</si>
  <si>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</si>
  <si>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</si>
  <si>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</si>
  <si>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</si>
  <si>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</si>
  <si>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</si>
  <si>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</si>
  <si>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</si>
  <si>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</si>
  <si>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</si>
  <si>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</si>
  <si>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</si>
  <si>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</si>
  <si>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</si>
  <si>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</si>
  <si>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</si>
  <si>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</si>
  <si>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</si>
  <si>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</si>
  <si>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</si>
  <si>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</si>
  <si>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</si>
  <si>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</si>
  <si>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</si>
  <si>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</si>
  <si>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</si>
  <si>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</si>
  <si>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</si>
  <si>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</si>
  <si>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</si>
  <si>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</si>
  <si>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</si>
  <si>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</si>
  <si>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</si>
  <si>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</si>
  <si>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</si>
  <si>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</si>
  <si>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</si>
  <si>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</si>
  <si>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</si>
  <si>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</si>
  <si>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</si>
  <si>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</si>
  <si>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</si>
  <si>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</si>
  <si>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</si>
  <si>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</si>
  <si>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</si>
  <si>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</si>
  <si>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</si>
  <si>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</si>
  <si>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</si>
  <si>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</si>
  <si>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</si>
  <si>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</si>
  <si>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</si>
  <si>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</si>
  <si>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</si>
  <si>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</si>
  <si>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</si>
  <si>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</si>
  <si>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</si>
  <si>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</si>
  <si>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</si>
  <si>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</si>
  <si>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</si>
  <si>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</si>
  <si>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</si>
  <si>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</si>
  <si>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</si>
  <si>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</si>
  <si>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</si>
  <si>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</si>
  <si>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</si>
  <si>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</si>
  <si>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</si>
  <si>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</si>
  <si>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</si>
  <si>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</si>
  <si>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</si>
  <si>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</si>
  <si>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</si>
  <si>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</si>
  <si>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</si>
  <si>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</si>
  <si>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</si>
  <si>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</si>
  <si>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</si>
  <si>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</si>
  <si>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</si>
  <si>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</si>
  <si>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</si>
  <si>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</si>
  <si>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</si>
  <si>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</si>
  <si>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</si>
  <si>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</si>
  <si>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</si>
  <si>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</si>
  <si>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</si>
  <si>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</si>
  <si>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</si>
  <si>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</si>
  <si>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</si>
  <si>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</si>
  <si>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</si>
  <si>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</si>
  <si>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</si>
  <si>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</si>
  <si>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</si>
  <si>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</si>
  <si>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</si>
  <si>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</si>
  <si>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</si>
  <si>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</si>
  <si>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</si>
  <si>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</si>
  <si>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</si>
  <si>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</si>
  <si>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</si>
  <si>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</si>
  <si>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</si>
  <si>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</si>
  <si>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</si>
  <si>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</si>
  <si>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</si>
  <si>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</si>
  <si>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</si>
  <si>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r>
      <rPr>
        <b/>
        <sz val="9"/>
        <rFont val="Arial"/>
        <family val="2"/>
      </rPr>
      <t>SUMMARY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OF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COST</t>
    </r>
  </si>
  <si>
    <t xml:space="preserve">HVAC </t>
  </si>
  <si>
    <t>Fire Fighting</t>
  </si>
  <si>
    <t>Plumbing</t>
  </si>
  <si>
    <t>Material</t>
  </si>
  <si>
    <t>Labour</t>
  </si>
  <si>
    <t>Total Amount</t>
  </si>
  <si>
    <t xml:space="preserve">Discount on Plumbing </t>
  </si>
  <si>
    <t>Net Plumbing BOQ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</si>
</sst>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#,##0.0_);[Red]\(#,##0.0\)"/>
    <numFmt numFmtId="167" formatCode="#,##0.0"/>
  </numFmts>
  <fonts count="57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"/>
      <color rgb="FF0000FF"/>
      <name val="Arial Black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8"/>
      <color indexed="12"/>
      <name val="Arial Black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9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6" fontId="5" fillId="0" borderId="0" applyNumberFormat="0" applyAlignment="0">
      <alignment horizontal="left"/>
    </xf>
    <xf numFmtId="0" fontId="5" fillId="0" borderId="0" applyNumberFormat="0" applyAlignment="0"/>
    <xf numFmtId="166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0" fontId="4" fillId="0" borderId="0"/>
    <xf numFmtId="43" fontId="4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0" fontId="4" fillId="0" borderId="0"/>
    <xf numFmtId="164" fontId="29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7" fillId="0" borderId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8" fillId="0" borderId="0"/>
  </cellStyleXfs>
  <cellXfs count="528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38" fontId="8" fillId="0" borderId="0" xfId="1" applyNumberFormat="1" applyFont="1" applyAlignment="1">
      <alignment vertical="center"/>
    </xf>
    <xf numFmtId="166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8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9" fillId="0" borderId="18" xfId="0" applyFont="1" applyBorder="1" applyAlignment="1">
      <alignment horizontal="centerContinuous" vertical="center"/>
    </xf>
    <xf numFmtId="0" fontId="9" fillId="0" borderId="18" xfId="0" applyFont="1" applyBorder="1" applyAlignment="1">
      <alignment horizontal="right" vertical="center"/>
    </xf>
    <xf numFmtId="0" fontId="17" fillId="2" borderId="5" xfId="0" quotePrefix="1" applyFont="1" applyFill="1" applyBorder="1" applyAlignment="1">
      <alignment horizontal="center" vertical="center"/>
    </xf>
    <xf numFmtId="0" fontId="17" fillId="2" borderId="38" xfId="0" quotePrefix="1" applyFont="1" applyFill="1" applyBorder="1" applyAlignment="1">
      <alignment horizontal="center" vertical="center"/>
    </xf>
    <xf numFmtId="0" fontId="17" fillId="2" borderId="39" xfId="0" quotePrefix="1" applyFont="1" applyFill="1" applyBorder="1" applyAlignment="1">
      <alignment horizontal="center" vertical="center"/>
    </xf>
    <xf numFmtId="0" fontId="18" fillId="0" borderId="0" xfId="33" applyFont="1" applyAlignment="1">
      <alignment horizontal="center" vertical="center"/>
    </xf>
    <xf numFmtId="0" fontId="18" fillId="0" borderId="0" xfId="33" applyFont="1" applyAlignment="1">
      <alignment vertical="center"/>
    </xf>
    <xf numFmtId="0" fontId="17" fillId="2" borderId="6" xfId="15" applyFont="1" applyFill="1" applyBorder="1">
      <alignment horizontal="center" vertical="center" wrapText="1"/>
    </xf>
    <xf numFmtId="0" fontId="17" fillId="2" borderId="25" xfId="15" quotePrefix="1" applyFont="1" applyFill="1" applyBorder="1">
      <alignment horizontal="center" vertical="center" wrapText="1"/>
    </xf>
    <xf numFmtId="0" fontId="17" fillId="2" borderId="27" xfId="15" quotePrefix="1" applyFont="1" applyFill="1" applyBorder="1">
      <alignment horizontal="center" vertical="center" wrapText="1"/>
    </xf>
    <xf numFmtId="0" fontId="17" fillId="2" borderId="17" xfId="15" applyFont="1" applyFill="1" applyBorder="1" applyAlignment="1">
      <alignment vertical="center"/>
    </xf>
    <xf numFmtId="0" fontId="17" fillId="2" borderId="10" xfId="15" applyFont="1" applyFill="1" applyBorder="1" applyAlignment="1">
      <alignment vertical="center"/>
    </xf>
    <xf numFmtId="0" fontId="17" fillId="2" borderId="44" xfId="15" applyFont="1" applyFill="1" applyBorder="1" applyAlignment="1">
      <alignment vertical="center"/>
    </xf>
    <xf numFmtId="0" fontId="17" fillId="2" borderId="6" xfId="15" quotePrefix="1" applyFont="1" applyFill="1" applyBorder="1">
      <alignment horizontal="center" vertical="center" wrapText="1"/>
    </xf>
    <xf numFmtId="0" fontId="17" fillId="2" borderId="23" xfId="15" quotePrefix="1" applyFont="1" applyFill="1" applyBorder="1">
      <alignment horizontal="center" vertical="center" wrapText="1"/>
    </xf>
    <xf numFmtId="164" fontId="12" fillId="0" borderId="3" xfId="7" applyNumberFormat="1" applyFont="1" applyBorder="1" applyAlignment="1">
      <alignment horizontal="center" vertical="center"/>
    </xf>
    <xf numFmtId="0" fontId="12" fillId="0" borderId="14" xfId="7" applyFont="1" applyBorder="1" applyAlignment="1">
      <alignment vertical="center"/>
    </xf>
    <xf numFmtId="0" fontId="13" fillId="0" borderId="14" xfId="7" applyFont="1" applyBorder="1" applyAlignment="1">
      <alignment vertical="center"/>
    </xf>
    <xf numFmtId="38" fontId="13" fillId="0" borderId="4" xfId="1" applyNumberFormat="1" applyFont="1" applyFill="1" applyBorder="1" applyAlignment="1">
      <alignment horizontal="right" vertical="center"/>
    </xf>
    <xf numFmtId="0" fontId="13" fillId="0" borderId="21" xfId="7" applyFont="1" applyBorder="1" applyAlignment="1">
      <alignment vertical="center"/>
    </xf>
    <xf numFmtId="38" fontId="15" fillId="0" borderId="9" xfId="34" applyFont="1" applyFill="1" applyBorder="1" applyAlignment="1">
      <alignment horizontal="right" vertical="center"/>
    </xf>
    <xf numFmtId="3" fontId="15" fillId="0" borderId="29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1" fillId="0" borderId="21" xfId="9" applyNumberFormat="1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21" xfId="0" applyFont="1" applyBorder="1" applyAlignment="1">
      <alignment horizontal="right" vertical="center"/>
    </xf>
    <xf numFmtId="0" fontId="22" fillId="0" borderId="30" xfId="0" applyFont="1" applyBorder="1" applyAlignment="1">
      <alignment horizontal="right" vertical="center"/>
    </xf>
    <xf numFmtId="0" fontId="23" fillId="0" borderId="0" xfId="0" applyFont="1" applyAlignment="1">
      <alignment vertical="center"/>
    </xf>
    <xf numFmtId="0" fontId="14" fillId="0" borderId="21" xfId="14" applyFont="1" applyBorder="1" applyAlignment="1">
      <alignment horizontal="center" vertical="center"/>
    </xf>
    <xf numFmtId="0" fontId="13" fillId="0" borderId="21" xfId="14" applyFont="1" applyBorder="1" applyAlignment="1">
      <alignment horizontal="right" vertical="center"/>
    </xf>
    <xf numFmtId="38" fontId="13" fillId="0" borderId="21" xfId="1" applyNumberFormat="1" applyFont="1" applyFill="1" applyBorder="1" applyAlignment="1">
      <alignment horizontal="right" vertical="center"/>
    </xf>
    <xf numFmtId="3" fontId="13" fillId="0" borderId="21" xfId="34" applyNumberFormat="1" applyFont="1" applyFill="1" applyBorder="1" applyAlignment="1">
      <alignment horizontal="right" vertical="center"/>
    </xf>
    <xf numFmtId="166" fontId="14" fillId="0" borderId="3" xfId="11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0" fontId="13" fillId="0" borderId="21" xfId="7" applyFont="1" applyBorder="1" applyAlignment="1">
      <alignment horizontal="left" vertical="center"/>
    </xf>
    <xf numFmtId="166" fontId="14" fillId="0" borderId="3" xfId="11" applyFont="1" applyBorder="1" applyAlignment="1">
      <alignment horizontal="center" vertical="center" wrapText="1"/>
    </xf>
    <xf numFmtId="0" fontId="13" fillId="0" borderId="48" xfId="7" applyFont="1" applyBorder="1" applyAlignment="1">
      <alignment horizontal="left" vertical="center"/>
    </xf>
    <xf numFmtId="0" fontId="14" fillId="0" borderId="31" xfId="14" applyFont="1" applyBorder="1" applyAlignment="1">
      <alignment horizontal="center" vertical="center"/>
    </xf>
    <xf numFmtId="0" fontId="14" fillId="0" borderId="21" xfId="7" applyFont="1" applyBorder="1" applyAlignment="1">
      <alignment horizontal="left" vertical="center"/>
    </xf>
    <xf numFmtId="0" fontId="14" fillId="0" borderId="48" xfId="7" applyFont="1" applyBorder="1" applyAlignment="1">
      <alignment horizontal="left" vertical="center"/>
    </xf>
    <xf numFmtId="0" fontId="13" fillId="0" borderId="31" xfId="14" applyFont="1" applyBorder="1" applyAlignment="1">
      <alignment horizontal="center" vertical="center"/>
    </xf>
    <xf numFmtId="166" fontId="14" fillId="0" borderId="23" xfId="11" applyFont="1" applyBorder="1" applyAlignment="1">
      <alignment horizontal="center" vertical="center" wrapText="1"/>
    </xf>
    <xf numFmtId="0" fontId="13" fillId="0" borderId="50" xfId="14" applyFont="1" applyBorder="1" applyAlignment="1">
      <alignment horizontal="center" vertical="center"/>
    </xf>
    <xf numFmtId="0" fontId="16" fillId="0" borderId="14" xfId="7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3" fontId="13" fillId="0" borderId="21" xfId="14" applyNumberFormat="1" applyFont="1" applyBorder="1" applyAlignment="1">
      <alignment horizontal="right" vertical="center"/>
    </xf>
    <xf numFmtId="3" fontId="13" fillId="0" borderId="22" xfId="34" applyNumberFormat="1" applyFont="1" applyFill="1" applyBorder="1" applyAlignment="1">
      <alignment horizontal="right" vertical="center"/>
    </xf>
    <xf numFmtId="0" fontId="14" fillId="0" borderId="51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20" fillId="0" borderId="21" xfId="7" applyFont="1" applyBorder="1" applyAlignment="1">
      <alignment horizontal="left" vertical="center"/>
    </xf>
    <xf numFmtId="38" fontId="14" fillId="0" borderId="21" xfId="34" applyFont="1" applyFill="1" applyBorder="1" applyAlignment="1">
      <alignment horizontal="right" vertical="center"/>
    </xf>
    <xf numFmtId="0" fontId="14" fillId="4" borderId="0" xfId="0" applyFont="1" applyFill="1" applyAlignment="1">
      <alignment vertical="center"/>
    </xf>
    <xf numFmtId="0" fontId="14" fillId="0" borderId="21" xfId="9" applyNumberFormat="1" applyFont="1" applyBorder="1" applyAlignment="1">
      <alignment horizontal="left" vertical="center"/>
    </xf>
    <xf numFmtId="166" fontId="13" fillId="0" borderId="3" xfId="11" applyFont="1" applyBorder="1" applyAlignment="1">
      <alignment horizontal="center" vertical="center"/>
    </xf>
    <xf numFmtId="0" fontId="13" fillId="0" borderId="48" xfId="7" applyFont="1" applyBorder="1" applyAlignment="1">
      <alignment vertical="center"/>
    </xf>
    <xf numFmtId="38" fontId="15" fillId="0" borderId="35" xfId="34" applyFont="1" applyFill="1" applyBorder="1" applyAlignment="1">
      <alignment horizontal="right" vertical="center"/>
    </xf>
    <xf numFmtId="3" fontId="15" fillId="0" borderId="36" xfId="34" applyNumberFormat="1" applyFont="1" applyFill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Continuous" vertical="center"/>
    </xf>
    <xf numFmtId="0" fontId="14" fillId="0" borderId="28" xfId="7" applyFont="1" applyBorder="1" applyAlignment="1">
      <alignment horizontal="left" vertical="center"/>
    </xf>
    <xf numFmtId="0" fontId="14" fillId="0" borderId="26" xfId="7" applyFont="1" applyBorder="1" applyAlignment="1">
      <alignment horizontal="left" vertical="center"/>
    </xf>
    <xf numFmtId="0" fontId="14" fillId="0" borderId="45" xfId="7" applyFont="1" applyBorder="1" applyAlignment="1">
      <alignment horizontal="left" vertical="center"/>
    </xf>
    <xf numFmtId="3" fontId="14" fillId="0" borderId="21" xfId="14" applyNumberFormat="1" applyFont="1" applyBorder="1" applyAlignment="1">
      <alignment horizontal="right" vertical="center"/>
    </xf>
    <xf numFmtId="0" fontId="13" fillId="0" borderId="0" xfId="14" applyFont="1" applyBorder="1" applyAlignment="1">
      <alignment horizontal="right" vertical="center"/>
    </xf>
    <xf numFmtId="3" fontId="14" fillId="0" borderId="21" xfId="34" applyNumberFormat="1" applyFont="1" applyFill="1" applyBorder="1" applyAlignment="1">
      <alignment horizontal="right" vertical="center"/>
    </xf>
    <xf numFmtId="0" fontId="13" fillId="0" borderId="53" xfId="14" applyFont="1" applyBorder="1" applyAlignment="1">
      <alignment horizontal="right" vertical="center"/>
    </xf>
    <xf numFmtId="0" fontId="13" fillId="0" borderId="21" xfId="14" applyFont="1" applyBorder="1" applyAlignment="1">
      <alignment horizontal="center" vertical="center"/>
    </xf>
    <xf numFmtId="166" fontId="13" fillId="0" borderId="3" xfId="11" applyFont="1" applyBorder="1" applyAlignment="1">
      <alignment horizontal="center" vertical="center" wrapText="1"/>
    </xf>
    <xf numFmtId="0" fontId="14" fillId="0" borderId="24" xfId="7" applyFont="1" applyBorder="1" applyAlignment="1">
      <alignment horizontal="left" vertical="center"/>
    </xf>
    <xf numFmtId="0" fontId="14" fillId="0" borderId="32" xfId="7" applyFont="1" applyBorder="1" applyAlignment="1">
      <alignment horizontal="left" vertical="center"/>
    </xf>
    <xf numFmtId="0" fontId="14" fillId="0" borderId="40" xfId="7" applyFont="1" applyBorder="1" applyAlignment="1">
      <alignment horizontal="left" vertical="center"/>
    </xf>
    <xf numFmtId="0" fontId="14" fillId="0" borderId="50" xfId="14" applyFont="1" applyBorder="1" applyAlignment="1">
      <alignment horizontal="center" vertical="center"/>
    </xf>
    <xf numFmtId="0" fontId="22" fillId="0" borderId="26" xfId="0" applyFont="1" applyBorder="1" applyAlignment="1">
      <alignment horizontal="right" vertical="center"/>
    </xf>
    <xf numFmtId="166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31" xfId="14" applyNumberFormat="1" applyFont="1" applyBorder="1" applyAlignment="1">
      <alignment horizontal="center" vertical="center"/>
    </xf>
    <xf numFmtId="164" fontId="12" fillId="0" borderId="56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55" xfId="0" applyFont="1" applyBorder="1" applyAlignment="1">
      <alignment vertical="center"/>
    </xf>
    <xf numFmtId="0" fontId="14" fillId="3" borderId="14" xfId="7" quotePrefix="1" applyFont="1" applyFill="1" applyBorder="1" applyAlignment="1">
      <alignment horizontal="left" vertical="center"/>
    </xf>
    <xf numFmtId="0" fontId="14" fillId="3" borderId="14" xfId="7" applyFont="1" applyFill="1" applyBorder="1" applyAlignment="1">
      <alignment vertical="center"/>
    </xf>
    <xf numFmtId="0" fontId="13" fillId="3" borderId="14" xfId="7" applyFont="1" applyFill="1" applyBorder="1" applyAlignment="1">
      <alignment vertical="center"/>
    </xf>
    <xf numFmtId="166" fontId="25" fillId="0" borderId="20" xfId="9" quotePrefix="1" applyNumberFormat="1" applyFont="1" applyBorder="1" applyAlignment="1">
      <alignment horizontal="center" vertical="center"/>
    </xf>
    <xf numFmtId="0" fontId="25" fillId="0" borderId="14" xfId="9" applyNumberFormat="1" applyFont="1" applyBorder="1" applyAlignment="1">
      <alignment horizontal="left" vertical="center"/>
    </xf>
    <xf numFmtId="166" fontId="16" fillId="0" borderId="3" xfId="11" applyFont="1" applyBorder="1" applyAlignment="1">
      <alignment horizontal="center" vertical="center"/>
    </xf>
    <xf numFmtId="0" fontId="16" fillId="0" borderId="14" xfId="7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4" fillId="0" borderId="21" xfId="14" quotePrefix="1" applyFont="1" applyBorder="1" applyAlignment="1">
      <alignment horizontal="center" vertical="center"/>
    </xf>
    <xf numFmtId="38" fontId="13" fillId="0" borderId="22" xfId="1" applyNumberFormat="1" applyFont="1" applyFill="1" applyBorder="1" applyAlignment="1">
      <alignment horizontal="right" vertical="center"/>
    </xf>
    <xf numFmtId="0" fontId="14" fillId="0" borderId="21" xfId="0" applyFont="1" applyBorder="1" applyAlignment="1">
      <alignment vertical="center"/>
    </xf>
    <xf numFmtId="0" fontId="14" fillId="0" borderId="13" xfId="7" applyFont="1" applyBorder="1" applyAlignment="1">
      <alignment horizontal="right" vertical="center"/>
    </xf>
    <xf numFmtId="0" fontId="14" fillId="3" borderId="8" xfId="14" applyFont="1" applyFill="1" applyBorder="1" applyAlignment="1">
      <alignment horizontal="center" vertical="center"/>
    </xf>
    <xf numFmtId="0" fontId="13" fillId="3" borderId="8" xfId="14" applyFont="1" applyFill="1" applyBorder="1" applyAlignment="1">
      <alignment horizontal="center" vertical="center"/>
    </xf>
    <xf numFmtId="0" fontId="14" fillId="3" borderId="14" xfId="7" applyFont="1" applyFill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3" borderId="24" xfId="7" applyFont="1" applyFill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0" fontId="13" fillId="3" borderId="58" xfId="14" applyFont="1" applyFill="1" applyBorder="1" applyAlignment="1">
      <alignment horizontal="center" vertical="center"/>
    </xf>
    <xf numFmtId="0" fontId="17" fillId="2" borderId="59" xfId="15" quotePrefix="1" applyFont="1" applyFill="1" applyBorder="1">
      <alignment horizontal="center" vertical="center" wrapText="1"/>
    </xf>
    <xf numFmtId="38" fontId="15" fillId="0" borderId="34" xfId="34" applyFont="1" applyFill="1" applyBorder="1" applyAlignment="1">
      <alignment horizontal="right" vertical="center"/>
    </xf>
    <xf numFmtId="38" fontId="15" fillId="0" borderId="21" xfId="34" applyFont="1" applyFill="1" applyBorder="1" applyAlignment="1">
      <alignment horizontal="right" vertical="center"/>
    </xf>
    <xf numFmtId="38" fontId="15" fillId="0" borderId="32" xfId="34" applyFont="1" applyFill="1" applyBorder="1" applyAlignment="1">
      <alignment horizontal="right" vertical="center"/>
    </xf>
    <xf numFmtId="0" fontId="17" fillId="2" borderId="23" xfId="15" applyFont="1" applyFill="1" applyBorder="1">
      <alignment horizontal="center" vertical="center" wrapText="1"/>
    </xf>
    <xf numFmtId="164" fontId="13" fillId="0" borderId="31" xfId="14" applyNumberFormat="1" applyFont="1" applyBorder="1" applyAlignment="1">
      <alignment horizontal="center" vertical="center"/>
    </xf>
    <xf numFmtId="0" fontId="13" fillId="0" borderId="21" xfId="0" applyFont="1" applyBorder="1" applyAlignment="1">
      <alignment vertical="center"/>
    </xf>
    <xf numFmtId="0" fontId="13" fillId="0" borderId="48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4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6" fillId="0" borderId="36" xfId="34" applyNumberFormat="1" applyFont="1" applyFill="1" applyBorder="1" applyAlignment="1">
      <alignment horizontal="right" vertical="center"/>
    </xf>
    <xf numFmtId="0" fontId="8" fillId="0" borderId="0" xfId="40" applyFont="1" applyAlignment="1">
      <alignment vertical="center"/>
    </xf>
    <xf numFmtId="38" fontId="8" fillId="0" borderId="0" xfId="1" applyNumberFormat="1" applyFont="1" applyFill="1" applyAlignment="1">
      <alignment horizontal="center" vertical="center"/>
    </xf>
    <xf numFmtId="38" fontId="8" fillId="0" borderId="0" xfId="1" applyNumberFormat="1" applyFont="1" applyAlignment="1">
      <alignment horizontal="right" vertical="center"/>
    </xf>
    <xf numFmtId="38" fontId="8" fillId="0" borderId="0" xfId="1" applyNumberFormat="1" applyFont="1" applyBorder="1" applyAlignment="1">
      <alignment horizontal="right" vertical="center"/>
    </xf>
    <xf numFmtId="0" fontId="8" fillId="0" borderId="0" xfId="40" applyFont="1" applyAlignment="1">
      <alignment horizontal="left" vertical="center"/>
    </xf>
    <xf numFmtId="38" fontId="8" fillId="0" borderId="0" xfId="1" applyNumberFormat="1" applyFont="1" applyAlignment="1">
      <alignment horizontal="center" vertical="center"/>
    </xf>
    <xf numFmtId="38" fontId="8" fillId="0" borderId="0" xfId="1" applyNumberFormat="1" applyFont="1" applyFill="1" applyAlignment="1">
      <alignment horizontal="right" vertical="center"/>
    </xf>
    <xf numFmtId="0" fontId="8" fillId="0" borderId="0" xfId="40" applyFont="1" applyAlignment="1">
      <alignment horizontal="center" vertical="center"/>
    </xf>
    <xf numFmtId="0" fontId="9" fillId="0" borderId="0" xfId="40" applyFont="1" applyAlignment="1">
      <alignment vertical="center"/>
    </xf>
    <xf numFmtId="0" fontId="27" fillId="3" borderId="0" xfId="40" applyFont="1" applyFill="1" applyAlignment="1">
      <alignment horizontal="center" vertical="center"/>
    </xf>
    <xf numFmtId="0" fontId="27" fillId="3" borderId="0" xfId="40" applyFont="1" applyFill="1" applyAlignment="1">
      <alignment vertical="center"/>
    </xf>
    <xf numFmtId="38" fontId="27" fillId="3" borderId="0" xfId="1" applyNumberFormat="1" applyFont="1" applyFill="1" applyAlignment="1">
      <alignment vertical="center"/>
    </xf>
    <xf numFmtId="0" fontId="28" fillId="2" borderId="60" xfId="40" quotePrefix="1" applyFont="1" applyFill="1" applyBorder="1" applyAlignment="1">
      <alignment horizontal="center" vertical="center"/>
    </xf>
    <xf numFmtId="0" fontId="28" fillId="4" borderId="61" xfId="40" quotePrefix="1" applyFont="1" applyFill="1" applyBorder="1" applyAlignment="1">
      <alignment horizontal="center" vertical="center"/>
    </xf>
    <xf numFmtId="0" fontId="28" fillId="2" borderId="62" xfId="40" quotePrefix="1" applyFont="1" applyFill="1" applyBorder="1" applyAlignment="1">
      <alignment horizontal="center" vertical="center"/>
    </xf>
    <xf numFmtId="38" fontId="28" fillId="2" borderId="60" xfId="1" quotePrefix="1" applyNumberFormat="1" applyFont="1" applyFill="1" applyBorder="1" applyAlignment="1">
      <alignment horizontal="center" vertical="center"/>
    </xf>
    <xf numFmtId="38" fontId="28" fillId="2" borderId="63" xfId="1" quotePrefix="1" applyNumberFormat="1" applyFont="1" applyFill="1" applyBorder="1" applyAlignment="1">
      <alignment horizontal="center" vertical="center"/>
    </xf>
    <xf numFmtId="38" fontId="28" fillId="2" borderId="64" xfId="1" quotePrefix="1" applyNumberFormat="1" applyFont="1" applyFill="1" applyBorder="1" applyAlignment="1">
      <alignment horizontal="center" vertical="center"/>
    </xf>
    <xf numFmtId="0" fontId="19" fillId="0" borderId="0" xfId="41" applyFont="1" applyAlignment="1">
      <alignment vertical="center"/>
    </xf>
    <xf numFmtId="38" fontId="28" fillId="2" borderId="65" xfId="1" applyNumberFormat="1" applyFont="1" applyFill="1" applyBorder="1" applyAlignment="1">
      <alignment horizontal="center" vertical="center" wrapText="1"/>
    </xf>
    <xf numFmtId="38" fontId="28" fillId="2" borderId="68" xfId="1" applyNumberFormat="1" applyFont="1" applyFill="1" applyBorder="1" applyAlignment="1">
      <alignment horizontal="center" vertical="center" wrapText="1"/>
    </xf>
    <xf numFmtId="38" fontId="28" fillId="2" borderId="67" xfId="1" applyNumberFormat="1" applyFont="1" applyFill="1" applyBorder="1" applyAlignment="1">
      <alignment horizontal="center" vertical="center" wrapText="1"/>
    </xf>
    <xf numFmtId="38" fontId="28" fillId="2" borderId="74" xfId="1" applyNumberFormat="1" applyFont="1" applyFill="1" applyBorder="1" applyAlignment="1">
      <alignment horizontal="center" vertical="center" wrapText="1"/>
    </xf>
    <xf numFmtId="38" fontId="28" fillId="2" borderId="75" xfId="1" applyNumberFormat="1" applyFont="1" applyFill="1" applyBorder="1" applyAlignment="1">
      <alignment horizontal="center" vertical="center" wrapText="1"/>
    </xf>
    <xf numFmtId="38" fontId="28" fillId="2" borderId="76" xfId="1" applyNumberFormat="1" applyFont="1" applyFill="1" applyBorder="1" applyAlignment="1">
      <alignment horizontal="center" vertical="center" wrapText="1"/>
    </xf>
    <xf numFmtId="38" fontId="28" fillId="2" borderId="80" xfId="1" applyNumberFormat="1" applyFont="1" applyFill="1" applyBorder="1" applyAlignment="1">
      <alignment horizontal="center" vertical="center" wrapText="1"/>
    </xf>
    <xf numFmtId="38" fontId="28" fillId="2" borderId="81" xfId="1" quotePrefix="1" applyNumberFormat="1" applyFont="1" applyFill="1" applyBorder="1" applyAlignment="1">
      <alignment horizontal="center" vertical="center" wrapText="1"/>
    </xf>
    <xf numFmtId="38" fontId="28" fillId="2" borderId="82" xfId="1" quotePrefix="1" applyNumberFormat="1" applyFont="1" applyFill="1" applyBorder="1" applyAlignment="1">
      <alignment horizontal="center" vertical="center" wrapText="1"/>
    </xf>
    <xf numFmtId="0" fontId="19" fillId="0" borderId="0" xfId="40" applyFont="1" applyAlignment="1">
      <alignment vertical="center"/>
    </xf>
    <xf numFmtId="164" fontId="30" fillId="0" borderId="80" xfId="42" applyFont="1" applyBorder="1" applyAlignment="1">
      <alignment horizontal="center" vertical="center"/>
    </xf>
    <xf numFmtId="164" fontId="30" fillId="0" borderId="83" xfId="42" applyFont="1" applyBorder="1" applyAlignment="1">
      <alignment horizontal="left" vertical="center"/>
    </xf>
    <xf numFmtId="0" fontId="19" fillId="0" borderId="84" xfId="40" applyFont="1" applyBorder="1" applyAlignment="1">
      <alignment horizontal="center" vertical="center"/>
    </xf>
    <xf numFmtId="0" fontId="19" fillId="0" borderId="84" xfId="40" applyFont="1" applyBorder="1" applyAlignment="1">
      <alignment vertical="center"/>
    </xf>
    <xf numFmtId="38" fontId="19" fillId="0" borderId="84" xfId="1" applyNumberFormat="1" applyFont="1" applyFill="1" applyBorder="1" applyAlignment="1">
      <alignment horizontal="right" vertical="center"/>
    </xf>
    <xf numFmtId="38" fontId="19" fillId="0" borderId="70" xfId="1" applyNumberFormat="1" applyFont="1" applyFill="1" applyBorder="1" applyAlignment="1">
      <alignment horizontal="right" vertical="center"/>
    </xf>
    <xf numFmtId="0" fontId="16" fillId="0" borderId="80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4" fontId="13" fillId="0" borderId="69" xfId="42" applyFont="1" applyBorder="1" applyAlignment="1">
      <alignment horizontal="center" vertical="center"/>
    </xf>
    <xf numFmtId="0" fontId="14" fillId="0" borderId="85" xfId="8" applyFont="1" applyBorder="1" applyAlignment="1">
      <alignment horizontal="left" vertical="center"/>
    </xf>
    <xf numFmtId="0" fontId="13" fillId="0" borderId="82" xfId="43" applyFont="1" applyBorder="1" applyAlignment="1">
      <alignment horizontal="center" vertical="center"/>
    </xf>
    <xf numFmtId="1" fontId="13" fillId="0" borderId="86" xfId="43" applyNumberFormat="1" applyFont="1" applyBorder="1" applyAlignment="1">
      <alignment horizontal="center" vertical="center"/>
    </xf>
    <xf numFmtId="0" fontId="13" fillId="0" borderId="83" xfId="43" applyFont="1" applyBorder="1" applyAlignment="1">
      <alignment horizontal="center" vertical="center"/>
    </xf>
    <xf numFmtId="3" fontId="13" fillId="0" borderId="80" xfId="1" applyNumberFormat="1" applyFont="1" applyFill="1" applyBorder="1" applyAlignment="1">
      <alignment horizontal="right" vertical="center"/>
    </xf>
    <xf numFmtId="3" fontId="13" fillId="0" borderId="81" xfId="1" applyNumberFormat="1" applyFont="1" applyFill="1" applyBorder="1" applyAlignment="1">
      <alignment horizontal="right" vertical="center"/>
    </xf>
    <xf numFmtId="3" fontId="13" fillId="0" borderId="82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80" xfId="1" applyNumberFormat="1" applyFont="1" applyFill="1" applyBorder="1" applyAlignment="1">
      <alignment horizontal="right" vertical="center"/>
    </xf>
    <xf numFmtId="38" fontId="13" fillId="0" borderId="81" xfId="1" applyNumberFormat="1" applyFont="1" applyFill="1" applyBorder="1" applyAlignment="1">
      <alignment horizontal="right" vertical="center"/>
    </xf>
    <xf numFmtId="38" fontId="13" fillId="0" borderId="82" xfId="1" applyNumberFormat="1" applyFont="1" applyFill="1" applyBorder="1" applyAlignment="1">
      <alignment horizontal="right" vertical="center"/>
    </xf>
    <xf numFmtId="0" fontId="13" fillId="0" borderId="85" xfId="8" applyFont="1" applyBorder="1" applyAlignment="1">
      <alignment horizontal="left" vertical="center"/>
    </xf>
    <xf numFmtId="164" fontId="16" fillId="0" borderId="80" xfId="42" applyFont="1" applyBorder="1" applyAlignment="1">
      <alignment horizontal="center" vertical="center"/>
    </xf>
    <xf numFmtId="0" fontId="16" fillId="0" borderId="83" xfId="8" applyFont="1" applyBorder="1" applyAlignment="1">
      <alignment horizontal="left" vertical="center"/>
    </xf>
    <xf numFmtId="0" fontId="13" fillId="0" borderId="84" xfId="40" applyFont="1" applyBorder="1" applyAlignment="1">
      <alignment horizontal="center" vertical="center"/>
    </xf>
    <xf numFmtId="0" fontId="13" fillId="0" borderId="84" xfId="40" applyFont="1" applyBorder="1" applyAlignment="1">
      <alignment vertical="center"/>
    </xf>
    <xf numFmtId="38" fontId="13" fillId="0" borderId="84" xfId="1" applyNumberFormat="1" applyFont="1" applyFill="1" applyBorder="1" applyAlignment="1">
      <alignment horizontal="right" vertical="center"/>
    </xf>
    <xf numFmtId="38" fontId="13" fillId="0" borderId="70" xfId="1" applyNumberFormat="1" applyFont="1" applyFill="1" applyBorder="1" applyAlignment="1">
      <alignment horizontal="right" vertical="center"/>
    </xf>
    <xf numFmtId="0" fontId="31" fillId="0" borderId="82" xfId="43" applyFont="1" applyBorder="1" applyAlignment="1">
      <alignment horizontal="center" vertical="center"/>
    </xf>
    <xf numFmtId="1" fontId="31" fillId="0" borderId="86" xfId="43" applyNumberFormat="1" applyFont="1" applyBorder="1" applyAlignment="1">
      <alignment horizontal="center" vertical="center"/>
    </xf>
    <xf numFmtId="0" fontId="31" fillId="0" borderId="83" xfId="43" applyFont="1" applyBorder="1" applyAlignment="1">
      <alignment horizontal="center" vertical="center"/>
    </xf>
    <xf numFmtId="0" fontId="32" fillId="0" borderId="0" xfId="40" applyFont="1" applyAlignment="1">
      <alignment vertical="center"/>
    </xf>
    <xf numFmtId="0" fontId="13" fillId="0" borderId="84" xfId="40" applyFont="1" applyBorder="1" applyAlignment="1">
      <alignment horizontal="left" vertical="center"/>
    </xf>
    <xf numFmtId="0" fontId="13" fillId="0" borderId="84" xfId="40" applyFont="1" applyBorder="1" applyAlignment="1">
      <alignment horizontal="right" vertical="center"/>
    </xf>
    <xf numFmtId="3" fontId="13" fillId="0" borderId="70" xfId="40" applyNumberFormat="1" applyFont="1" applyBorder="1" applyAlignment="1">
      <alignment horizontal="right" vertical="center"/>
    </xf>
    <xf numFmtId="38" fontId="13" fillId="0" borderId="82" xfId="44" applyFont="1" applyFill="1" applyBorder="1" applyAlignment="1">
      <alignment vertical="center"/>
    </xf>
    <xf numFmtId="38" fontId="13" fillId="0" borderId="82" xfId="44" applyFont="1" applyFill="1" applyBorder="1" applyAlignment="1">
      <alignment horizontal="center" vertical="center"/>
    </xf>
    <xf numFmtId="167" fontId="13" fillId="0" borderId="69" xfId="8" applyNumberFormat="1" applyFont="1" applyBorder="1" applyAlignment="1">
      <alignment horizontal="center" vertical="center"/>
    </xf>
    <xf numFmtId="0" fontId="13" fillId="0" borderId="86" xfId="43" applyFont="1" applyBorder="1" applyAlignment="1">
      <alignment horizontal="center" vertical="center"/>
    </xf>
    <xf numFmtId="164" fontId="13" fillId="0" borderId="69" xfId="15" applyNumberFormat="1" applyFont="1" applyBorder="1">
      <alignment horizontal="center" vertical="center" wrapText="1"/>
    </xf>
    <xf numFmtId="3" fontId="14" fillId="0" borderId="86" xfId="40" applyNumberFormat="1" applyFont="1" applyBorder="1" applyAlignment="1">
      <alignment horizontal="center" vertical="center"/>
    </xf>
    <xf numFmtId="3" fontId="13" fillId="0" borderId="83" xfId="43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9" xfId="1" applyNumberFormat="1" applyFont="1" applyFill="1" applyBorder="1" applyAlignment="1">
      <alignment vertical="center"/>
    </xf>
    <xf numFmtId="38" fontId="16" fillId="0" borderId="76" xfId="1" applyNumberFormat="1" applyFont="1" applyFill="1" applyBorder="1" applyAlignment="1">
      <alignment vertical="center"/>
    </xf>
    <xf numFmtId="0" fontId="33" fillId="0" borderId="84" xfId="40" applyFont="1" applyBorder="1" applyAlignment="1">
      <alignment horizontal="center" vertical="center"/>
    </xf>
    <xf numFmtId="0" fontId="33" fillId="0" borderId="84" xfId="40" applyFont="1" applyBorder="1" applyAlignment="1">
      <alignment vertical="center"/>
    </xf>
    <xf numFmtId="0" fontId="33" fillId="0" borderId="84" xfId="40" applyFont="1" applyBorder="1" applyAlignment="1">
      <alignment horizontal="right" vertical="center"/>
    </xf>
    <xf numFmtId="38" fontId="33" fillId="0" borderId="84" xfId="1" applyNumberFormat="1" applyFont="1" applyFill="1" applyBorder="1" applyAlignment="1">
      <alignment horizontal="right" vertical="center"/>
    </xf>
    <xf numFmtId="38" fontId="34" fillId="0" borderId="87" xfId="1" applyNumberFormat="1" applyFont="1" applyFill="1" applyBorder="1" applyAlignment="1">
      <alignment horizontal="right" vertical="center"/>
    </xf>
    <xf numFmtId="0" fontId="35" fillId="0" borderId="0" xfId="40" applyFont="1" applyAlignment="1">
      <alignment vertical="center"/>
    </xf>
    <xf numFmtId="167" fontId="16" fillId="0" borderId="80" xfId="8" applyNumberFormat="1" applyFont="1" applyBorder="1" applyAlignment="1">
      <alignment horizontal="center" vertical="center"/>
    </xf>
    <xf numFmtId="4" fontId="16" fillId="0" borderId="83" xfId="8" applyNumberFormat="1" applyFont="1" applyBorder="1" applyAlignment="1">
      <alignment horizontal="left" vertical="center"/>
    </xf>
    <xf numFmtId="0" fontId="31" fillId="0" borderId="84" xfId="40" applyFont="1" applyBorder="1" applyAlignment="1">
      <alignment horizontal="center" vertical="center"/>
    </xf>
    <xf numFmtId="0" fontId="31" fillId="0" borderId="84" xfId="40" applyFont="1" applyBorder="1" applyAlignment="1">
      <alignment vertical="center"/>
    </xf>
    <xf numFmtId="38" fontId="31" fillId="0" borderId="84" xfId="1" applyNumberFormat="1" applyFont="1" applyFill="1" applyBorder="1" applyAlignment="1">
      <alignment horizontal="right" vertical="center"/>
    </xf>
    <xf numFmtId="38" fontId="31" fillId="0" borderId="70" xfId="1" applyNumberFormat="1" applyFont="1" applyFill="1" applyBorder="1" applyAlignment="1">
      <alignment horizontal="right" vertical="center"/>
    </xf>
    <xf numFmtId="0" fontId="36" fillId="0" borderId="0" xfId="40" applyFont="1" applyAlignment="1">
      <alignment vertical="center"/>
    </xf>
    <xf numFmtId="0" fontId="31" fillId="0" borderId="86" xfId="43" applyFont="1" applyBorder="1" applyAlignment="1">
      <alignment horizontal="center" vertical="center"/>
    </xf>
    <xf numFmtId="0" fontId="31" fillId="0" borderId="84" xfId="8" applyFont="1" applyBorder="1" applyAlignment="1">
      <alignment vertical="center"/>
    </xf>
    <xf numFmtId="0" fontId="31" fillId="0" borderId="84" xfId="43" applyFont="1" applyBorder="1" applyAlignment="1">
      <alignment horizontal="center" vertical="center"/>
    </xf>
    <xf numFmtId="4" fontId="16" fillId="0" borderId="80" xfId="8" applyNumberFormat="1" applyFont="1" applyBorder="1" applyAlignment="1">
      <alignment horizontal="center" vertical="center"/>
    </xf>
    <xf numFmtId="0" fontId="16" fillId="5" borderId="83" xfId="8" applyFont="1" applyFill="1" applyBorder="1" applyAlignment="1">
      <alignment horizontal="left" vertical="center"/>
    </xf>
    <xf numFmtId="0" fontId="31" fillId="0" borderId="84" xfId="40" applyFont="1" applyBorder="1" applyAlignment="1">
      <alignment horizontal="right" vertical="center"/>
    </xf>
    <xf numFmtId="38" fontId="31" fillId="0" borderId="70" xfId="1" applyNumberFormat="1" applyFont="1" applyFill="1" applyBorder="1" applyAlignment="1">
      <alignment vertical="center"/>
    </xf>
    <xf numFmtId="167" fontId="37" fillId="0" borderId="80" xfId="8" applyNumberFormat="1" applyFont="1" applyBorder="1" applyAlignment="1">
      <alignment horizontal="center" vertical="center"/>
    </xf>
    <xf numFmtId="4" fontId="37" fillId="0" borderId="83" xfId="8" applyNumberFormat="1" applyFont="1" applyBorder="1" applyAlignment="1">
      <alignment horizontal="left" vertical="center"/>
    </xf>
    <xf numFmtId="4" fontId="38" fillId="0" borderId="84" xfId="8" applyNumberFormat="1" applyFont="1" applyBorder="1" applyAlignment="1">
      <alignment vertical="center"/>
    </xf>
    <xf numFmtId="38" fontId="38" fillId="0" borderId="84" xfId="1" applyNumberFormat="1" applyFont="1" applyFill="1" applyBorder="1" applyAlignment="1">
      <alignment vertical="center"/>
    </xf>
    <xf numFmtId="38" fontId="38" fillId="0" borderId="70" xfId="1" applyNumberFormat="1" applyFont="1" applyFill="1" applyBorder="1" applyAlignment="1">
      <alignment vertical="center"/>
    </xf>
    <xf numFmtId="0" fontId="39" fillId="0" borderId="0" xfId="40" applyFont="1" applyAlignment="1">
      <alignment horizontal="left" vertical="center"/>
    </xf>
    <xf numFmtId="164" fontId="40" fillId="0" borderId="69" xfId="42" applyFont="1" applyBorder="1" applyAlignment="1">
      <alignment horizontal="center" vertical="center"/>
    </xf>
    <xf numFmtId="0" fontId="41" fillId="0" borderId="82" xfId="43" applyFont="1" applyBorder="1" applyAlignment="1">
      <alignment horizontal="center" vertical="center"/>
    </xf>
    <xf numFmtId="0" fontId="41" fillId="0" borderId="86" xfId="43" applyFont="1" applyBorder="1" applyAlignment="1">
      <alignment horizontal="center" vertical="center"/>
    </xf>
    <xf numFmtId="0" fontId="39" fillId="0" borderId="0" xfId="40" applyFont="1" applyAlignment="1">
      <alignment vertical="center"/>
    </xf>
    <xf numFmtId="0" fontId="42" fillId="0" borderId="0" xfId="40" applyFont="1" applyAlignment="1">
      <alignment vertical="center"/>
    </xf>
    <xf numFmtId="167" fontId="31" fillId="0" borderId="69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8" fontId="13" fillId="0" borderId="83" xfId="44" applyFont="1" applyFill="1" applyBorder="1" applyAlignment="1">
      <alignment vertical="center"/>
    </xf>
    <xf numFmtId="4" fontId="13" fillId="0" borderId="84" xfId="40" applyNumberFormat="1" applyFont="1" applyBorder="1" applyAlignment="1">
      <alignment horizontal="left" vertical="center"/>
    </xf>
    <xf numFmtId="4" fontId="13" fillId="0" borderId="84" xfId="40" applyNumberFormat="1" applyFont="1" applyBorder="1" applyAlignment="1">
      <alignment horizontal="center" vertical="center"/>
    </xf>
    <xf numFmtId="4" fontId="13" fillId="0" borderId="84" xfId="40" applyNumberFormat="1" applyFont="1" applyBorder="1" applyAlignment="1">
      <alignment vertical="center"/>
    </xf>
    <xf numFmtId="4" fontId="13" fillId="0" borderId="80" xfId="8" applyNumberFormat="1" applyFont="1" applyBorder="1" applyAlignment="1">
      <alignment horizontal="center" vertical="center"/>
    </xf>
    <xf numFmtId="38" fontId="13" fillId="0" borderId="84" xfId="44" applyFont="1" applyFill="1" applyBorder="1" applyAlignment="1">
      <alignment vertical="center"/>
    </xf>
    <xf numFmtId="3" fontId="13" fillId="0" borderId="86" xfId="43" applyNumberFormat="1" applyFont="1" applyBorder="1" applyAlignment="1">
      <alignment horizontal="center" vertical="center"/>
    </xf>
    <xf numFmtId="4" fontId="13" fillId="0" borderId="86" xfId="43" applyNumberFormat="1" applyFont="1" applyBorder="1" applyAlignment="1">
      <alignment horizontal="center" vertical="center"/>
    </xf>
    <xf numFmtId="167" fontId="13" fillId="0" borderId="80" xfId="8" applyNumberFormat="1" applyFont="1" applyBorder="1" applyAlignment="1">
      <alignment horizontal="center" vertical="center"/>
    </xf>
    <xf numFmtId="166" fontId="12" fillId="0" borderId="88" xfId="11" applyFont="1" applyBorder="1" applyAlignment="1">
      <alignment horizontal="center" vertical="center"/>
    </xf>
    <xf numFmtId="0" fontId="12" fillId="0" borderId="14" xfId="8" applyFont="1" applyBorder="1" applyAlignment="1">
      <alignment horizontal="left" vertical="center"/>
    </xf>
    <xf numFmtId="0" fontId="43" fillId="0" borderId="21" xfId="8" applyFont="1" applyBorder="1" applyAlignment="1">
      <alignment horizontal="left" vertical="center"/>
    </xf>
    <xf numFmtId="0" fontId="43" fillId="0" borderId="21" xfId="43" applyFont="1" applyBorder="1" applyAlignment="1">
      <alignment horizontal="center" vertical="center"/>
    </xf>
    <xf numFmtId="0" fontId="13" fillId="0" borderId="21" xfId="43" applyFont="1" applyBorder="1" applyAlignment="1">
      <alignment horizontal="center" vertical="center"/>
    </xf>
    <xf numFmtId="38" fontId="13" fillId="0" borderId="89" xfId="1" applyNumberFormat="1" applyFont="1" applyFill="1" applyBorder="1" applyAlignment="1">
      <alignment horizontal="right" vertical="center"/>
    </xf>
    <xf numFmtId="166" fontId="13" fillId="0" borderId="88" xfId="11" applyFont="1" applyBorder="1" applyAlignment="1">
      <alignment horizontal="center" vertical="center" wrapText="1"/>
    </xf>
    <xf numFmtId="0" fontId="13" fillId="0" borderId="31" xfId="43" applyFont="1" applyBorder="1" applyAlignment="1">
      <alignment horizontal="center" vertical="center"/>
    </xf>
    <xf numFmtId="0" fontId="13" fillId="0" borderId="14" xfId="8" applyFont="1" applyBorder="1" applyAlignment="1">
      <alignment horizontal="left" vertical="center"/>
    </xf>
    <xf numFmtId="0" fontId="13" fillId="0" borderId="48" xfId="8" applyFont="1" applyBorder="1" applyAlignment="1">
      <alignment horizontal="left" vertical="center"/>
    </xf>
    <xf numFmtId="0" fontId="13" fillId="0" borderId="84" xfId="43" applyFont="1" applyBorder="1" applyAlignment="1">
      <alignment horizontal="center" vertical="center"/>
    </xf>
    <xf numFmtId="0" fontId="13" fillId="0" borderId="81" xfId="43" applyFont="1" applyBorder="1" applyAlignment="1">
      <alignment horizontal="center" vertical="center"/>
    </xf>
    <xf numFmtId="164" fontId="30" fillId="0" borderId="74" xfId="42" applyFont="1" applyBorder="1" applyAlignment="1">
      <alignment horizontal="center" vertical="center"/>
    </xf>
    <xf numFmtId="164" fontId="30" fillId="0" borderId="77" xfId="42" applyFont="1" applyBorder="1" applyAlignment="1">
      <alignment horizontal="left" vertical="center"/>
    </xf>
    <xf numFmtId="0" fontId="19" fillId="0" borderId="1" xfId="40" applyFont="1" applyBorder="1" applyAlignment="1">
      <alignment horizontal="center" vertical="center"/>
    </xf>
    <xf numFmtId="0" fontId="19" fillId="0" borderId="1" xfId="40" applyFont="1" applyBorder="1" applyAlignment="1">
      <alignment vertical="center"/>
    </xf>
    <xf numFmtId="38" fontId="19" fillId="0" borderId="1" xfId="1" applyNumberFormat="1" applyFont="1" applyFill="1" applyBorder="1" applyAlignment="1">
      <alignment horizontal="right" vertical="center"/>
    </xf>
    <xf numFmtId="166" fontId="13" fillId="0" borderId="90" xfId="11" applyFont="1" applyBorder="1" applyAlignment="1" applyProtection="1">
      <alignment horizontal="center" vertical="center"/>
      <protection locked="0"/>
    </xf>
    <xf numFmtId="0" fontId="13" fillId="0" borderId="83" xfId="8" applyFont="1" applyBorder="1" applyAlignment="1">
      <alignment vertical="center"/>
    </xf>
    <xf numFmtId="0" fontId="13" fillId="0" borderId="82" xfId="8" applyFont="1" applyBorder="1" applyAlignment="1">
      <alignment vertical="center"/>
    </xf>
    <xf numFmtId="38" fontId="16" fillId="0" borderId="94" xfId="1" applyNumberFormat="1" applyFont="1" applyFill="1" applyBorder="1" applyAlignment="1">
      <alignment vertical="center"/>
    </xf>
    <xf numFmtId="38" fontId="16" fillId="0" borderId="95" xfId="1" applyNumberFormat="1" applyFont="1" applyFill="1" applyBorder="1" applyAlignment="1">
      <alignment vertical="center"/>
    </xf>
    <xf numFmtId="0" fontId="44" fillId="0" borderId="0" xfId="40" applyFont="1" applyAlignment="1">
      <alignment horizontal="center" vertical="center"/>
    </xf>
    <xf numFmtId="0" fontId="44" fillId="0" borderId="0" xfId="40" applyFont="1" applyAlignment="1">
      <alignment vertical="center"/>
    </xf>
    <xf numFmtId="0" fontId="44" fillId="0" borderId="0" xfId="40" applyFont="1" applyAlignment="1">
      <alignment horizontal="centerContinuous" vertical="center"/>
    </xf>
    <xf numFmtId="38" fontId="44" fillId="0" borderId="0" xfId="1" applyNumberFormat="1" applyFont="1" applyAlignment="1">
      <alignment horizontal="right" vertical="center"/>
    </xf>
    <xf numFmtId="38" fontId="44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8" xfId="0" applyFont="1" applyBorder="1" applyAlignment="1">
      <alignment vertical="center"/>
    </xf>
    <xf numFmtId="0" fontId="28" fillId="4" borderId="5" xfId="0" quotePrefix="1" applyFont="1" applyFill="1" applyBorder="1" applyAlignment="1">
      <alignment horizontal="center" vertical="center"/>
    </xf>
    <xf numFmtId="0" fontId="28" fillId="4" borderId="19" xfId="0" quotePrefix="1" applyFont="1" applyFill="1" applyBorder="1" applyAlignment="1">
      <alignment horizontal="center" vertical="center"/>
    </xf>
    <xf numFmtId="0" fontId="28" fillId="4" borderId="96" xfId="0" quotePrefix="1" applyFont="1" applyFill="1" applyBorder="1" applyAlignment="1">
      <alignment horizontal="center" vertical="center"/>
    </xf>
    <xf numFmtId="0" fontId="28" fillId="4" borderId="97" xfId="0" quotePrefix="1" applyFont="1" applyFill="1" applyBorder="1" applyAlignment="1">
      <alignment horizontal="center" vertical="center"/>
    </xf>
    <xf numFmtId="4" fontId="28" fillId="4" borderId="98" xfId="0" quotePrefix="1" applyNumberFormat="1" applyFont="1" applyFill="1" applyBorder="1" applyAlignment="1">
      <alignment horizontal="center" vertical="center"/>
    </xf>
    <xf numFmtId="4" fontId="28" fillId="4" borderId="97" xfId="0" quotePrefix="1" applyNumberFormat="1" applyFont="1" applyFill="1" applyBorder="1" applyAlignment="1">
      <alignment horizontal="center" vertical="center"/>
    </xf>
    <xf numFmtId="4" fontId="28" fillId="4" borderId="99" xfId="0" quotePrefix="1" applyNumberFormat="1" applyFont="1" applyFill="1" applyBorder="1" applyAlignment="1">
      <alignment horizontal="center" vertical="center"/>
    </xf>
    <xf numFmtId="4" fontId="28" fillId="4" borderId="7" xfId="0" quotePrefix="1" applyNumberFormat="1" applyFont="1" applyFill="1" applyBorder="1" applyAlignment="1">
      <alignment horizontal="center" vertical="center"/>
    </xf>
    <xf numFmtId="4" fontId="28" fillId="4" borderId="100" xfId="0" quotePrefix="1" applyNumberFormat="1" applyFont="1" applyFill="1" applyBorder="1" applyAlignment="1">
      <alignment horizontal="center" vertical="center"/>
    </xf>
    <xf numFmtId="0" fontId="45" fillId="0" borderId="0" xfId="33" applyFont="1" applyAlignment="1">
      <alignment vertical="center"/>
    </xf>
    <xf numFmtId="4" fontId="28" fillId="4" borderId="23" xfId="15" applyNumberFormat="1" applyFont="1" applyFill="1" applyBorder="1">
      <alignment horizontal="center" vertical="center" wrapText="1"/>
    </xf>
    <xf numFmtId="4" fontId="28" fillId="4" borderId="24" xfId="15" applyNumberFormat="1" applyFont="1" applyFill="1" applyBorder="1">
      <alignment horizontal="center" vertical="center" wrapText="1"/>
    </xf>
    <xf numFmtId="4" fontId="28" fillId="4" borderId="6" xfId="15" applyNumberFormat="1" applyFont="1" applyFill="1" applyBorder="1">
      <alignment horizontal="center" vertical="center" wrapText="1"/>
    </xf>
    <xf numFmtId="4" fontId="28" fillId="4" borderId="25" xfId="15" quotePrefix="1" applyNumberFormat="1" applyFont="1" applyFill="1" applyBorder="1">
      <alignment horizontal="center" vertical="center" wrapText="1"/>
    </xf>
    <xf numFmtId="4" fontId="28" fillId="4" borderId="28" xfId="15" quotePrefix="1" applyNumberFormat="1" applyFont="1" applyFill="1" applyBorder="1">
      <alignment horizontal="center" vertical="center" wrapText="1"/>
    </xf>
    <xf numFmtId="4" fontId="28" fillId="4" borderId="27" xfId="15" quotePrefix="1" applyNumberFormat="1" applyFont="1" applyFill="1" applyBorder="1">
      <alignment horizontal="center" vertical="center" wrapText="1"/>
    </xf>
    <xf numFmtId="0" fontId="28" fillId="4" borderId="3" xfId="15" applyFont="1" applyFill="1" applyBorder="1" applyAlignment="1">
      <alignment horizontal="left" vertical="center" wrapText="1"/>
    </xf>
    <xf numFmtId="0" fontId="28" fillId="4" borderId="21" xfId="0" applyFont="1" applyFill="1" applyBorder="1" applyAlignment="1">
      <alignment vertical="center"/>
    </xf>
    <xf numFmtId="0" fontId="28" fillId="4" borderId="8" xfId="15" applyFont="1" applyFill="1" applyBorder="1">
      <alignment horizontal="center" vertical="center" wrapText="1"/>
    </xf>
    <xf numFmtId="0" fontId="28" fillId="4" borderId="14" xfId="15" applyFont="1" applyFill="1" applyBorder="1">
      <alignment horizontal="center" vertical="center" wrapText="1"/>
    </xf>
    <xf numFmtId="4" fontId="28" fillId="4" borderId="3" xfId="15" applyNumberFormat="1" applyFont="1" applyFill="1" applyBorder="1">
      <alignment horizontal="center" vertical="center" wrapText="1"/>
    </xf>
    <xf numFmtId="4" fontId="28" fillId="4" borderId="14" xfId="15" quotePrefix="1" applyNumberFormat="1" applyFont="1" applyFill="1" applyBorder="1">
      <alignment horizontal="center" vertical="center" wrapText="1"/>
    </xf>
    <xf numFmtId="4" fontId="28" fillId="4" borderId="20" xfId="15" quotePrefix="1" applyNumberFormat="1" applyFont="1" applyFill="1" applyBorder="1">
      <alignment horizontal="center" vertical="center" wrapText="1"/>
    </xf>
    <xf numFmtId="4" fontId="28" fillId="4" borderId="4" xfId="15" quotePrefix="1" applyNumberFormat="1" applyFont="1" applyFill="1" applyBorder="1">
      <alignment horizontal="center" vertical="center" wrapText="1"/>
    </xf>
    <xf numFmtId="4" fontId="28" fillId="4" borderId="21" xfId="15" quotePrefix="1" applyNumberFormat="1" applyFont="1" applyFill="1" applyBorder="1">
      <alignment horizontal="center" vertical="center" wrapText="1"/>
    </xf>
    <xf numFmtId="4" fontId="12" fillId="0" borderId="14" xfId="0" applyNumberFormat="1" applyFont="1" applyBorder="1" applyAlignment="1">
      <alignment vertical="center"/>
    </xf>
    <xf numFmtId="4" fontId="12" fillId="0" borderId="21" xfId="0" applyNumberFormat="1" applyFont="1" applyBorder="1" applyAlignment="1">
      <alignment vertical="center"/>
    </xf>
    <xf numFmtId="4" fontId="12" fillId="0" borderId="26" xfId="0" applyNumberFormat="1" applyFont="1" applyBorder="1" applyAlignment="1">
      <alignment vertical="center"/>
    </xf>
    <xf numFmtId="4" fontId="12" fillId="0" borderId="30" xfId="0" applyNumberFormat="1" applyFont="1" applyBorder="1" applyAlignment="1">
      <alignment vertical="center"/>
    </xf>
    <xf numFmtId="166" fontId="13" fillId="0" borderId="3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38" fontId="15" fillId="0" borderId="102" xfId="1" applyNumberFormat="1" applyFont="1" applyBorder="1" applyAlignment="1">
      <alignment vertical="center"/>
    </xf>
    <xf numFmtId="38" fontId="15" fillId="0" borderId="4" xfId="1" applyNumberFormat="1" applyFont="1" applyBorder="1" applyAlignment="1">
      <alignment vertical="center"/>
    </xf>
    <xf numFmtId="38" fontId="15" fillId="0" borderId="13" xfId="1" applyNumberFormat="1" applyFont="1" applyBorder="1" applyAlignment="1">
      <alignment vertical="center"/>
    </xf>
    <xf numFmtId="38" fontId="16" fillId="0" borderId="4" xfId="1" applyNumberFormat="1" applyFont="1" applyFill="1" applyBorder="1" applyAlignment="1">
      <alignment horizontal="right" vertical="center"/>
    </xf>
    <xf numFmtId="0" fontId="13" fillId="0" borderId="21" xfId="0" applyFont="1" applyBorder="1" applyAlignment="1">
      <alignment horizontal="left" vertical="center" wrapText="1"/>
    </xf>
    <xf numFmtId="0" fontId="14" fillId="0" borderId="27" xfId="8" applyFont="1" applyBorder="1" applyAlignment="1">
      <alignment horizontal="center" vertical="center"/>
    </xf>
    <xf numFmtId="0" fontId="15" fillId="0" borderId="102" xfId="8" applyFont="1" applyBorder="1" applyAlignment="1">
      <alignment vertical="center"/>
    </xf>
    <xf numFmtId="0" fontId="14" fillId="0" borderId="6" xfId="8" applyFont="1" applyBorder="1" applyAlignment="1">
      <alignment horizontal="right" vertical="center"/>
    </xf>
    <xf numFmtId="0" fontId="15" fillId="0" borderId="13" xfId="8" applyFont="1" applyBorder="1" applyAlignment="1">
      <alignment vertical="center"/>
    </xf>
    <xf numFmtId="0" fontId="15" fillId="0" borderId="26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38" fontId="16" fillId="0" borderId="29" xfId="2" applyFont="1" applyFill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46" fillId="0" borderId="21" xfId="0" applyFont="1" applyBorder="1" applyAlignment="1">
      <alignment horizontal="center" vertical="center"/>
    </xf>
    <xf numFmtId="38" fontId="46" fillId="0" borderId="21" xfId="1" applyNumberFormat="1" applyFont="1" applyFill="1" applyBorder="1" applyAlignment="1">
      <alignment horizontal="right" vertical="center"/>
    </xf>
    <xf numFmtId="38" fontId="46" fillId="0" borderId="21" xfId="0" applyNumberFormat="1" applyFont="1" applyBorder="1" applyAlignment="1">
      <alignment horizontal="right" vertical="center"/>
    </xf>
    <xf numFmtId="38" fontId="46" fillId="0" borderId="26" xfId="1" applyNumberFormat="1" applyFont="1" applyFill="1" applyBorder="1" applyAlignment="1">
      <alignment horizontal="right" vertical="center"/>
    </xf>
    <xf numFmtId="38" fontId="46" fillId="0" borderId="30" xfId="1" applyNumberFormat="1" applyFont="1" applyFill="1" applyBorder="1" applyAlignment="1">
      <alignment horizontal="right" vertical="center"/>
    </xf>
    <xf numFmtId="0" fontId="13" fillId="0" borderId="8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21" xfId="8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6" xfId="0" applyBorder="1" applyAlignment="1">
      <alignment vertical="center"/>
    </xf>
    <xf numFmtId="0" fontId="46" fillId="0" borderId="30" xfId="0" applyFont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166" fontId="16" fillId="0" borderId="3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/>
    </xf>
    <xf numFmtId="38" fontId="13" fillId="0" borderId="21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41" fontId="13" fillId="0" borderId="21" xfId="1" applyNumberFormat="1" applyFont="1" applyFill="1" applyBorder="1" applyAlignment="1">
      <alignment horizontal="right" vertical="center"/>
    </xf>
    <xf numFmtId="41" fontId="13" fillId="0" borderId="22" xfId="1" applyNumberFormat="1" applyFont="1" applyFill="1" applyBorder="1" applyAlignment="1">
      <alignment horizontal="right" vertical="center"/>
    </xf>
    <xf numFmtId="38" fontId="13" fillId="0" borderId="8" xfId="0" applyNumberFormat="1" applyFont="1" applyBorder="1" applyAlignment="1">
      <alignment horizontal="center" vertical="center"/>
    </xf>
    <xf numFmtId="38" fontId="13" fillId="0" borderId="8" xfId="1" applyNumberFormat="1" applyFont="1" applyFill="1" applyBorder="1" applyAlignment="1">
      <alignment horizontal="center" vertical="center"/>
    </xf>
    <xf numFmtId="0" fontId="15" fillId="0" borderId="4" xfId="8" applyFont="1" applyBorder="1" applyAlignment="1">
      <alignment vertical="center"/>
    </xf>
    <xf numFmtId="38" fontId="16" fillId="0" borderId="4" xfId="2" applyFont="1" applyFill="1" applyBorder="1" applyAlignment="1">
      <alignment horizontal="right" vertical="center"/>
    </xf>
    <xf numFmtId="0" fontId="16" fillId="0" borderId="14" xfId="8" applyFont="1" applyBorder="1" applyAlignment="1">
      <alignment horizontal="left" vertical="center"/>
    </xf>
    <xf numFmtId="3" fontId="16" fillId="0" borderId="21" xfId="14" applyNumberFormat="1" applyFont="1" applyBorder="1" applyAlignment="1">
      <alignment horizontal="center" vertical="center"/>
    </xf>
    <xf numFmtId="0" fontId="16" fillId="0" borderId="21" xfId="14" applyFont="1" applyBorder="1" applyAlignment="1">
      <alignment horizontal="center" vertical="center"/>
    </xf>
    <xf numFmtId="38" fontId="16" fillId="0" borderId="21" xfId="1" applyNumberFormat="1" applyFont="1" applyFill="1" applyBorder="1" applyAlignment="1">
      <alignment horizontal="right" vertical="center"/>
    </xf>
    <xf numFmtId="38" fontId="16" fillId="0" borderId="22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8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41" fontId="13" fillId="0" borderId="3" xfId="1" applyNumberFormat="1" applyFont="1" applyFill="1" applyBorder="1" applyAlignment="1">
      <alignment horizontal="right" vertical="center"/>
    </xf>
    <xf numFmtId="41" fontId="13" fillId="0" borderId="4" xfId="1" applyNumberFormat="1" applyFont="1" applyFill="1" applyBorder="1" applyAlignment="1">
      <alignment horizontal="right" vertical="center"/>
    </xf>
    <xf numFmtId="41" fontId="13" fillId="0" borderId="13" xfId="1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3" fillId="0" borderId="21" xfId="0" applyFont="1" applyBorder="1" applyAlignment="1">
      <alignment vertical="center"/>
    </xf>
    <xf numFmtId="38" fontId="3" fillId="0" borderId="21" xfId="1" applyNumberFormat="1" applyFont="1" applyBorder="1" applyAlignment="1">
      <alignment vertical="center"/>
    </xf>
    <xf numFmtId="38" fontId="3" fillId="0" borderId="26" xfId="1" applyNumberFormat="1" applyFont="1" applyBorder="1" applyAlignment="1">
      <alignment vertical="center"/>
    </xf>
    <xf numFmtId="38" fontId="46" fillId="0" borderId="30" xfId="1" applyNumberFormat="1" applyFont="1" applyBorder="1" applyAlignment="1">
      <alignment vertical="center"/>
    </xf>
    <xf numFmtId="0" fontId="46" fillId="0" borderId="21" xfId="0" quotePrefix="1" applyFont="1" applyBorder="1" applyAlignment="1">
      <alignment horizontal="center" vertical="center"/>
    </xf>
    <xf numFmtId="0" fontId="46" fillId="0" borderId="21" xfId="0" applyFont="1" applyBorder="1" applyAlignment="1">
      <alignment horizontal="centerContinuous" vertical="center"/>
    </xf>
    <xf numFmtId="0" fontId="16" fillId="0" borderId="14" xfId="0" applyFont="1" applyBorder="1" applyAlignment="1">
      <alignment vertical="center"/>
    </xf>
    <xf numFmtId="38" fontId="16" fillId="0" borderId="21" xfId="1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38" fontId="15" fillId="0" borderId="21" xfId="1" applyNumberFormat="1" applyFont="1" applyFill="1" applyBorder="1" applyAlignment="1">
      <alignment horizontal="right" vertical="center"/>
    </xf>
    <xf numFmtId="0" fontId="16" fillId="0" borderId="22" xfId="0" applyFont="1" applyBorder="1" applyAlignment="1">
      <alignment vertical="center"/>
    </xf>
    <xf numFmtId="41" fontId="43" fillId="0" borderId="3" xfId="1" applyNumberFormat="1" applyFont="1" applyFill="1" applyBorder="1" applyAlignment="1">
      <alignment horizontal="right" vertical="center"/>
    </xf>
    <xf numFmtId="0" fontId="46" fillId="0" borderId="0" xfId="0" applyFont="1" applyAlignment="1">
      <alignment vertical="center"/>
    </xf>
    <xf numFmtId="166" fontId="13" fillId="0" borderId="23" xfId="0" applyNumberFormat="1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66" fontId="12" fillId="3" borderId="3" xfId="0" applyNumberFormat="1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left" vertical="center"/>
    </xf>
    <xf numFmtId="0" fontId="0" fillId="3" borderId="21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46" fillId="3" borderId="30" xfId="0" applyFont="1" applyFill="1" applyBorder="1" applyAlignment="1">
      <alignment vertical="center"/>
    </xf>
    <xf numFmtId="0" fontId="46" fillId="3" borderId="0" xfId="0" applyFont="1" applyFill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6" fontId="13" fillId="3" borderId="3" xfId="0" applyNumberFormat="1" applyFont="1" applyFill="1" applyBorder="1" applyAlignment="1">
      <alignment horizontal="center" vertical="center"/>
    </xf>
    <xf numFmtId="38" fontId="15" fillId="0" borderId="18" xfId="1" applyNumberFormat="1" applyFont="1" applyBorder="1" applyAlignment="1">
      <alignment vertical="center"/>
    </xf>
    <xf numFmtId="38" fontId="15" fillId="0" borderId="35" xfId="1" applyNumberFormat="1" applyFont="1" applyBorder="1" applyAlignment="1">
      <alignment vertical="center"/>
    </xf>
    <xf numFmtId="38" fontId="16" fillId="5" borderId="36" xfId="1" applyNumberFormat="1" applyFont="1" applyFill="1" applyBorder="1" applyAlignment="1">
      <alignment horizontal="right" vertical="center"/>
    </xf>
    <xf numFmtId="0" fontId="15" fillId="0" borderId="18" xfId="8" applyFont="1" applyBorder="1" applyAlignment="1">
      <alignment vertical="center"/>
    </xf>
    <xf numFmtId="38" fontId="43" fillId="5" borderId="36" xfId="2" applyFont="1" applyFill="1" applyBorder="1" applyAlignment="1">
      <alignment horizontal="right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Continuous" vertical="center"/>
    </xf>
    <xf numFmtId="38" fontId="46" fillId="0" borderId="0" xfId="1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horizontal="right" vertical="center"/>
    </xf>
    <xf numFmtId="38" fontId="46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38" fontId="4" fillId="0" borderId="0" xfId="0" applyNumberFormat="1" applyFont="1" applyAlignment="1">
      <alignment horizontal="right" vertical="center"/>
    </xf>
    <xf numFmtId="0" fontId="49" fillId="0" borderId="103" xfId="45" applyFont="1" applyBorder="1" applyAlignment="1">
      <alignment horizontal="left" wrapText="1"/>
    </xf>
    <xf numFmtId="1" fontId="49" fillId="0" borderId="103" xfId="45" applyNumberFormat="1" applyFont="1" applyBorder="1" applyAlignment="1">
      <alignment horizontal="center" vertical="center" shrinkToFit="1"/>
    </xf>
    <xf numFmtId="0" fontId="49" fillId="0" borderId="0" xfId="45" applyFont="1" applyAlignment="1">
      <alignment horizontal="left" vertical="center"/>
    </xf>
    <xf numFmtId="165" fontId="49" fillId="0" borderId="103" xfId="46" applyNumberFormat="1" applyFont="1" applyFill="1" applyBorder="1" applyAlignment="1">
      <alignment horizontal="left" wrapText="1"/>
    </xf>
    <xf numFmtId="165" fontId="49" fillId="0" borderId="103" xfId="46" applyNumberFormat="1" applyFont="1" applyFill="1" applyBorder="1" applyAlignment="1">
      <alignment horizontal="left" vertical="center" wrapText="1"/>
    </xf>
    <xf numFmtId="165" fontId="49" fillId="0" borderId="0" xfId="46" applyNumberFormat="1" applyFont="1" applyFill="1" applyBorder="1" applyAlignment="1">
      <alignment horizontal="left" vertical="center"/>
    </xf>
    <xf numFmtId="165" fontId="53" fillId="0" borderId="0" xfId="46" applyNumberFormat="1" applyFont="1" applyFill="1" applyBorder="1" applyAlignment="1">
      <alignment horizontal="right" vertical="center"/>
    </xf>
    <xf numFmtId="165" fontId="53" fillId="0" borderId="0" xfId="46" applyNumberFormat="1" applyFont="1" applyFill="1" applyBorder="1" applyAlignment="1">
      <alignment horizontal="right" vertical="center" wrapText="1"/>
    </xf>
    <xf numFmtId="0" fontId="52" fillId="6" borderId="86" xfId="45" applyFont="1" applyFill="1" applyBorder="1" applyAlignment="1">
      <alignment horizontal="center" vertical="center" wrapText="1"/>
    </xf>
    <xf numFmtId="0" fontId="49" fillId="6" borderId="86" xfId="45" applyFont="1" applyFill="1" applyBorder="1" applyAlignment="1">
      <alignment horizontal="center" vertical="center" wrapText="1"/>
    </xf>
    <xf numFmtId="165" fontId="52" fillId="6" borderId="86" xfId="46" applyNumberFormat="1" applyFont="1" applyFill="1" applyBorder="1" applyAlignment="1">
      <alignment horizontal="center" vertical="center" wrapText="1"/>
    </xf>
    <xf numFmtId="0" fontId="49" fillId="0" borderId="105" xfId="45" applyFont="1" applyBorder="1" applyAlignment="1">
      <alignment horizontal="left" wrapText="1"/>
    </xf>
    <xf numFmtId="0" fontId="49" fillId="0" borderId="106" xfId="45" applyFont="1" applyBorder="1" applyAlignment="1">
      <alignment horizontal="left" wrapText="1"/>
    </xf>
    <xf numFmtId="165" fontId="49" fillId="0" borderId="105" xfId="46" applyNumberFormat="1" applyFont="1" applyFill="1" applyBorder="1" applyAlignment="1">
      <alignment horizontal="left" wrapText="1"/>
    </xf>
    <xf numFmtId="0" fontId="4" fillId="0" borderId="104" xfId="45" applyFont="1" applyBorder="1" applyAlignment="1">
      <alignment vertical="center" wrapText="1"/>
    </xf>
    <xf numFmtId="0" fontId="49" fillId="0" borderId="104" xfId="45" applyFont="1" applyBorder="1" applyAlignment="1">
      <alignment horizontal="left" wrapText="1"/>
    </xf>
    <xf numFmtId="0" fontId="49" fillId="0" borderId="109" xfId="45" applyFont="1" applyBorder="1" applyAlignment="1">
      <alignment wrapText="1"/>
    </xf>
    <xf numFmtId="0" fontId="49" fillId="0" borderId="108" xfId="45" applyFont="1" applyBorder="1" applyAlignment="1">
      <alignment wrapText="1"/>
    </xf>
    <xf numFmtId="165" fontId="49" fillId="0" borderId="110" xfId="46" applyNumberFormat="1" applyFont="1" applyFill="1" applyBorder="1" applyAlignment="1">
      <alignment wrapText="1"/>
    </xf>
    <xf numFmtId="0" fontId="4" fillId="0" borderId="0" xfId="45" applyFont="1" applyAlignment="1">
      <alignment horizontal="left" vertical="center" wrapText="1"/>
    </xf>
    <xf numFmtId="0" fontId="54" fillId="0" borderId="0" xfId="45" applyFont="1" applyAlignment="1">
      <alignment horizontal="left" vertical="center"/>
    </xf>
    <xf numFmtId="3" fontId="4" fillId="0" borderId="104" xfId="45" applyNumberFormat="1" applyFont="1" applyBorder="1" applyAlignment="1">
      <alignment vertical="center" wrapText="1"/>
    </xf>
    <xf numFmtId="38" fontId="4" fillId="0" borderId="104" xfId="45" applyNumberFormat="1" applyFont="1" applyBorder="1" applyAlignment="1">
      <alignment vertical="center" wrapText="1"/>
    </xf>
    <xf numFmtId="0" fontId="55" fillId="7" borderId="107" xfId="45" applyFont="1" applyFill="1" applyBorder="1" applyAlignment="1">
      <alignment vertical="center" wrapText="1"/>
    </xf>
    <xf numFmtId="0" fontId="50" fillId="7" borderId="111" xfId="45" applyFont="1" applyFill="1" applyBorder="1" applyAlignment="1">
      <alignment horizontal="center" vertical="center" wrapText="1"/>
    </xf>
    <xf numFmtId="0" fontId="51" fillId="7" borderId="111" xfId="45" applyFont="1" applyFill="1" applyBorder="1" applyAlignment="1">
      <alignment horizontal="center" vertical="center" wrapText="1"/>
    </xf>
    <xf numFmtId="165" fontId="50" fillId="7" borderId="112" xfId="46" applyNumberFormat="1" applyFont="1" applyFill="1" applyBorder="1" applyAlignment="1">
      <alignment horizontal="left" vertical="center" wrapText="1"/>
    </xf>
    <xf numFmtId="0" fontId="56" fillId="0" borderId="0" xfId="0" applyFont="1" applyAlignment="1">
      <alignment vertical="center"/>
    </xf>
    <xf numFmtId="38" fontId="56" fillId="0" borderId="0" xfId="1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49" fillId="0" borderId="109" xfId="45" applyFont="1" applyBorder="1" applyAlignment="1">
      <alignment horizontal="left" wrapText="1"/>
    </xf>
    <xf numFmtId="0" fontId="49" fillId="0" borderId="108" xfId="45" applyFont="1" applyBorder="1" applyAlignment="1">
      <alignment horizontal="left" wrapText="1"/>
    </xf>
    <xf numFmtId="165" fontId="49" fillId="0" borderId="110" xfId="46" applyNumberFormat="1" applyFont="1" applyFill="1" applyBorder="1" applyAlignment="1">
      <alignment horizontal="left" vertical="center" wrapText="1"/>
    </xf>
    <xf numFmtId="0" fontId="50" fillId="0" borderId="0" xfId="45" applyFont="1" applyAlignment="1">
      <alignment horizontal="left" vertical="center" wrapText="1"/>
    </xf>
    <xf numFmtId="0" fontId="4" fillId="0" borderId="0" xfId="45" applyFont="1" applyAlignment="1">
      <alignment horizontal="left" vertical="center" wrapText="1"/>
    </xf>
    <xf numFmtId="38" fontId="15" fillId="0" borderId="33" xfId="34" applyFont="1" applyFill="1" applyBorder="1" applyAlignment="1">
      <alignment horizontal="right" vertical="center"/>
    </xf>
    <xf numFmtId="38" fontId="15" fillId="0" borderId="34" xfId="34" applyFont="1" applyFill="1" applyBorder="1" applyAlignment="1">
      <alignment horizontal="right" vertical="center"/>
    </xf>
    <xf numFmtId="38" fontId="15" fillId="0" borderId="52" xfId="34" applyFont="1" applyFill="1" applyBorder="1" applyAlignment="1">
      <alignment horizontal="right" vertical="center"/>
    </xf>
    <xf numFmtId="0" fontId="17" fillId="2" borderId="14" xfId="15" applyFont="1" applyFill="1" applyBorder="1" applyAlignment="1">
      <alignment horizontal="center" vertical="center"/>
    </xf>
    <xf numFmtId="0" fontId="17" fillId="2" borderId="21" xfId="15" applyFont="1" applyFill="1" applyBorder="1" applyAlignment="1">
      <alignment horizontal="center" vertical="center"/>
    </xf>
    <xf numFmtId="0" fontId="17" fillId="2" borderId="48" xfId="15" applyFont="1" applyFill="1" applyBorder="1" applyAlignment="1">
      <alignment horizontal="center" vertical="center"/>
    </xf>
    <xf numFmtId="38" fontId="15" fillId="0" borderId="20" xfId="34" applyFont="1" applyFill="1" applyBorder="1" applyAlignment="1">
      <alignment horizontal="right" vertical="center"/>
    </xf>
    <xf numFmtId="38" fontId="15" fillId="0" borderId="21" xfId="34" applyFont="1" applyFill="1" applyBorder="1" applyAlignment="1">
      <alignment horizontal="right" vertical="center"/>
    </xf>
    <xf numFmtId="38" fontId="15" fillId="0" borderId="22" xfId="34" applyFont="1" applyFill="1" applyBorder="1" applyAlignment="1">
      <alignment horizontal="right" vertical="center"/>
    </xf>
    <xf numFmtId="38" fontId="15" fillId="0" borderId="49" xfId="34" applyFont="1" applyFill="1" applyBorder="1" applyAlignment="1">
      <alignment horizontal="right" vertical="center"/>
    </xf>
    <xf numFmtId="38" fontId="15" fillId="0" borderId="32" xfId="34" applyFont="1" applyFill="1" applyBorder="1" applyAlignment="1">
      <alignment horizontal="right" vertical="center"/>
    </xf>
    <xf numFmtId="38" fontId="15" fillId="0" borderId="54" xfId="34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2" borderId="37" xfId="0" quotePrefix="1" applyFont="1" applyFill="1" applyBorder="1" applyAlignment="1">
      <alignment horizontal="center" vertical="center"/>
    </xf>
    <xf numFmtId="0" fontId="17" fillId="2" borderId="19" xfId="0" quotePrefix="1" applyFont="1" applyFill="1" applyBorder="1" applyAlignment="1">
      <alignment horizontal="center" vertical="center"/>
    </xf>
    <xf numFmtId="0" fontId="17" fillId="2" borderId="12" xfId="0" quotePrefix="1" applyFont="1" applyFill="1" applyBorder="1" applyAlignment="1">
      <alignment horizontal="center" vertical="center"/>
    </xf>
    <xf numFmtId="0" fontId="17" fillId="2" borderId="23" xfId="15" applyFont="1" applyFill="1" applyBorder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7" fillId="2" borderId="24" xfId="15" applyFont="1" applyFill="1" applyBorder="1" applyAlignment="1">
      <alignment horizontal="center" vertical="center"/>
    </xf>
    <xf numFmtId="0" fontId="17" fillId="2" borderId="32" xfId="15" applyFont="1" applyFill="1" applyBorder="1" applyAlignment="1">
      <alignment horizontal="center" vertical="center"/>
    </xf>
    <xf numFmtId="0" fontId="17" fillId="2" borderId="40" xfId="15" applyFont="1" applyFill="1" applyBorder="1" applyAlignment="1">
      <alignment horizontal="center" vertical="center"/>
    </xf>
    <xf numFmtId="0" fontId="17" fillId="2" borderId="42" xfId="15" applyFont="1" applyFill="1" applyBorder="1" applyAlignment="1">
      <alignment horizontal="center" vertical="center"/>
    </xf>
    <xf numFmtId="0" fontId="17" fillId="2" borderId="0" xfId="15" applyFont="1" applyFill="1" applyAlignment="1">
      <alignment horizontal="center" vertical="center"/>
    </xf>
    <xf numFmtId="0" fontId="17" fillId="2" borderId="43" xfId="15" applyFont="1" applyFill="1" applyBorder="1" applyAlignment="1">
      <alignment horizontal="center" vertical="center"/>
    </xf>
    <xf numFmtId="0" fontId="17" fillId="2" borderId="28" xfId="15" applyFont="1" applyFill="1" applyBorder="1" applyAlignment="1">
      <alignment horizontal="center" vertical="center"/>
    </xf>
    <xf numFmtId="0" fontId="17" fillId="2" borderId="26" xfId="15" applyFont="1" applyFill="1" applyBorder="1" applyAlignment="1">
      <alignment horizontal="center" vertical="center"/>
    </xf>
    <xf numFmtId="0" fontId="17" fillId="2" borderId="45" xfId="15" applyFont="1" applyFill="1" applyBorder="1" applyAlignment="1">
      <alignment horizontal="center" vertical="center"/>
    </xf>
    <xf numFmtId="0" fontId="17" fillId="2" borderId="11" xfId="15" applyFont="1" applyFill="1" applyBorder="1">
      <alignment horizontal="center" vertical="center" wrapText="1"/>
    </xf>
    <xf numFmtId="0" fontId="17" fillId="2" borderId="10" xfId="15" applyFont="1" applyFill="1" applyBorder="1">
      <alignment horizontal="center" vertical="center" wrapText="1"/>
    </xf>
    <xf numFmtId="0" fontId="17" fillId="2" borderId="46" xfId="15" applyFont="1" applyFill="1" applyBorder="1">
      <alignment horizontal="center" vertical="center" wrapText="1"/>
    </xf>
    <xf numFmtId="0" fontId="17" fillId="2" borderId="41" xfId="15" applyFont="1" applyFill="1" applyBorder="1" applyAlignment="1">
      <alignment horizontal="center" vertical="center"/>
    </xf>
    <xf numFmtId="0" fontId="17" fillId="2" borderId="44" xfId="15" applyFont="1" applyFill="1" applyBorder="1" applyAlignment="1">
      <alignment horizontal="center" vertical="center"/>
    </xf>
    <xf numFmtId="0" fontId="17" fillId="2" borderId="47" xfId="15" applyFont="1" applyFill="1" applyBorder="1" applyAlignment="1">
      <alignment horizontal="center" vertical="center"/>
    </xf>
    <xf numFmtId="0" fontId="17" fillId="2" borderId="20" xfId="15" applyFont="1" applyFill="1" applyBorder="1">
      <alignment horizontal="center" vertical="center" wrapText="1"/>
    </xf>
    <xf numFmtId="0" fontId="17" fillId="2" borderId="22" xfId="15" applyFont="1" applyFill="1" applyBorder="1">
      <alignment horizontal="center" vertical="center" wrapText="1"/>
    </xf>
    <xf numFmtId="0" fontId="16" fillId="0" borderId="69" xfId="40" applyFont="1" applyBorder="1" applyAlignment="1">
      <alignment horizontal="right" vertical="center"/>
    </xf>
    <xf numFmtId="0" fontId="16" fillId="0" borderId="84" xfId="40" applyFont="1" applyBorder="1" applyAlignment="1">
      <alignment horizontal="right" vertical="center"/>
    </xf>
    <xf numFmtId="0" fontId="16" fillId="0" borderId="70" xfId="40" applyFont="1" applyBorder="1" applyAlignment="1">
      <alignment horizontal="right" vertical="center"/>
    </xf>
    <xf numFmtId="0" fontId="13" fillId="0" borderId="83" xfId="8" applyFont="1" applyBorder="1" applyAlignment="1">
      <alignment vertical="center" wrapText="1"/>
    </xf>
    <xf numFmtId="0" fontId="13" fillId="0" borderId="82" xfId="8" applyFont="1" applyBorder="1" applyAlignment="1">
      <alignment vertical="center" wrapText="1"/>
    </xf>
    <xf numFmtId="0" fontId="16" fillId="0" borderId="91" xfId="40" applyFont="1" applyBorder="1" applyAlignment="1">
      <alignment horizontal="right" vertical="center"/>
    </xf>
    <xf numFmtId="0" fontId="16" fillId="0" borderId="92" xfId="40" applyFont="1" applyBorder="1" applyAlignment="1">
      <alignment horizontal="right" vertical="center"/>
    </xf>
    <xf numFmtId="0" fontId="16" fillId="0" borderId="93" xfId="40" applyFont="1" applyBorder="1" applyAlignment="1">
      <alignment horizontal="right" vertical="center"/>
    </xf>
    <xf numFmtId="0" fontId="13" fillId="0" borderId="14" xfId="8" applyFont="1" applyBorder="1" applyAlignment="1">
      <alignment horizontal="left" vertical="center" wrapText="1"/>
    </xf>
    <xf numFmtId="0" fontId="13" fillId="0" borderId="48" xfId="8" applyFont="1" applyBorder="1" applyAlignment="1">
      <alignment horizontal="left" vertical="center" wrapText="1"/>
    </xf>
    <xf numFmtId="4" fontId="16" fillId="0" borderId="83" xfId="8" applyNumberFormat="1" applyFont="1" applyBorder="1" applyAlignment="1">
      <alignment horizontal="left" vertical="center" wrapText="1"/>
    </xf>
    <xf numFmtId="4" fontId="16" fillId="0" borderId="84" xfId="8" applyNumberFormat="1" applyFont="1" applyBorder="1" applyAlignment="1">
      <alignment horizontal="left" vertical="center" wrapText="1"/>
    </xf>
    <xf numFmtId="4" fontId="16" fillId="0" borderId="70" xfId="8" applyNumberFormat="1" applyFont="1" applyBorder="1" applyAlignment="1">
      <alignment horizontal="left" vertical="center" wrapText="1"/>
    </xf>
    <xf numFmtId="0" fontId="13" fillId="0" borderId="83" xfId="8" applyFont="1" applyBorder="1" applyAlignment="1">
      <alignment horizontal="left" vertical="center" wrapText="1"/>
    </xf>
    <xf numFmtId="0" fontId="13" fillId="0" borderId="82" xfId="8" applyFont="1" applyBorder="1" applyAlignment="1">
      <alignment horizontal="left" vertical="center" wrapText="1"/>
    </xf>
    <xf numFmtId="0" fontId="16" fillId="0" borderId="83" xfId="8" applyFont="1" applyBorder="1" applyAlignment="1">
      <alignment horizontal="left" vertical="center" wrapText="1"/>
    </xf>
    <xf numFmtId="0" fontId="16" fillId="0" borderId="84" xfId="8" applyFont="1" applyBorder="1" applyAlignment="1">
      <alignment horizontal="left" vertical="center" wrapText="1"/>
    </xf>
    <xf numFmtId="0" fontId="16" fillId="0" borderId="70" xfId="8" applyFont="1" applyBorder="1" applyAlignment="1">
      <alignment horizontal="left" vertical="center" wrapText="1"/>
    </xf>
    <xf numFmtId="38" fontId="13" fillId="0" borderId="83" xfId="44" applyFont="1" applyFill="1" applyBorder="1" applyAlignment="1">
      <alignment horizontal="left" vertical="center" wrapText="1"/>
    </xf>
    <xf numFmtId="38" fontId="13" fillId="0" borderId="82" xfId="44" applyFont="1" applyFill="1" applyBorder="1" applyAlignment="1">
      <alignment horizontal="left" vertical="center" wrapText="1"/>
    </xf>
    <xf numFmtId="0" fontId="14" fillId="0" borderId="85" xfId="8" applyFont="1" applyBorder="1" applyAlignment="1">
      <alignment horizontal="left" vertical="center" wrapText="1"/>
    </xf>
    <xf numFmtId="0" fontId="14" fillId="0" borderId="82" xfId="8" applyFont="1" applyBorder="1" applyAlignment="1">
      <alignment horizontal="left" vertical="center" wrapText="1"/>
    </xf>
    <xf numFmtId="0" fontId="8" fillId="0" borderId="0" xfId="40" applyFont="1" applyAlignment="1">
      <alignment horizontal="left" vertical="center" wrapText="1"/>
    </xf>
    <xf numFmtId="0" fontId="9" fillId="0" borderId="0" xfId="40" applyFont="1" applyAlignment="1">
      <alignment horizontal="center" vertical="center"/>
    </xf>
    <xf numFmtId="0" fontId="28" fillId="4" borderId="61" xfId="40" quotePrefix="1" applyFont="1" applyFill="1" applyBorder="1" applyAlignment="1">
      <alignment horizontal="center" vertical="center"/>
    </xf>
    <xf numFmtId="0" fontId="17" fillId="2" borderId="65" xfId="15" applyFont="1" applyFill="1" applyBorder="1">
      <alignment horizontal="center" vertical="center" wrapText="1"/>
    </xf>
    <xf numFmtId="0" fontId="17" fillId="2" borderId="71" xfId="15" applyFont="1" applyFill="1" applyBorder="1">
      <alignment horizontal="center" vertical="center" wrapText="1"/>
    </xf>
    <xf numFmtId="0" fontId="17" fillId="2" borderId="74" xfId="15" applyFont="1" applyFill="1" applyBorder="1">
      <alignment horizontal="center" vertical="center" wrapText="1"/>
    </xf>
    <xf numFmtId="0" fontId="28" fillId="2" borderId="66" xfId="15" applyFont="1" applyFill="1" applyBorder="1" applyAlignment="1">
      <alignment horizontal="center" vertical="center"/>
    </xf>
    <xf numFmtId="0" fontId="28" fillId="2" borderId="67" xfId="15" applyFont="1" applyFill="1" applyBorder="1" applyAlignment="1">
      <alignment horizontal="center" vertical="center"/>
    </xf>
    <xf numFmtId="0" fontId="28" fillId="2" borderId="72" xfId="15" applyFont="1" applyFill="1" applyBorder="1" applyAlignment="1">
      <alignment horizontal="center" vertical="center"/>
    </xf>
    <xf numFmtId="0" fontId="28" fillId="2" borderId="43" xfId="15" applyFont="1" applyFill="1" applyBorder="1" applyAlignment="1">
      <alignment horizontal="center" vertical="center"/>
    </xf>
    <xf numFmtId="0" fontId="28" fillId="2" borderId="77" xfId="15" applyFont="1" applyFill="1" applyBorder="1" applyAlignment="1">
      <alignment horizontal="center" vertical="center"/>
    </xf>
    <xf numFmtId="0" fontId="28" fillId="2" borderId="75" xfId="15" applyFont="1" applyFill="1" applyBorder="1" applyAlignment="1">
      <alignment horizontal="center" vertical="center"/>
    </xf>
    <xf numFmtId="0" fontId="28" fillId="2" borderId="11" xfId="15" applyFont="1" applyFill="1" applyBorder="1">
      <alignment horizontal="center" vertical="center" wrapText="1"/>
    </xf>
    <xf numFmtId="0" fontId="28" fillId="2" borderId="10" xfId="15" applyFont="1" applyFill="1" applyBorder="1">
      <alignment horizontal="center" vertical="center" wrapText="1"/>
    </xf>
    <xf numFmtId="0" fontId="28" fillId="4" borderId="78" xfId="15" applyFont="1" applyFill="1" applyBorder="1">
      <alignment horizontal="center" vertical="center" wrapText="1"/>
    </xf>
    <xf numFmtId="0" fontId="28" fillId="2" borderId="68" xfId="15" applyFont="1" applyFill="1" applyBorder="1" applyAlignment="1">
      <alignment horizontal="center" vertical="center"/>
    </xf>
    <xf numFmtId="0" fontId="28" fillId="2" borderId="73" xfId="15" applyFont="1" applyFill="1" applyBorder="1" applyAlignment="1">
      <alignment horizontal="center" vertical="center"/>
    </xf>
    <xf numFmtId="0" fontId="28" fillId="2" borderId="79" xfId="15" applyFont="1" applyFill="1" applyBorder="1" applyAlignment="1">
      <alignment horizontal="center" vertical="center"/>
    </xf>
    <xf numFmtId="38" fontId="28" fillId="2" borderId="69" xfId="1" applyNumberFormat="1" applyFont="1" applyFill="1" applyBorder="1" applyAlignment="1">
      <alignment horizontal="center" vertical="center" wrapText="1"/>
    </xf>
    <xf numFmtId="38" fontId="28" fillId="2" borderId="70" xfId="1" applyNumberFormat="1" applyFont="1" applyFill="1" applyBorder="1" applyAlignment="1">
      <alignment horizontal="center" vertical="center" wrapText="1"/>
    </xf>
    <xf numFmtId="0" fontId="15" fillId="0" borderId="20" xfId="8" applyFont="1" applyBorder="1" applyAlignment="1">
      <alignment horizontal="right" vertical="center"/>
    </xf>
    <xf numFmtId="0" fontId="15" fillId="0" borderId="21" xfId="8" applyFont="1" applyBorder="1" applyAlignment="1">
      <alignment horizontal="right" vertical="center"/>
    </xf>
    <xf numFmtId="0" fontId="15" fillId="0" borderId="33" xfId="8" applyFont="1" applyBorder="1" applyAlignment="1">
      <alignment horizontal="right" vertical="center"/>
    </xf>
    <xf numFmtId="0" fontId="15" fillId="0" borderId="34" xfId="8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8" fillId="4" borderId="17" xfId="15" applyFont="1" applyFill="1" applyBorder="1">
      <alignment horizontal="center" vertical="center" wrapText="1"/>
    </xf>
    <xf numFmtId="0" fontId="28" fillId="4" borderId="25" xfId="15" applyFont="1" applyFill="1" applyBorder="1">
      <alignment horizontal="center" vertical="center" wrapText="1"/>
    </xf>
    <xf numFmtId="0" fontId="28" fillId="4" borderId="0" xfId="15" applyFont="1" applyFill="1">
      <alignment horizontal="center" vertical="center" wrapText="1"/>
    </xf>
    <xf numFmtId="0" fontId="28" fillId="4" borderId="26" xfId="15" applyFont="1" applyFill="1" applyBorder="1">
      <alignment horizontal="center" vertical="center" wrapText="1"/>
    </xf>
    <xf numFmtId="0" fontId="28" fillId="4" borderId="58" xfId="15" applyFont="1" applyFill="1" applyBorder="1">
      <alignment horizontal="center" vertical="center" wrapText="1"/>
    </xf>
    <xf numFmtId="0" fontId="28" fillId="4" borderId="15" xfId="15" applyFont="1" applyFill="1" applyBorder="1">
      <alignment horizontal="center" vertical="center" wrapText="1"/>
    </xf>
    <xf numFmtId="0" fontId="28" fillId="4" borderId="101" xfId="15" applyFont="1" applyFill="1" applyBorder="1">
      <alignment horizontal="center" vertical="center" wrapText="1"/>
    </xf>
    <xf numFmtId="0" fontId="28" fillId="4" borderId="6" xfId="15" applyFont="1" applyFill="1" applyBorder="1">
      <alignment horizontal="center" vertical="center" wrapText="1"/>
    </xf>
    <xf numFmtId="0" fontId="28" fillId="4" borderId="16" xfId="15" applyFont="1" applyFill="1" applyBorder="1">
      <alignment horizontal="center" vertical="center" wrapText="1"/>
    </xf>
    <xf numFmtId="0" fontId="28" fillId="4" borderId="27" xfId="15" applyFont="1" applyFill="1" applyBorder="1">
      <alignment horizontal="center" vertical="center" wrapText="1"/>
    </xf>
    <xf numFmtId="4" fontId="28" fillId="4" borderId="20" xfId="15" applyNumberFormat="1" applyFont="1" applyFill="1" applyBorder="1">
      <alignment horizontal="center" vertical="center" wrapText="1"/>
    </xf>
    <xf numFmtId="4" fontId="28" fillId="4" borderId="21" xfId="15" applyNumberFormat="1" applyFont="1" applyFill="1" applyBorder="1">
      <alignment horizontal="center" vertical="center" wrapText="1"/>
    </xf>
    <xf numFmtId="4" fontId="28" fillId="4" borderId="22" xfId="15" applyNumberFormat="1" applyFont="1" applyFill="1" applyBorder="1">
      <alignment horizontal="center" vertical="center" wrapText="1"/>
    </xf>
  </cellXfs>
  <cellStyles count="49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4" xr:uid="{11776940-B633-481B-AC26-3C7057DF8A9E}"/>
    <cellStyle name="Comma 10" xfId="35" xr:uid="{00000000-0005-0000-0000-000004000000}"/>
    <cellStyle name="Comma 12" xfId="36" xr:uid="{00000000-0005-0000-0000-000005000000}"/>
    <cellStyle name="Comma 16" xfId="18" xr:uid="{00000000-0005-0000-0000-000006000000}"/>
    <cellStyle name="Comma 19" xfId="38" xr:uid="{00000000-0005-0000-0000-000007000000}"/>
    <cellStyle name="Comma 2" xfId="3" xr:uid="{00000000-0005-0000-0000-000008000000}"/>
    <cellStyle name="Comma 2 2" xfId="4" xr:uid="{00000000-0005-0000-0000-000009000000}"/>
    <cellStyle name="Comma 2 2 2" xfId="21" xr:uid="{00000000-0005-0000-0000-00000A000000}"/>
    <cellStyle name="Comma 2 3" xfId="47" xr:uid="{FA371070-C454-49BC-8BE4-CE0EB8E29A9E}"/>
    <cellStyle name="Comma 3" xfId="5" xr:uid="{00000000-0005-0000-0000-00000B000000}"/>
    <cellStyle name="Comma 3 2 2" xfId="29" xr:uid="{00000000-0005-0000-0000-00000C000000}"/>
    <cellStyle name="Comma 4" xfId="25" xr:uid="{00000000-0005-0000-0000-00000D000000}"/>
    <cellStyle name="Comma 5" xfId="24" xr:uid="{00000000-0005-0000-0000-00000E000000}"/>
    <cellStyle name="Comma 6" xfId="6" xr:uid="{00000000-0005-0000-0000-00000F000000}"/>
    <cellStyle name="Comma 7" xfId="46" xr:uid="{4D7B383B-F35F-419D-A911-C7447328FEE9}"/>
    <cellStyle name="Description" xfId="7" xr:uid="{00000000-0005-0000-0000-000010000000}"/>
    <cellStyle name="Description 2" xfId="8" xr:uid="{00000000-0005-0000-0000-000011000000}"/>
    <cellStyle name="Excel Built-in Normal" xfId="23" xr:uid="{00000000-0005-0000-0000-000012000000}"/>
    <cellStyle name="Heading1" xfId="9" xr:uid="{00000000-0005-0000-0000-000013000000}"/>
    <cellStyle name="Heading1 1" xfId="10" xr:uid="{00000000-0005-0000-0000-000014000000}"/>
    <cellStyle name="Heading1 2" xfId="42" xr:uid="{DA2FC434-C491-4DC0-B889-004E329441C8}"/>
    <cellStyle name="List Number 1" xfId="11" xr:uid="{00000000-0005-0000-0000-000015000000}"/>
    <cellStyle name="Normal" xfId="0" builtinId="0"/>
    <cellStyle name="Normal 11 3" xfId="16" xr:uid="{00000000-0005-0000-0000-000017000000}"/>
    <cellStyle name="Normal 13" xfId="19" xr:uid="{00000000-0005-0000-0000-000018000000}"/>
    <cellStyle name="Normal 13 3" xfId="32" xr:uid="{00000000-0005-0000-0000-000019000000}"/>
    <cellStyle name="Normal 16" xfId="17" xr:uid="{00000000-0005-0000-0000-00001A000000}"/>
    <cellStyle name="Normal 2" xfId="12" xr:uid="{00000000-0005-0000-0000-00001B000000}"/>
    <cellStyle name="Normal 2 2" xfId="31" xr:uid="{00000000-0005-0000-0000-00001C000000}"/>
    <cellStyle name="Normal 2 3" xfId="48" xr:uid="{E0DD9BF6-EB6F-44C0-BDFC-21476DE047BD}"/>
    <cellStyle name="Normal 21 16" xfId="27" xr:uid="{00000000-0005-0000-0000-00001D000000}"/>
    <cellStyle name="Normal 21 2 3 2 2" xfId="26" xr:uid="{00000000-0005-0000-0000-00001E000000}"/>
    <cellStyle name="Normal 21 6 2 2" xfId="28" xr:uid="{00000000-0005-0000-0000-00001F000000}"/>
    <cellStyle name="Normal 3" xfId="22" xr:uid="{00000000-0005-0000-0000-000020000000}"/>
    <cellStyle name="Normal 3 2" xfId="30" xr:uid="{00000000-0005-0000-0000-000021000000}"/>
    <cellStyle name="Normal 4" xfId="37" xr:uid="{00000000-0005-0000-0000-000022000000}"/>
    <cellStyle name="Normal 5" xfId="13" xr:uid="{00000000-0005-0000-0000-000023000000}"/>
    <cellStyle name="Normal 6" xfId="40" xr:uid="{6B7FE9E8-7683-4A56-8D58-CECC789E6320}"/>
    <cellStyle name="Normal 7" xfId="45" xr:uid="{A24B6390-B95C-418B-9A20-4639AF663F91}"/>
    <cellStyle name="Normal_Sheet1 2" xfId="33" xr:uid="{00000000-0005-0000-0000-000024000000}"/>
    <cellStyle name="Normal_Sheet1_1176-Gernal BOQ for Plumbing &amp; fire" xfId="41" xr:uid="{19FD1A54-3E10-4FA6-A6DB-E967FCEC3CD5}"/>
    <cellStyle name="Percent 2" xfId="20" xr:uid="{00000000-0005-0000-0000-000025000000}"/>
    <cellStyle name="Qty Unit" xfId="14" xr:uid="{00000000-0005-0000-0000-000026000000}"/>
    <cellStyle name="Qty Unit 2" xfId="43" xr:uid="{DAACE795-058A-4A41-9E9D-14F95E828FC3}"/>
    <cellStyle name="Section1" xfId="15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CLIENT ADDRESS DATA BASE"/>
      <sheetName val="MONTHLY BASIS-2008"/>
      <sheetName val="LIST OF JOBS"/>
      <sheetName val="OASIS GOLF &amp; COUNTRY CLUB"/>
      <sheetName val="SENT BILLS"/>
      <sheetName val="CLINT ADDRESSES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50"/>
      <sheetName val="Section 16010"/>
      <sheetName val="Section 16010-b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showGridLines="0" tabSelected="1" zoomScale="110" zoomScaleNormal="110" zoomScaleSheetLayoutView="115" workbookViewId="0">
      <selection activeCell="F21" sqref="F21"/>
    </sheetView>
  </sheetViews>
  <sheetFormatPr defaultRowHeight="15" x14ac:dyDescent="0.2"/>
  <cols>
    <col min="1" max="1" width="7.42578125" style="2" customWidth="1"/>
    <col min="2" max="2" width="38.42578125" style="1" customWidth="1"/>
    <col min="3" max="3" width="13" style="1" customWidth="1"/>
    <col min="4" max="4" width="13.140625" style="1" customWidth="1"/>
    <col min="5" max="5" width="23" style="7" customWidth="1"/>
    <col min="6" max="6" width="14.5703125" style="7" bestFit="1" customWidth="1"/>
    <col min="7" max="7" width="9.140625" style="7"/>
    <col min="8" max="8" width="9.140625" style="8"/>
    <col min="9" max="16384" width="9.140625" style="1"/>
  </cols>
  <sheetData>
    <row r="1" spans="1:8" ht="20.25" x14ac:dyDescent="0.2">
      <c r="A1" s="416" t="s">
        <v>96</v>
      </c>
      <c r="B1" s="398"/>
      <c r="C1" s="398"/>
      <c r="D1" s="398"/>
      <c r="E1" s="401"/>
    </row>
    <row r="2" spans="1:8" ht="15.75" x14ac:dyDescent="0.2">
      <c r="A2" s="430"/>
      <c r="B2" s="431"/>
      <c r="C2" s="415"/>
      <c r="D2" s="415"/>
      <c r="E2" s="402"/>
    </row>
    <row r="3" spans="1:8" ht="15.75" x14ac:dyDescent="0.2">
      <c r="A3" s="430"/>
      <c r="B3" s="431"/>
      <c r="C3" s="415"/>
      <c r="D3" s="415"/>
      <c r="E3" s="403"/>
    </row>
    <row r="4" spans="1:8" x14ac:dyDescent="0.2">
      <c r="A4" s="404" t="s">
        <v>287</v>
      </c>
      <c r="B4" s="405" t="s">
        <v>288</v>
      </c>
      <c r="C4" s="406" t="s">
        <v>292</v>
      </c>
      <c r="D4" s="406" t="s">
        <v>293</v>
      </c>
      <c r="E4" s="406" t="s">
        <v>294</v>
      </c>
    </row>
    <row r="5" spans="1:8" x14ac:dyDescent="0.2">
      <c r="A5" s="407"/>
      <c r="B5" s="408"/>
      <c r="C5" s="408"/>
      <c r="D5" s="408"/>
      <c r="E5" s="409"/>
    </row>
    <row r="6" spans="1:8" x14ac:dyDescent="0.2">
      <c r="A6" s="397">
        <v>1</v>
      </c>
      <c r="B6" s="410" t="s">
        <v>289</v>
      </c>
      <c r="C6" s="417">
        <f>HVAC!H88</f>
        <v>1659649.5</v>
      </c>
      <c r="D6" s="417">
        <f>HVAC!J88</f>
        <v>639360</v>
      </c>
      <c r="E6" s="400">
        <f>D6+C6</f>
        <v>2299009.5</v>
      </c>
    </row>
    <row r="7" spans="1:8" x14ac:dyDescent="0.2">
      <c r="A7" s="396"/>
      <c r="B7" s="411"/>
      <c r="C7" s="411"/>
      <c r="D7" s="411"/>
      <c r="E7" s="399"/>
    </row>
    <row r="8" spans="1:8" x14ac:dyDescent="0.2">
      <c r="A8" s="397">
        <v>2</v>
      </c>
      <c r="B8" s="410" t="s">
        <v>290</v>
      </c>
      <c r="C8" s="418">
        <f>Fire!F90</f>
        <v>500600</v>
      </c>
      <c r="D8" s="418">
        <f>Fire!H90</f>
        <v>198000</v>
      </c>
      <c r="E8" s="400">
        <f>D8+C8</f>
        <v>698600</v>
      </c>
    </row>
    <row r="9" spans="1:8" x14ac:dyDescent="0.2">
      <c r="A9" s="396"/>
      <c r="B9" s="411"/>
      <c r="C9" s="411"/>
      <c r="D9" s="411"/>
      <c r="E9" s="400"/>
    </row>
    <row r="10" spans="1:8" x14ac:dyDescent="0.2">
      <c r="A10" s="397">
        <v>3</v>
      </c>
      <c r="B10" s="410" t="s">
        <v>291</v>
      </c>
      <c r="C10" s="418">
        <f>Plumbing!G97</f>
        <v>2909406</v>
      </c>
      <c r="D10" s="418">
        <f>Plumbing!I97</f>
        <v>428800</v>
      </c>
      <c r="E10" s="400">
        <f>D10+C10</f>
        <v>3338206</v>
      </c>
      <c r="F10" s="426"/>
    </row>
    <row r="11" spans="1:8" x14ac:dyDescent="0.2">
      <c r="A11" s="396"/>
      <c r="B11" s="411" t="s">
        <v>295</v>
      </c>
      <c r="C11" s="411"/>
      <c r="D11" s="411"/>
      <c r="E11" s="400">
        <v>579000</v>
      </c>
      <c r="F11" s="426"/>
    </row>
    <row r="12" spans="1:8" x14ac:dyDescent="0.2">
      <c r="A12" s="427"/>
      <c r="B12" s="410" t="s">
        <v>296</v>
      </c>
      <c r="C12" s="428"/>
      <c r="D12" s="428"/>
      <c r="E12" s="429">
        <f>E10-E11</f>
        <v>2759206</v>
      </c>
      <c r="F12" s="426"/>
    </row>
    <row r="13" spans="1:8" ht="52.5" customHeight="1" thickBot="1" x14ac:dyDescent="0.25">
      <c r="A13" s="412"/>
      <c r="B13" s="413"/>
      <c r="C13" s="413"/>
      <c r="D13" s="413"/>
      <c r="E13" s="414"/>
    </row>
    <row r="14" spans="1:8" s="423" customFormat="1" ht="20.25" thickBot="1" x14ac:dyDescent="0.25">
      <c r="A14" s="419"/>
      <c r="B14" s="420" t="s">
        <v>294</v>
      </c>
      <c r="C14" s="421"/>
      <c r="D14" s="421"/>
      <c r="E14" s="422">
        <f>E10+E8+E6</f>
        <v>6335815.5</v>
      </c>
      <c r="H14" s="424"/>
    </row>
    <row r="19" spans="5:5" x14ac:dyDescent="0.2">
      <c r="E19" s="425">
        <f>5755861-E14+579955</f>
        <v>0.5</v>
      </c>
    </row>
  </sheetData>
  <mergeCells count="2">
    <mergeCell ref="A3:B3"/>
    <mergeCell ref="A2:B2"/>
  </mergeCells>
  <printOptions horizontalCentered="1"/>
  <pageMargins left="0.5" right="0.25" top="0.75" bottom="0.47" header="0.25" footer="0.125"/>
  <pageSetup paperSize="9" scale="44" firstPageNumber="3" fitToHeight="2" orientation="portrait" useFirstPageNumber="1" r:id="rId1"/>
  <headerFooter alignWithMargins="0">
    <oddFooter xml:space="preserve">&amp;R&amp;"Arial,Bold"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9"/>
  <sheetViews>
    <sheetView showGridLines="0" topLeftCell="A49" zoomScale="110" zoomScaleNormal="110" zoomScaleSheetLayoutView="90" workbookViewId="0">
      <selection activeCell="L88" sqref="L88"/>
    </sheetView>
  </sheetViews>
  <sheetFormatPr defaultRowHeight="12.75" x14ac:dyDescent="0.2"/>
  <cols>
    <col min="1" max="1" width="9.28515625" style="75" customWidth="1"/>
    <col min="2" max="2" width="20.7109375" style="43" customWidth="1"/>
    <col min="3" max="4" width="25.7109375" style="43" customWidth="1"/>
    <col min="5" max="5" width="11.7109375" style="76" customWidth="1"/>
    <col min="6" max="6" width="4.7109375" style="76" customWidth="1"/>
    <col min="7" max="11" width="11.28515625" style="74" customWidth="1"/>
    <col min="12" max="12" width="12.85546875" style="74" customWidth="1"/>
    <col min="13" max="13" width="12.5703125" style="43" bestFit="1" customWidth="1"/>
    <col min="14" max="16384" width="9.140625" style="43"/>
  </cols>
  <sheetData>
    <row r="1" spans="1:19" s="10" customFormat="1" ht="15" x14ac:dyDescent="0.2">
      <c r="A1" s="1" t="s">
        <v>96</v>
      </c>
      <c r="F1" s="11"/>
      <c r="G1" s="11"/>
      <c r="H1" s="11"/>
      <c r="I1" s="11"/>
      <c r="J1" s="11"/>
      <c r="K1" s="11"/>
      <c r="L1" s="3" t="s">
        <v>5</v>
      </c>
    </row>
    <row r="2" spans="1:19" s="10" customFormat="1" ht="15" x14ac:dyDescent="0.2">
      <c r="A2" s="4" t="s">
        <v>74</v>
      </c>
      <c r="G2" s="11"/>
      <c r="H2" s="11"/>
      <c r="I2" s="11"/>
      <c r="J2" s="12"/>
      <c r="K2" s="12"/>
      <c r="L2" s="3" t="s">
        <v>97</v>
      </c>
    </row>
    <row r="3" spans="1:19" s="10" customFormat="1" ht="15" customHeight="1" x14ac:dyDescent="0.2">
      <c r="A3" s="13"/>
      <c r="G3" s="11"/>
      <c r="H3" s="11"/>
      <c r="I3" s="11"/>
      <c r="J3" s="11"/>
      <c r="K3" s="11"/>
      <c r="L3" s="3"/>
    </row>
    <row r="4" spans="1:19" s="10" customFormat="1" ht="15" customHeight="1" x14ac:dyDescent="0.2">
      <c r="A4" s="444" t="s">
        <v>73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</row>
    <row r="5" spans="1:19" s="10" customFormat="1" ht="6.95" customHeight="1" thickBot="1" x14ac:dyDescent="0.25">
      <c r="A5" s="14"/>
      <c r="B5" s="15"/>
      <c r="C5" s="15"/>
      <c r="D5" s="15"/>
      <c r="E5" s="16"/>
      <c r="F5" s="16"/>
      <c r="G5" s="17"/>
      <c r="H5" s="17"/>
      <c r="I5" s="17"/>
      <c r="J5" s="17"/>
      <c r="K5" s="17"/>
      <c r="L5" s="17"/>
    </row>
    <row r="6" spans="1:19" s="21" customFormat="1" ht="13.7" customHeight="1" x14ac:dyDescent="0.2">
      <c r="A6" s="18" t="s">
        <v>6</v>
      </c>
      <c r="B6" s="445" t="s">
        <v>7</v>
      </c>
      <c r="C6" s="446"/>
      <c r="D6" s="447"/>
      <c r="E6" s="19" t="s">
        <v>8</v>
      </c>
      <c r="F6" s="20" t="s">
        <v>9</v>
      </c>
      <c r="G6" s="18" t="s">
        <v>10</v>
      </c>
      <c r="H6" s="20" t="s">
        <v>11</v>
      </c>
      <c r="I6" s="18" t="s">
        <v>12</v>
      </c>
      <c r="J6" s="20" t="s">
        <v>13</v>
      </c>
      <c r="K6" s="18" t="s">
        <v>14</v>
      </c>
      <c r="L6" s="20" t="s">
        <v>15</v>
      </c>
    </row>
    <row r="7" spans="1:19" s="22" customFormat="1" ht="13.7" customHeight="1" x14ac:dyDescent="0.2">
      <c r="A7" s="448" t="s">
        <v>2</v>
      </c>
      <c r="B7" s="451" t="s">
        <v>3</v>
      </c>
      <c r="C7" s="452"/>
      <c r="D7" s="453"/>
      <c r="E7" s="460" t="s">
        <v>16</v>
      </c>
      <c r="F7" s="463" t="s">
        <v>1</v>
      </c>
      <c r="G7" s="466" t="s">
        <v>17</v>
      </c>
      <c r="H7" s="467"/>
      <c r="I7" s="466" t="s">
        <v>18</v>
      </c>
      <c r="J7" s="467"/>
      <c r="K7" s="466" t="s">
        <v>19</v>
      </c>
      <c r="L7" s="467"/>
    </row>
    <row r="8" spans="1:19" s="22" customFormat="1" ht="13.7" customHeight="1" x14ac:dyDescent="0.2">
      <c r="A8" s="449"/>
      <c r="B8" s="454"/>
      <c r="C8" s="455"/>
      <c r="D8" s="456"/>
      <c r="E8" s="461"/>
      <c r="F8" s="464"/>
      <c r="G8" s="124" t="s">
        <v>0</v>
      </c>
      <c r="H8" s="23" t="s">
        <v>20</v>
      </c>
      <c r="I8" s="124" t="s">
        <v>0</v>
      </c>
      <c r="J8" s="23" t="s">
        <v>20</v>
      </c>
      <c r="K8" s="124" t="s">
        <v>0</v>
      </c>
      <c r="L8" s="23" t="s">
        <v>20</v>
      </c>
    </row>
    <row r="9" spans="1:19" s="22" customFormat="1" ht="13.7" customHeight="1" x14ac:dyDescent="0.2">
      <c r="A9" s="450"/>
      <c r="B9" s="457"/>
      <c r="C9" s="458"/>
      <c r="D9" s="459"/>
      <c r="E9" s="462"/>
      <c r="F9" s="465"/>
      <c r="G9" s="24" t="s">
        <v>21</v>
      </c>
      <c r="H9" s="25" t="s">
        <v>21</v>
      </c>
      <c r="I9" s="24" t="s">
        <v>21</v>
      </c>
      <c r="J9" s="25" t="s">
        <v>21</v>
      </c>
      <c r="K9" s="24" t="s">
        <v>21</v>
      </c>
      <c r="L9" s="25" t="s">
        <v>21</v>
      </c>
    </row>
    <row r="10" spans="1:19" s="22" customFormat="1" ht="13.7" customHeight="1" x14ac:dyDescent="0.2">
      <c r="A10" s="26"/>
      <c r="B10" s="435"/>
      <c r="C10" s="436"/>
      <c r="D10" s="437"/>
      <c r="E10" s="27"/>
      <c r="F10" s="28"/>
      <c r="G10" s="124"/>
      <c r="H10" s="29" t="s">
        <v>22</v>
      </c>
      <c r="I10" s="124"/>
      <c r="J10" s="29" t="s">
        <v>23</v>
      </c>
      <c r="K10" s="30" t="s">
        <v>24</v>
      </c>
      <c r="L10" s="120" t="s">
        <v>25</v>
      </c>
    </row>
    <row r="11" spans="1:19" s="38" customFormat="1" ht="15" customHeight="1" x14ac:dyDescent="0.2">
      <c r="A11" s="103">
        <v>1</v>
      </c>
      <c r="B11" s="104" t="s">
        <v>87</v>
      </c>
      <c r="C11" s="39"/>
      <c r="D11" s="39"/>
      <c r="E11" s="40"/>
      <c r="F11" s="40"/>
      <c r="G11" s="41"/>
      <c r="H11" s="41"/>
      <c r="I11" s="41"/>
      <c r="J11" s="41"/>
      <c r="K11" s="41"/>
      <c r="L11" s="42"/>
    </row>
    <row r="12" spans="1:19" s="9" customFormat="1" ht="15" customHeight="1" x14ac:dyDescent="0.2">
      <c r="A12" s="105">
        <v>1.1000000000000001</v>
      </c>
      <c r="B12" s="106" t="s">
        <v>88</v>
      </c>
      <c r="C12" s="107"/>
      <c r="D12" s="107"/>
      <c r="E12" s="108"/>
      <c r="F12" s="44"/>
      <c r="G12" s="45"/>
      <c r="H12" s="46"/>
      <c r="I12" s="45"/>
      <c r="J12" s="46"/>
      <c r="K12" s="47"/>
      <c r="L12" s="109"/>
    </row>
    <row r="13" spans="1:19" s="38" customFormat="1" ht="15" customHeight="1" x14ac:dyDescent="0.2">
      <c r="A13" s="48" t="s">
        <v>98</v>
      </c>
      <c r="B13" s="49" t="s">
        <v>89</v>
      </c>
      <c r="C13" s="110"/>
      <c r="D13" s="111"/>
      <c r="E13" s="112">
        <v>12</v>
      </c>
      <c r="F13" s="54" t="s">
        <v>94</v>
      </c>
      <c r="G13" s="128">
        <v>765</v>
      </c>
      <c r="H13" s="34">
        <f>G13*E13</f>
        <v>9180</v>
      </c>
      <c r="I13" s="128">
        <v>150</v>
      </c>
      <c r="J13" s="129">
        <f>I13*E13</f>
        <v>1800</v>
      </c>
      <c r="K13" s="130"/>
      <c r="L13" s="131">
        <f>J13+H13</f>
        <v>10980</v>
      </c>
    </row>
    <row r="14" spans="1:19" s="38" customFormat="1" ht="15" customHeight="1" x14ac:dyDescent="0.2">
      <c r="A14" s="48" t="s">
        <v>99</v>
      </c>
      <c r="B14" s="114" t="s">
        <v>90</v>
      </c>
      <c r="C14" s="107"/>
      <c r="D14" s="115"/>
      <c r="E14" s="112">
        <v>1</v>
      </c>
      <c r="F14" s="113" t="s">
        <v>29</v>
      </c>
      <c r="G14" s="128">
        <v>4000</v>
      </c>
      <c r="H14" s="34">
        <f>G14*E14</f>
        <v>4000</v>
      </c>
      <c r="I14" s="128">
        <v>1000</v>
      </c>
      <c r="J14" s="129">
        <f>I14*E14</f>
        <v>1000</v>
      </c>
      <c r="K14" s="130"/>
      <c r="L14" s="131">
        <f>J14+H14</f>
        <v>5000</v>
      </c>
      <c r="M14" s="9"/>
      <c r="N14" s="9"/>
      <c r="O14" s="9"/>
      <c r="P14" s="9"/>
      <c r="Q14" s="9"/>
      <c r="R14" s="9"/>
      <c r="S14" s="9"/>
    </row>
    <row r="15" spans="1:19" s="38" customFormat="1" ht="15" customHeight="1" thickBot="1" x14ac:dyDescent="0.25">
      <c r="A15" s="48" t="s">
        <v>100</v>
      </c>
      <c r="B15" s="116" t="s">
        <v>120</v>
      </c>
      <c r="C15" s="117"/>
      <c r="D15" s="118"/>
      <c r="E15" s="119">
        <v>1</v>
      </c>
      <c r="F15" s="119" t="s">
        <v>29</v>
      </c>
      <c r="G15" s="128">
        <v>18000</v>
      </c>
      <c r="H15" s="34">
        <f>G15*E15</f>
        <v>18000</v>
      </c>
      <c r="I15" s="128">
        <v>2000</v>
      </c>
      <c r="J15" s="129">
        <f>I15*E15</f>
        <v>2000</v>
      </c>
      <c r="K15" s="130"/>
      <c r="L15" s="131">
        <f>J15+H15</f>
        <v>20000</v>
      </c>
      <c r="M15" s="9"/>
      <c r="N15" s="9"/>
      <c r="O15" s="9"/>
      <c r="P15" s="9"/>
      <c r="Q15" s="9"/>
      <c r="R15" s="9"/>
      <c r="S15" s="9"/>
    </row>
    <row r="16" spans="1:19" s="38" customFormat="1" ht="15" customHeight="1" thickBot="1" x14ac:dyDescent="0.25">
      <c r="A16" s="438" t="s">
        <v>33</v>
      </c>
      <c r="B16" s="439"/>
      <c r="C16" s="439"/>
      <c r="D16" s="439"/>
      <c r="E16" s="439"/>
      <c r="F16" s="440"/>
      <c r="G16" s="122"/>
      <c r="H16" s="36"/>
      <c r="I16" s="122"/>
      <c r="J16" s="36"/>
      <c r="K16" s="122"/>
      <c r="L16" s="37"/>
      <c r="M16" s="9"/>
      <c r="N16" s="9"/>
      <c r="O16" s="9"/>
      <c r="P16" s="9"/>
      <c r="Q16" s="9"/>
      <c r="R16" s="9"/>
      <c r="S16" s="9"/>
    </row>
    <row r="17" spans="1:19" s="38" customFormat="1" ht="15" customHeight="1" x14ac:dyDescent="0.2">
      <c r="A17" s="31">
        <v>2</v>
      </c>
      <c r="B17" s="32" t="s">
        <v>34</v>
      </c>
      <c r="C17" s="39"/>
      <c r="D17" s="39"/>
      <c r="E17" s="40"/>
      <c r="F17" s="40"/>
      <c r="G17" s="41"/>
      <c r="H17" s="41"/>
      <c r="I17" s="41"/>
      <c r="J17" s="41"/>
      <c r="K17" s="41"/>
      <c r="L17" s="42"/>
      <c r="M17" s="9"/>
      <c r="N17" s="9"/>
      <c r="O17" s="9"/>
      <c r="P17" s="9"/>
      <c r="Q17" s="9"/>
      <c r="R17" s="9"/>
      <c r="S17" s="9"/>
    </row>
    <row r="18" spans="1:19" s="38" customFormat="1" ht="15" customHeight="1" x14ac:dyDescent="0.2">
      <c r="A18" s="52">
        <v>2.1</v>
      </c>
      <c r="B18" s="101" t="s">
        <v>76</v>
      </c>
      <c r="C18" s="51"/>
      <c r="D18" s="53"/>
      <c r="E18" s="54">
        <v>74</v>
      </c>
      <c r="F18" s="54" t="s">
        <v>35</v>
      </c>
      <c r="G18" s="128">
        <v>4900</v>
      </c>
      <c r="H18" s="34">
        <f t="shared" ref="H18:H25" si="0">G18*E18</f>
        <v>362600</v>
      </c>
      <c r="I18" s="128">
        <v>900</v>
      </c>
      <c r="J18" s="129">
        <f t="shared" ref="J18:J25" si="1">I18*E18</f>
        <v>66600</v>
      </c>
      <c r="K18" s="130"/>
      <c r="L18" s="131">
        <f t="shared" ref="L18:L25" si="2">J18+H18</f>
        <v>429200</v>
      </c>
    </row>
    <row r="19" spans="1:19" ht="15" customHeight="1" x14ac:dyDescent="0.2">
      <c r="A19" s="52">
        <v>2.2000000000000002</v>
      </c>
      <c r="B19" s="101" t="s">
        <v>77</v>
      </c>
      <c r="C19" s="55"/>
      <c r="D19" s="56"/>
      <c r="E19" s="57">
        <v>5.6</v>
      </c>
      <c r="F19" s="54" t="s">
        <v>35</v>
      </c>
      <c r="G19" s="128">
        <v>4900</v>
      </c>
      <c r="H19" s="34">
        <f t="shared" si="0"/>
        <v>27440</v>
      </c>
      <c r="I19" s="128">
        <v>900</v>
      </c>
      <c r="J19" s="129">
        <f t="shared" si="1"/>
        <v>5040</v>
      </c>
      <c r="K19" s="130"/>
      <c r="L19" s="131">
        <f t="shared" si="2"/>
        <v>32480</v>
      </c>
    </row>
    <row r="20" spans="1:19" s="38" customFormat="1" ht="15" customHeight="1" x14ac:dyDescent="0.2">
      <c r="A20" s="52">
        <v>2.2999999999999998</v>
      </c>
      <c r="B20" s="101" t="s">
        <v>78</v>
      </c>
      <c r="C20" s="55"/>
      <c r="D20" s="56"/>
      <c r="E20" s="57">
        <v>12.1</v>
      </c>
      <c r="F20" s="54" t="s">
        <v>35</v>
      </c>
      <c r="G20" s="128">
        <v>4900</v>
      </c>
      <c r="H20" s="34">
        <f t="shared" si="0"/>
        <v>59290</v>
      </c>
      <c r="I20" s="128">
        <v>900</v>
      </c>
      <c r="J20" s="129">
        <f t="shared" si="1"/>
        <v>10890</v>
      </c>
      <c r="K20" s="130"/>
      <c r="L20" s="131">
        <f t="shared" si="2"/>
        <v>70180</v>
      </c>
    </row>
    <row r="21" spans="1:19" s="38" customFormat="1" ht="15" customHeight="1" x14ac:dyDescent="0.2">
      <c r="A21" s="52">
        <v>2.4</v>
      </c>
      <c r="B21" s="101" t="s">
        <v>95</v>
      </c>
      <c r="C21" s="55"/>
      <c r="D21" s="56"/>
      <c r="E21" s="57">
        <v>1</v>
      </c>
      <c r="F21" s="54" t="s">
        <v>29</v>
      </c>
      <c r="G21" s="128">
        <v>72000</v>
      </c>
      <c r="H21" s="34">
        <f t="shared" si="0"/>
        <v>72000</v>
      </c>
      <c r="I21" s="128">
        <v>12000</v>
      </c>
      <c r="J21" s="129">
        <f t="shared" si="1"/>
        <v>12000</v>
      </c>
      <c r="K21" s="130"/>
      <c r="L21" s="131">
        <f t="shared" si="2"/>
        <v>84000</v>
      </c>
    </row>
    <row r="22" spans="1:19" s="38" customFormat="1" ht="15" customHeight="1" x14ac:dyDescent="0.2">
      <c r="A22" s="52">
        <v>2.5</v>
      </c>
      <c r="B22" s="49" t="s">
        <v>36</v>
      </c>
      <c r="C22" s="55"/>
      <c r="D22" s="56"/>
      <c r="E22" s="57">
        <v>1</v>
      </c>
      <c r="F22" s="54" t="s">
        <v>29</v>
      </c>
      <c r="G22" s="128">
        <v>48500</v>
      </c>
      <c r="H22" s="34">
        <f t="shared" si="0"/>
        <v>48500</v>
      </c>
      <c r="I22" s="128">
        <v>7000</v>
      </c>
      <c r="J22" s="129">
        <f t="shared" si="1"/>
        <v>7000</v>
      </c>
      <c r="K22" s="130"/>
      <c r="L22" s="131">
        <f t="shared" si="2"/>
        <v>55500</v>
      </c>
    </row>
    <row r="23" spans="1:19" s="38" customFormat="1" ht="15" customHeight="1" x14ac:dyDescent="0.2">
      <c r="A23" s="52">
        <v>2.6</v>
      </c>
      <c r="B23" s="49" t="s">
        <v>37</v>
      </c>
      <c r="C23" s="55"/>
      <c r="D23" s="56"/>
      <c r="E23" s="57">
        <v>1</v>
      </c>
      <c r="F23" s="54" t="s">
        <v>29</v>
      </c>
      <c r="G23" s="128"/>
      <c r="H23" s="34">
        <f t="shared" si="0"/>
        <v>0</v>
      </c>
      <c r="I23" s="128"/>
      <c r="J23" s="129">
        <f t="shared" si="1"/>
        <v>0</v>
      </c>
      <c r="K23" s="130"/>
      <c r="L23" s="131">
        <f t="shared" si="2"/>
        <v>0</v>
      </c>
    </row>
    <row r="24" spans="1:19" s="38" customFormat="1" ht="15" customHeight="1" x14ac:dyDescent="0.2">
      <c r="A24" s="52">
        <v>2.7</v>
      </c>
      <c r="B24" s="49" t="s">
        <v>38</v>
      </c>
      <c r="C24" s="55"/>
      <c r="D24" s="56"/>
      <c r="E24" s="57">
        <v>1</v>
      </c>
      <c r="F24" s="54" t="s">
        <v>29</v>
      </c>
      <c r="G24" s="128">
        <v>45000</v>
      </c>
      <c r="H24" s="34">
        <f t="shared" si="0"/>
        <v>45000</v>
      </c>
      <c r="I24" s="128">
        <v>15000</v>
      </c>
      <c r="J24" s="129">
        <f t="shared" si="1"/>
        <v>15000</v>
      </c>
      <c r="K24" s="130"/>
      <c r="L24" s="131">
        <f t="shared" si="2"/>
        <v>60000</v>
      </c>
    </row>
    <row r="25" spans="1:19" s="38" customFormat="1" ht="15" customHeight="1" thickBot="1" x14ac:dyDescent="0.25">
      <c r="A25" s="52">
        <v>2.8</v>
      </c>
      <c r="B25" s="49" t="s">
        <v>39</v>
      </c>
      <c r="C25" s="55"/>
      <c r="D25" s="56"/>
      <c r="E25" s="57">
        <v>1</v>
      </c>
      <c r="F25" s="54" t="s">
        <v>29</v>
      </c>
      <c r="G25" s="128">
        <v>11000</v>
      </c>
      <c r="H25" s="34">
        <f t="shared" si="0"/>
        <v>11000</v>
      </c>
      <c r="I25" s="128">
        <v>2000</v>
      </c>
      <c r="J25" s="129">
        <f t="shared" si="1"/>
        <v>2000</v>
      </c>
      <c r="K25" s="130"/>
      <c r="L25" s="131">
        <f t="shared" si="2"/>
        <v>13000</v>
      </c>
    </row>
    <row r="26" spans="1:19" s="38" customFormat="1" ht="15" customHeight="1" thickBot="1" x14ac:dyDescent="0.25">
      <c r="A26" s="438" t="s">
        <v>33</v>
      </c>
      <c r="B26" s="439"/>
      <c r="C26" s="439"/>
      <c r="D26" s="439"/>
      <c r="E26" s="439"/>
      <c r="F26" s="440"/>
      <c r="G26" s="122"/>
      <c r="H26" s="36"/>
      <c r="I26" s="122"/>
      <c r="J26" s="36"/>
      <c r="K26" s="122"/>
      <c r="L26" s="37"/>
    </row>
    <row r="27" spans="1:19" s="38" customFormat="1" ht="15" customHeight="1" x14ac:dyDescent="0.2">
      <c r="A27" s="31">
        <v>3</v>
      </c>
      <c r="B27" s="32" t="s">
        <v>123</v>
      </c>
      <c r="C27" s="55"/>
      <c r="D27" s="55"/>
      <c r="E27" s="84"/>
      <c r="F27" s="44"/>
      <c r="G27" s="80"/>
      <c r="H27" s="81"/>
      <c r="I27" s="80"/>
      <c r="J27" s="81"/>
      <c r="K27" s="82"/>
      <c r="L27" s="83"/>
    </row>
    <row r="28" spans="1:19" s="38" customFormat="1" ht="15" customHeight="1" x14ac:dyDescent="0.2">
      <c r="A28" s="52">
        <v>3.1</v>
      </c>
      <c r="B28" s="49" t="s">
        <v>92</v>
      </c>
      <c r="C28" s="55"/>
      <c r="D28" s="56"/>
      <c r="E28" s="125">
        <v>2.5</v>
      </c>
      <c r="F28" s="54" t="s">
        <v>94</v>
      </c>
      <c r="G28" s="128">
        <v>7500</v>
      </c>
      <c r="H28" s="34">
        <f>G28*E28</f>
        <v>18750</v>
      </c>
      <c r="I28" s="128">
        <v>1000</v>
      </c>
      <c r="J28" s="129">
        <f>I28*E28</f>
        <v>2500</v>
      </c>
      <c r="K28" s="130"/>
      <c r="L28" s="131">
        <f>J28+H28</f>
        <v>21250</v>
      </c>
    </row>
    <row r="29" spans="1:19" s="38" customFormat="1" ht="15" customHeight="1" thickBot="1" x14ac:dyDescent="0.25">
      <c r="A29" s="52">
        <v>3.2</v>
      </c>
      <c r="B29" s="49" t="s">
        <v>93</v>
      </c>
      <c r="C29" s="55"/>
      <c r="D29" s="56"/>
      <c r="E29" s="57">
        <v>2.0499999999999998</v>
      </c>
      <c r="F29" s="54" t="s">
        <v>94</v>
      </c>
      <c r="G29" s="128">
        <v>5190</v>
      </c>
      <c r="H29" s="34">
        <f>G29*E29</f>
        <v>10639.499999999998</v>
      </c>
      <c r="I29" s="128">
        <v>1000</v>
      </c>
      <c r="J29" s="129">
        <f>I29*E29</f>
        <v>2050</v>
      </c>
      <c r="K29" s="130"/>
      <c r="L29" s="131">
        <f>J29+H29</f>
        <v>12689.499999999998</v>
      </c>
    </row>
    <row r="30" spans="1:19" s="38" customFormat="1" ht="15" customHeight="1" thickBot="1" x14ac:dyDescent="0.25">
      <c r="A30" s="438" t="s">
        <v>33</v>
      </c>
      <c r="B30" s="439"/>
      <c r="C30" s="439"/>
      <c r="D30" s="439"/>
      <c r="E30" s="439"/>
      <c r="F30" s="440"/>
      <c r="G30" s="122"/>
      <c r="H30" s="36"/>
      <c r="I30" s="122"/>
      <c r="J30" s="36"/>
      <c r="K30" s="122"/>
      <c r="L30" s="37"/>
    </row>
    <row r="31" spans="1:19" s="38" customFormat="1" ht="15" customHeight="1" x14ac:dyDescent="0.2">
      <c r="A31" s="31">
        <v>4</v>
      </c>
      <c r="B31" s="32" t="s">
        <v>40</v>
      </c>
      <c r="C31" s="39"/>
      <c r="D31" s="39"/>
      <c r="E31" s="40"/>
      <c r="F31" s="40"/>
      <c r="G31" s="41"/>
      <c r="H31" s="41"/>
      <c r="I31" s="41"/>
      <c r="J31" s="41"/>
      <c r="K31" s="41"/>
      <c r="L31" s="42"/>
    </row>
    <row r="32" spans="1:19" s="38" customFormat="1" ht="15" customHeight="1" x14ac:dyDescent="0.2">
      <c r="A32" s="52">
        <v>4.0999999999999996</v>
      </c>
      <c r="B32" s="50" t="s">
        <v>55</v>
      </c>
      <c r="C32" s="51"/>
      <c r="D32" s="53"/>
      <c r="E32" s="54">
        <f>E18+E19</f>
        <v>79.599999999999994</v>
      </c>
      <c r="F32" s="54" t="s">
        <v>35</v>
      </c>
      <c r="G32" s="128">
        <v>6750</v>
      </c>
      <c r="H32" s="34">
        <f>G32*E32</f>
        <v>537300</v>
      </c>
      <c r="I32" s="128">
        <v>700</v>
      </c>
      <c r="J32" s="129">
        <f>I32*E32</f>
        <v>55719.999999999993</v>
      </c>
      <c r="K32" s="130"/>
      <c r="L32" s="131">
        <f>J32+H32</f>
        <v>593020</v>
      </c>
    </row>
    <row r="33" spans="1:12" ht="15" customHeight="1" thickBot="1" x14ac:dyDescent="0.25">
      <c r="A33" s="58">
        <v>4.2</v>
      </c>
      <c r="B33" s="33" t="s">
        <v>41</v>
      </c>
      <c r="C33" s="55"/>
      <c r="D33" s="56"/>
      <c r="E33" s="59">
        <f>E20</f>
        <v>12.1</v>
      </c>
      <c r="F33" s="54" t="s">
        <v>35</v>
      </c>
      <c r="G33" s="128">
        <v>5900</v>
      </c>
      <c r="H33" s="34">
        <f>G33*E33</f>
        <v>71390</v>
      </c>
      <c r="I33" s="128">
        <v>600</v>
      </c>
      <c r="J33" s="129">
        <f>I33*E33</f>
        <v>7260</v>
      </c>
      <c r="K33" s="130"/>
      <c r="L33" s="131">
        <f>J33+H33</f>
        <v>78650</v>
      </c>
    </row>
    <row r="34" spans="1:12" s="38" customFormat="1" ht="15" customHeight="1" thickBot="1" x14ac:dyDescent="0.25">
      <c r="A34" s="438" t="s">
        <v>33</v>
      </c>
      <c r="B34" s="439"/>
      <c r="C34" s="439"/>
      <c r="D34" s="439"/>
      <c r="E34" s="439"/>
      <c r="F34" s="440"/>
      <c r="G34" s="122"/>
      <c r="H34" s="36"/>
      <c r="I34" s="122"/>
      <c r="J34" s="36"/>
      <c r="K34" s="122"/>
      <c r="L34" s="37"/>
    </row>
    <row r="35" spans="1:12" s="38" customFormat="1" ht="15" customHeight="1" x14ac:dyDescent="0.2">
      <c r="A35" s="31">
        <v>5</v>
      </c>
      <c r="B35" s="32" t="s">
        <v>42</v>
      </c>
      <c r="C35" s="39"/>
      <c r="D35" s="39"/>
      <c r="E35" s="40"/>
      <c r="F35" s="40"/>
      <c r="G35" s="41"/>
      <c r="H35" s="41"/>
      <c r="I35" s="41"/>
      <c r="J35" s="41"/>
      <c r="K35" s="41"/>
      <c r="L35" s="42"/>
    </row>
    <row r="36" spans="1:12" s="38" customFormat="1" ht="15" customHeight="1" x14ac:dyDescent="0.2">
      <c r="A36" s="91">
        <v>5.0999999999999996</v>
      </c>
      <c r="B36" s="60" t="s">
        <v>82</v>
      </c>
      <c r="C36" s="61"/>
      <c r="D36" s="61"/>
      <c r="E36" s="44"/>
      <c r="F36" s="44"/>
      <c r="G36" s="45"/>
      <c r="H36" s="46"/>
      <c r="I36" s="45"/>
      <c r="J36" s="62"/>
      <c r="K36" s="47"/>
      <c r="L36" s="63"/>
    </row>
    <row r="37" spans="1:12" ht="15" customHeight="1" x14ac:dyDescent="0.2">
      <c r="A37" s="92" t="s">
        <v>101</v>
      </c>
      <c r="B37" s="33" t="s">
        <v>56</v>
      </c>
      <c r="C37" s="126"/>
      <c r="D37" s="127"/>
      <c r="E37" s="93">
        <v>1</v>
      </c>
      <c r="F37" s="54" t="s">
        <v>27</v>
      </c>
      <c r="G37" s="128">
        <v>3200</v>
      </c>
      <c r="H37" s="34">
        <f t="shared" ref="H37:H43" si="3">G37*E37</f>
        <v>3200</v>
      </c>
      <c r="I37" s="128">
        <v>1000</v>
      </c>
      <c r="J37" s="129">
        <f t="shared" ref="J37:J43" si="4">I37*E37</f>
        <v>1000</v>
      </c>
      <c r="K37" s="130"/>
      <c r="L37" s="131">
        <f t="shared" ref="L37:L43" si="5">J37+H37</f>
        <v>4200</v>
      </c>
    </row>
    <row r="38" spans="1:12" s="38" customFormat="1" ht="15" customHeight="1" x14ac:dyDescent="0.2">
      <c r="A38" s="92" t="s">
        <v>102</v>
      </c>
      <c r="B38" s="33" t="s">
        <v>57</v>
      </c>
      <c r="C38" s="126"/>
      <c r="D38" s="127"/>
      <c r="E38" s="93">
        <v>1</v>
      </c>
      <c r="F38" s="54" t="s">
        <v>27</v>
      </c>
      <c r="G38" s="128">
        <v>3200</v>
      </c>
      <c r="H38" s="34">
        <f t="shared" si="3"/>
        <v>3200</v>
      </c>
      <c r="I38" s="128">
        <v>1000</v>
      </c>
      <c r="J38" s="129">
        <f t="shared" si="4"/>
        <v>1000</v>
      </c>
      <c r="K38" s="130"/>
      <c r="L38" s="131">
        <f t="shared" si="5"/>
        <v>4200</v>
      </c>
    </row>
    <row r="39" spans="1:12" s="38" customFormat="1" ht="15" customHeight="1" x14ac:dyDescent="0.2">
      <c r="A39" s="92" t="s">
        <v>103</v>
      </c>
      <c r="B39" s="33" t="s">
        <v>58</v>
      </c>
      <c r="C39" s="126"/>
      <c r="D39" s="127"/>
      <c r="E39" s="93">
        <v>1</v>
      </c>
      <c r="F39" s="54" t="s">
        <v>27</v>
      </c>
      <c r="G39" s="128">
        <v>4700</v>
      </c>
      <c r="H39" s="34">
        <f t="shared" si="3"/>
        <v>4700</v>
      </c>
      <c r="I39" s="128">
        <v>1000</v>
      </c>
      <c r="J39" s="129">
        <f t="shared" si="4"/>
        <v>1000</v>
      </c>
      <c r="K39" s="130"/>
      <c r="L39" s="131">
        <f t="shared" si="5"/>
        <v>5700</v>
      </c>
    </row>
    <row r="40" spans="1:12" s="38" customFormat="1" ht="15" customHeight="1" x14ac:dyDescent="0.2">
      <c r="A40" s="92" t="s">
        <v>104</v>
      </c>
      <c r="B40" s="33" t="s">
        <v>60</v>
      </c>
      <c r="C40" s="126"/>
      <c r="D40" s="127"/>
      <c r="E40" s="93">
        <v>1</v>
      </c>
      <c r="F40" s="54" t="s">
        <v>27</v>
      </c>
      <c r="G40" s="128">
        <v>5880</v>
      </c>
      <c r="H40" s="34">
        <f t="shared" si="3"/>
        <v>5880</v>
      </c>
      <c r="I40" s="128">
        <v>1000</v>
      </c>
      <c r="J40" s="129">
        <f t="shared" si="4"/>
        <v>1000</v>
      </c>
      <c r="K40" s="130"/>
      <c r="L40" s="131">
        <f t="shared" si="5"/>
        <v>6880</v>
      </c>
    </row>
    <row r="41" spans="1:12" s="38" customFormat="1" ht="15" customHeight="1" x14ac:dyDescent="0.2">
      <c r="A41" s="92" t="s">
        <v>105</v>
      </c>
      <c r="B41" s="33" t="s">
        <v>61</v>
      </c>
      <c r="C41" s="126"/>
      <c r="D41" s="127"/>
      <c r="E41" s="93">
        <v>1</v>
      </c>
      <c r="F41" s="54" t="s">
        <v>27</v>
      </c>
      <c r="G41" s="128">
        <v>3300</v>
      </c>
      <c r="H41" s="34">
        <f t="shared" si="3"/>
        <v>3300</v>
      </c>
      <c r="I41" s="128">
        <v>1000</v>
      </c>
      <c r="J41" s="129">
        <f t="shared" si="4"/>
        <v>1000</v>
      </c>
      <c r="K41" s="130"/>
      <c r="L41" s="131">
        <f t="shared" si="5"/>
        <v>4300</v>
      </c>
    </row>
    <row r="42" spans="1:12" s="38" customFormat="1" ht="15" customHeight="1" x14ac:dyDescent="0.2">
      <c r="A42" s="92" t="s">
        <v>106</v>
      </c>
      <c r="B42" s="33" t="s">
        <v>62</v>
      </c>
      <c r="C42" s="126"/>
      <c r="D42" s="127"/>
      <c r="E42" s="93">
        <v>3</v>
      </c>
      <c r="F42" s="54" t="s">
        <v>26</v>
      </c>
      <c r="G42" s="128">
        <v>5880</v>
      </c>
      <c r="H42" s="34">
        <f t="shared" si="3"/>
        <v>17640</v>
      </c>
      <c r="I42" s="128">
        <v>1000</v>
      </c>
      <c r="J42" s="129">
        <f t="shared" si="4"/>
        <v>3000</v>
      </c>
      <c r="K42" s="130"/>
      <c r="L42" s="131">
        <f t="shared" si="5"/>
        <v>20640</v>
      </c>
    </row>
    <row r="43" spans="1:12" s="38" customFormat="1" ht="15" customHeight="1" x14ac:dyDescent="0.2">
      <c r="A43" s="92" t="s">
        <v>107</v>
      </c>
      <c r="B43" s="33" t="s">
        <v>63</v>
      </c>
      <c r="C43" s="126"/>
      <c r="D43" s="127"/>
      <c r="E43" s="93">
        <v>1</v>
      </c>
      <c r="F43" s="54" t="s">
        <v>27</v>
      </c>
      <c r="G43" s="128">
        <v>7050</v>
      </c>
      <c r="H43" s="34">
        <f t="shared" si="3"/>
        <v>7050</v>
      </c>
      <c r="I43" s="128">
        <v>1000</v>
      </c>
      <c r="J43" s="129">
        <f t="shared" si="4"/>
        <v>1000</v>
      </c>
      <c r="K43" s="130"/>
      <c r="L43" s="131">
        <f t="shared" si="5"/>
        <v>8050</v>
      </c>
    </row>
    <row r="44" spans="1:12" s="38" customFormat="1" ht="15" customHeight="1" x14ac:dyDescent="0.2">
      <c r="A44" s="91">
        <v>5.2</v>
      </c>
      <c r="B44" s="60" t="s">
        <v>85</v>
      </c>
      <c r="C44" s="61"/>
      <c r="D44" s="61"/>
      <c r="E44" s="44"/>
      <c r="F44" s="44"/>
      <c r="G44" s="45"/>
      <c r="H44" s="46"/>
      <c r="I44" s="45"/>
      <c r="J44" s="62"/>
      <c r="K44" s="47"/>
      <c r="L44" s="63"/>
    </row>
    <row r="45" spans="1:12" s="38" customFormat="1" ht="15" customHeight="1" x14ac:dyDescent="0.2">
      <c r="A45" s="92" t="s">
        <v>108</v>
      </c>
      <c r="B45" s="33" t="s">
        <v>64</v>
      </c>
      <c r="C45" s="126"/>
      <c r="D45" s="127"/>
      <c r="E45" s="93">
        <v>1</v>
      </c>
      <c r="F45" s="54" t="s">
        <v>27</v>
      </c>
      <c r="G45" s="128">
        <v>4560</v>
      </c>
      <c r="H45" s="34">
        <f t="shared" ref="H45:H47" si="6">G45*E45</f>
        <v>4560</v>
      </c>
      <c r="I45" s="128">
        <v>1000</v>
      </c>
      <c r="J45" s="129">
        <f t="shared" ref="J45:J47" si="7">I45*E45</f>
        <v>1000</v>
      </c>
      <c r="K45" s="130"/>
      <c r="L45" s="131">
        <f t="shared" ref="L45:L47" si="8">J45+H45</f>
        <v>5560</v>
      </c>
    </row>
    <row r="46" spans="1:12" s="38" customFormat="1" ht="15" customHeight="1" x14ac:dyDescent="0.2">
      <c r="A46" s="92" t="s">
        <v>109</v>
      </c>
      <c r="B46" s="33" t="s">
        <v>79</v>
      </c>
      <c r="C46" s="126"/>
      <c r="D46" s="127"/>
      <c r="E46" s="93">
        <v>4</v>
      </c>
      <c r="F46" s="54" t="s">
        <v>26</v>
      </c>
      <c r="G46" s="128">
        <v>4560</v>
      </c>
      <c r="H46" s="34">
        <f t="shared" si="6"/>
        <v>18240</v>
      </c>
      <c r="I46" s="128">
        <v>1000</v>
      </c>
      <c r="J46" s="129">
        <f t="shared" si="7"/>
        <v>4000</v>
      </c>
      <c r="K46" s="130"/>
      <c r="L46" s="131">
        <f t="shared" si="8"/>
        <v>22240</v>
      </c>
    </row>
    <row r="47" spans="1:12" s="38" customFormat="1" ht="15" customHeight="1" x14ac:dyDescent="0.2">
      <c r="A47" s="92" t="s">
        <v>110</v>
      </c>
      <c r="B47" s="33" t="s">
        <v>59</v>
      </c>
      <c r="C47" s="126"/>
      <c r="D47" s="127"/>
      <c r="E47" s="93">
        <v>3</v>
      </c>
      <c r="F47" s="54" t="s">
        <v>26</v>
      </c>
      <c r="G47" s="128">
        <v>4560</v>
      </c>
      <c r="H47" s="34">
        <f t="shared" si="6"/>
        <v>13680</v>
      </c>
      <c r="I47" s="128">
        <v>1000</v>
      </c>
      <c r="J47" s="129">
        <f t="shared" si="7"/>
        <v>3000</v>
      </c>
      <c r="K47" s="130"/>
      <c r="L47" s="131">
        <f t="shared" si="8"/>
        <v>16680</v>
      </c>
    </row>
    <row r="48" spans="1:12" s="38" customFormat="1" ht="15" customHeight="1" x14ac:dyDescent="0.2">
      <c r="A48" s="91">
        <v>5.3</v>
      </c>
      <c r="B48" s="60" t="s">
        <v>83</v>
      </c>
      <c r="C48" s="61"/>
      <c r="D48" s="61"/>
      <c r="E48" s="44"/>
      <c r="F48" s="44"/>
      <c r="G48" s="45"/>
      <c r="H48" s="46"/>
      <c r="I48" s="45"/>
      <c r="J48" s="62"/>
      <c r="K48" s="47"/>
      <c r="L48" s="63"/>
    </row>
    <row r="49" spans="1:12" s="38" customFormat="1" ht="15" customHeight="1" x14ac:dyDescent="0.2">
      <c r="A49" s="92" t="s">
        <v>111</v>
      </c>
      <c r="B49" s="33" t="s">
        <v>65</v>
      </c>
      <c r="C49" s="126"/>
      <c r="D49" s="127"/>
      <c r="E49" s="93">
        <v>1</v>
      </c>
      <c r="F49" s="54" t="s">
        <v>27</v>
      </c>
      <c r="G49" s="128">
        <v>14900</v>
      </c>
      <c r="H49" s="34">
        <f t="shared" ref="H49:H56" si="9">G49*E49</f>
        <v>14900</v>
      </c>
      <c r="I49" s="128">
        <v>1000</v>
      </c>
      <c r="J49" s="129">
        <f t="shared" ref="J49:J56" si="10">I49*E49</f>
        <v>1000</v>
      </c>
      <c r="K49" s="130"/>
      <c r="L49" s="131">
        <f t="shared" ref="L49:L56" si="11">J49+H49</f>
        <v>15900</v>
      </c>
    </row>
    <row r="50" spans="1:12" s="38" customFormat="1" ht="15" customHeight="1" x14ac:dyDescent="0.2">
      <c r="A50" s="92" t="s">
        <v>112</v>
      </c>
      <c r="B50" s="33" t="s">
        <v>66</v>
      </c>
      <c r="C50" s="126"/>
      <c r="D50" s="127"/>
      <c r="E50" s="93">
        <v>1</v>
      </c>
      <c r="F50" s="54" t="s">
        <v>27</v>
      </c>
      <c r="G50" s="128">
        <v>8700</v>
      </c>
      <c r="H50" s="34">
        <f t="shared" si="9"/>
        <v>8700</v>
      </c>
      <c r="I50" s="128">
        <v>1000</v>
      </c>
      <c r="J50" s="129">
        <f t="shared" si="10"/>
        <v>1000</v>
      </c>
      <c r="K50" s="130"/>
      <c r="L50" s="131">
        <f t="shared" si="11"/>
        <v>9700</v>
      </c>
    </row>
    <row r="51" spans="1:12" s="38" customFormat="1" ht="15" customHeight="1" x14ac:dyDescent="0.2">
      <c r="A51" s="92" t="s">
        <v>113</v>
      </c>
      <c r="B51" s="33" t="s">
        <v>67</v>
      </c>
      <c r="C51" s="126"/>
      <c r="D51" s="127"/>
      <c r="E51" s="93">
        <v>3</v>
      </c>
      <c r="F51" s="54" t="s">
        <v>26</v>
      </c>
      <c r="G51" s="128">
        <v>5320</v>
      </c>
      <c r="H51" s="34">
        <f t="shared" si="9"/>
        <v>15960</v>
      </c>
      <c r="I51" s="128">
        <v>1000</v>
      </c>
      <c r="J51" s="129">
        <f t="shared" si="10"/>
        <v>3000</v>
      </c>
      <c r="K51" s="130"/>
      <c r="L51" s="131">
        <f t="shared" si="11"/>
        <v>18960</v>
      </c>
    </row>
    <row r="52" spans="1:12" s="38" customFormat="1" ht="15" customHeight="1" x14ac:dyDescent="0.2">
      <c r="A52" s="92" t="s">
        <v>114</v>
      </c>
      <c r="B52" s="33" t="s">
        <v>68</v>
      </c>
      <c r="C52" s="126"/>
      <c r="D52" s="127"/>
      <c r="E52" s="93">
        <v>1</v>
      </c>
      <c r="F52" s="54" t="s">
        <v>27</v>
      </c>
      <c r="G52" s="128">
        <v>3200</v>
      </c>
      <c r="H52" s="34">
        <f t="shared" si="9"/>
        <v>3200</v>
      </c>
      <c r="I52" s="128">
        <v>1000</v>
      </c>
      <c r="J52" s="129">
        <f t="shared" si="10"/>
        <v>1000</v>
      </c>
      <c r="K52" s="130"/>
      <c r="L52" s="131">
        <f t="shared" si="11"/>
        <v>4200</v>
      </c>
    </row>
    <row r="53" spans="1:12" s="38" customFormat="1" ht="15" customHeight="1" x14ac:dyDescent="0.2">
      <c r="A53" s="92" t="s">
        <v>115</v>
      </c>
      <c r="B53" s="33" t="s">
        <v>69</v>
      </c>
      <c r="C53" s="126"/>
      <c r="D53" s="127"/>
      <c r="E53" s="93">
        <v>1</v>
      </c>
      <c r="F53" s="54" t="s">
        <v>27</v>
      </c>
      <c r="G53" s="128">
        <v>3200</v>
      </c>
      <c r="H53" s="34">
        <f t="shared" si="9"/>
        <v>3200</v>
      </c>
      <c r="I53" s="128">
        <v>1000</v>
      </c>
      <c r="J53" s="129">
        <f t="shared" si="10"/>
        <v>1000</v>
      </c>
      <c r="K53" s="130"/>
      <c r="L53" s="131">
        <f t="shared" si="11"/>
        <v>4200</v>
      </c>
    </row>
    <row r="54" spans="1:12" s="38" customFormat="1" ht="15" customHeight="1" x14ac:dyDescent="0.2">
      <c r="A54" s="92" t="s">
        <v>116</v>
      </c>
      <c r="B54" s="33" t="s">
        <v>70</v>
      </c>
      <c r="C54" s="126"/>
      <c r="D54" s="127"/>
      <c r="E54" s="93">
        <v>1</v>
      </c>
      <c r="F54" s="54" t="s">
        <v>27</v>
      </c>
      <c r="G54" s="128">
        <v>4700</v>
      </c>
      <c r="H54" s="34">
        <f t="shared" si="9"/>
        <v>4700</v>
      </c>
      <c r="I54" s="128">
        <v>1000</v>
      </c>
      <c r="J54" s="129">
        <f t="shared" si="10"/>
        <v>1000</v>
      </c>
      <c r="K54" s="130"/>
      <c r="L54" s="131">
        <f t="shared" si="11"/>
        <v>5700</v>
      </c>
    </row>
    <row r="55" spans="1:12" s="38" customFormat="1" ht="15" customHeight="1" x14ac:dyDescent="0.2">
      <c r="A55" s="92" t="s">
        <v>117</v>
      </c>
      <c r="B55" s="33" t="s">
        <v>71</v>
      </c>
      <c r="C55" s="126"/>
      <c r="D55" s="127"/>
      <c r="E55" s="93">
        <v>1</v>
      </c>
      <c r="F55" s="54" t="s">
        <v>27</v>
      </c>
      <c r="G55" s="128">
        <v>5850</v>
      </c>
      <c r="H55" s="34">
        <f t="shared" si="9"/>
        <v>5850</v>
      </c>
      <c r="I55" s="128">
        <v>1000</v>
      </c>
      <c r="J55" s="129">
        <f t="shared" si="10"/>
        <v>1000</v>
      </c>
      <c r="K55" s="130"/>
      <c r="L55" s="131">
        <f t="shared" si="11"/>
        <v>6850</v>
      </c>
    </row>
    <row r="56" spans="1:12" s="38" customFormat="1" ht="15" customHeight="1" x14ac:dyDescent="0.2">
      <c r="A56" s="92" t="s">
        <v>118</v>
      </c>
      <c r="B56" s="33" t="s">
        <v>72</v>
      </c>
      <c r="C56" s="126"/>
      <c r="D56" s="127"/>
      <c r="E56" s="93">
        <v>1</v>
      </c>
      <c r="F56" s="54" t="s">
        <v>27</v>
      </c>
      <c r="G56" s="128">
        <v>3200</v>
      </c>
      <c r="H56" s="34">
        <f t="shared" si="9"/>
        <v>3200</v>
      </c>
      <c r="I56" s="128">
        <v>1000</v>
      </c>
      <c r="J56" s="129">
        <f t="shared" si="10"/>
        <v>1000</v>
      </c>
      <c r="K56" s="130"/>
      <c r="L56" s="131">
        <f t="shared" si="11"/>
        <v>4200</v>
      </c>
    </row>
    <row r="57" spans="1:12" s="38" customFormat="1" ht="15" customHeight="1" x14ac:dyDescent="0.2">
      <c r="A57" s="91">
        <v>5.4</v>
      </c>
      <c r="B57" s="60" t="s">
        <v>81</v>
      </c>
      <c r="C57" s="61"/>
      <c r="D57" s="61"/>
      <c r="E57" s="44"/>
      <c r="F57" s="44"/>
      <c r="G57" s="45"/>
      <c r="H57" s="46"/>
      <c r="I57" s="45"/>
      <c r="J57" s="62"/>
      <c r="K57" s="47"/>
      <c r="L57" s="63"/>
    </row>
    <row r="58" spans="1:12" s="38" customFormat="1" ht="15" customHeight="1" thickBot="1" x14ac:dyDescent="0.25">
      <c r="A58" s="92" t="s">
        <v>119</v>
      </c>
      <c r="B58" s="33" t="s">
        <v>80</v>
      </c>
      <c r="C58" s="126"/>
      <c r="D58" s="127"/>
      <c r="E58" s="93">
        <v>7</v>
      </c>
      <c r="F58" s="54" t="s">
        <v>26</v>
      </c>
      <c r="G58" s="128">
        <v>1200</v>
      </c>
      <c r="H58" s="34">
        <f>G58*E58</f>
        <v>8400</v>
      </c>
      <c r="I58" s="128">
        <v>500</v>
      </c>
      <c r="J58" s="129">
        <f>I58*E58</f>
        <v>3500</v>
      </c>
      <c r="K58" s="130"/>
      <c r="L58" s="131">
        <f>J58+H58</f>
        <v>11900</v>
      </c>
    </row>
    <row r="59" spans="1:12" s="38" customFormat="1" ht="15" customHeight="1" thickBot="1" x14ac:dyDescent="0.25">
      <c r="A59" s="438" t="s">
        <v>33</v>
      </c>
      <c r="B59" s="439"/>
      <c r="C59" s="439"/>
      <c r="D59" s="439"/>
      <c r="E59" s="439"/>
      <c r="F59" s="440"/>
      <c r="G59" s="122"/>
      <c r="H59" s="36"/>
      <c r="I59" s="122"/>
      <c r="J59" s="36"/>
      <c r="K59" s="122"/>
      <c r="L59" s="37"/>
    </row>
    <row r="60" spans="1:12" s="38" customFormat="1" ht="15" customHeight="1" x14ac:dyDescent="0.2">
      <c r="A60" s="31">
        <v>6</v>
      </c>
      <c r="B60" s="32" t="s">
        <v>121</v>
      </c>
      <c r="C60" s="39"/>
      <c r="D60" s="39"/>
      <c r="E60" s="40"/>
      <c r="F60" s="40"/>
      <c r="G60" s="41"/>
      <c r="H60" s="41"/>
      <c r="I60" s="41"/>
      <c r="J60" s="41"/>
      <c r="K60" s="41"/>
      <c r="L60" s="42"/>
    </row>
    <row r="61" spans="1:12" s="38" customFormat="1" ht="15" customHeight="1" x14ac:dyDescent="0.2">
      <c r="A61" s="85">
        <v>6.1</v>
      </c>
      <c r="B61" s="102" t="s">
        <v>84</v>
      </c>
      <c r="C61" s="51"/>
      <c r="D61" s="53"/>
      <c r="E61" s="57">
        <v>1</v>
      </c>
      <c r="F61" s="57" t="s">
        <v>27</v>
      </c>
      <c r="G61" s="128">
        <v>215000</v>
      </c>
      <c r="H61" s="34">
        <f t="shared" ref="H61:H62" si="12">G61*E61</f>
        <v>215000</v>
      </c>
      <c r="I61" s="128">
        <v>8000</v>
      </c>
      <c r="J61" s="129">
        <f t="shared" ref="J61:J62" si="13">I61*E61</f>
        <v>8000</v>
      </c>
      <c r="K61" s="130"/>
      <c r="L61" s="131">
        <f t="shared" ref="L61:L62" si="14">J61+H61</f>
        <v>223000</v>
      </c>
    </row>
    <row r="62" spans="1:12" ht="15" customHeight="1" thickBot="1" x14ac:dyDescent="0.25">
      <c r="A62" s="58">
        <v>6.2</v>
      </c>
      <c r="B62" s="86" t="s">
        <v>43</v>
      </c>
      <c r="C62" s="87"/>
      <c r="D62" s="88"/>
      <c r="E62" s="59">
        <v>1</v>
      </c>
      <c r="F62" s="89" t="s">
        <v>29</v>
      </c>
      <c r="G62" s="128">
        <v>0</v>
      </c>
      <c r="H62" s="34">
        <f t="shared" si="12"/>
        <v>0</v>
      </c>
      <c r="I62" s="128">
        <v>90000</v>
      </c>
      <c r="J62" s="129">
        <f t="shared" si="13"/>
        <v>90000</v>
      </c>
      <c r="K62" s="130"/>
      <c r="L62" s="131">
        <f t="shared" si="14"/>
        <v>90000</v>
      </c>
    </row>
    <row r="63" spans="1:12" s="9" customFormat="1" ht="15" customHeight="1" thickBot="1" x14ac:dyDescent="0.25">
      <c r="A63" s="438" t="s">
        <v>33</v>
      </c>
      <c r="B63" s="439"/>
      <c r="C63" s="439"/>
      <c r="D63" s="439"/>
      <c r="E63" s="439"/>
      <c r="F63" s="440"/>
      <c r="G63" s="122"/>
      <c r="H63" s="36"/>
      <c r="I63" s="122"/>
      <c r="J63" s="36"/>
      <c r="K63" s="122"/>
      <c r="L63" s="37"/>
    </row>
    <row r="64" spans="1:12" s="38" customFormat="1" ht="15" customHeight="1" x14ac:dyDescent="0.2">
      <c r="A64" s="94">
        <v>7</v>
      </c>
      <c r="B64" s="95" t="s">
        <v>122</v>
      </c>
      <c r="C64" s="96"/>
      <c r="D64" s="96"/>
      <c r="E64" s="97"/>
      <c r="F64" s="97"/>
      <c r="G64" s="97"/>
      <c r="H64" s="97"/>
      <c r="I64" s="97"/>
      <c r="J64" s="98"/>
      <c r="K64" s="98"/>
      <c r="L64" s="99"/>
    </row>
    <row r="65" spans="1:12" s="38" customFormat="1" ht="15" customHeight="1" x14ac:dyDescent="0.2">
      <c r="A65" s="52">
        <v>7.1</v>
      </c>
      <c r="B65" s="77" t="s">
        <v>86</v>
      </c>
      <c r="C65" s="78"/>
      <c r="D65" s="79"/>
      <c r="E65" s="59">
        <v>1</v>
      </c>
      <c r="F65" s="54" t="s">
        <v>27</v>
      </c>
      <c r="G65" s="128">
        <v>0</v>
      </c>
      <c r="H65" s="34">
        <f t="shared" ref="H65:H68" si="15">G65*E65</f>
        <v>0</v>
      </c>
      <c r="I65" s="128">
        <v>35000</v>
      </c>
      <c r="J65" s="129">
        <f t="shared" ref="J65:J68" si="16">I65*E65</f>
        <v>35000</v>
      </c>
      <c r="K65" s="130"/>
      <c r="L65" s="131">
        <f t="shared" ref="L65:L68" si="17">J65+H65</f>
        <v>35000</v>
      </c>
    </row>
    <row r="66" spans="1:12" s="7" customFormat="1" ht="14.25" x14ac:dyDescent="0.2">
      <c r="A66" s="52">
        <v>7.2</v>
      </c>
      <c r="B66" s="49" t="s">
        <v>91</v>
      </c>
      <c r="C66" s="55"/>
      <c r="D66" s="56"/>
      <c r="E66" s="59">
        <v>1</v>
      </c>
      <c r="F66" s="54" t="s">
        <v>29</v>
      </c>
      <c r="G66" s="128">
        <v>0</v>
      </c>
      <c r="H66" s="34">
        <f t="shared" si="15"/>
        <v>0</v>
      </c>
      <c r="I66" s="128">
        <v>0</v>
      </c>
      <c r="J66" s="129">
        <f t="shared" si="16"/>
        <v>0</v>
      </c>
      <c r="K66" s="130"/>
      <c r="L66" s="131">
        <f t="shared" si="17"/>
        <v>0</v>
      </c>
    </row>
    <row r="67" spans="1:12" s="38" customFormat="1" ht="15" customHeight="1" x14ac:dyDescent="0.2">
      <c r="A67" s="52">
        <v>7.3</v>
      </c>
      <c r="B67" s="100" t="s">
        <v>75</v>
      </c>
      <c r="C67" s="55"/>
      <c r="D67" s="56"/>
      <c r="E67" s="59">
        <v>1</v>
      </c>
      <c r="F67" s="54" t="s">
        <v>29</v>
      </c>
      <c r="G67" s="128">
        <v>0</v>
      </c>
      <c r="H67" s="34">
        <f t="shared" si="15"/>
        <v>0</v>
      </c>
      <c r="I67" s="128">
        <v>0</v>
      </c>
      <c r="J67" s="129">
        <f t="shared" si="16"/>
        <v>0</v>
      </c>
      <c r="K67" s="130"/>
      <c r="L67" s="131">
        <f t="shared" si="17"/>
        <v>0</v>
      </c>
    </row>
    <row r="68" spans="1:12" s="38" customFormat="1" ht="15" customHeight="1" thickBot="1" x14ac:dyDescent="0.25">
      <c r="A68" s="52">
        <v>7.4</v>
      </c>
      <c r="B68" s="86" t="s">
        <v>32</v>
      </c>
      <c r="C68" s="87"/>
      <c r="D68" s="88"/>
      <c r="E68" s="59">
        <v>1</v>
      </c>
      <c r="F68" s="89" t="s">
        <v>29</v>
      </c>
      <c r="G68" s="128">
        <v>0</v>
      </c>
      <c r="H68" s="34">
        <f t="shared" si="15"/>
        <v>0</v>
      </c>
      <c r="I68" s="128">
        <v>15000</v>
      </c>
      <c r="J68" s="129">
        <f t="shared" si="16"/>
        <v>15000</v>
      </c>
      <c r="K68" s="130"/>
      <c r="L68" s="131">
        <f t="shared" si="17"/>
        <v>15000</v>
      </c>
    </row>
    <row r="69" spans="1:12" s="38" customFormat="1" ht="15" customHeight="1" thickBot="1" x14ac:dyDescent="0.25">
      <c r="A69" s="441" t="s">
        <v>33</v>
      </c>
      <c r="B69" s="442"/>
      <c r="C69" s="442"/>
      <c r="D69" s="442"/>
      <c r="E69" s="442"/>
      <c r="F69" s="443"/>
      <c r="G69" s="123"/>
      <c r="H69" s="36"/>
      <c r="I69" s="123"/>
      <c r="J69" s="36"/>
      <c r="K69" s="123"/>
      <c r="L69" s="37"/>
    </row>
    <row r="70" spans="1:12" s="38" customFormat="1" ht="15" customHeight="1" x14ac:dyDescent="0.2">
      <c r="A70" s="31">
        <v>8</v>
      </c>
      <c r="B70" s="32" t="s">
        <v>44</v>
      </c>
      <c r="C70" s="39"/>
      <c r="D70" s="39"/>
      <c r="E70" s="40"/>
      <c r="F70" s="40"/>
      <c r="G70" s="41"/>
      <c r="H70" s="90"/>
      <c r="I70" s="41"/>
      <c r="J70" s="90"/>
      <c r="K70" s="41"/>
      <c r="L70" s="42"/>
    </row>
    <row r="71" spans="1:12" s="38" customFormat="1" ht="15" customHeight="1" thickBot="1" x14ac:dyDescent="0.25">
      <c r="A71" s="52">
        <v>8.1</v>
      </c>
      <c r="B71" s="33" t="s">
        <v>45</v>
      </c>
      <c r="C71" s="55"/>
      <c r="D71" s="56"/>
      <c r="E71" s="59">
        <v>1</v>
      </c>
      <c r="F71" s="54" t="s">
        <v>29</v>
      </c>
      <c r="G71" s="128">
        <v>0</v>
      </c>
      <c r="H71" s="34">
        <f t="shared" ref="H71" si="18">G71*E71</f>
        <v>0</v>
      </c>
      <c r="I71" s="128">
        <v>60000</v>
      </c>
      <c r="J71" s="129">
        <f t="shared" ref="J71" si="19">I71*E71</f>
        <v>60000</v>
      </c>
      <c r="K71" s="130"/>
      <c r="L71" s="131">
        <f t="shared" ref="L71" si="20">J71+H71</f>
        <v>60000</v>
      </c>
    </row>
    <row r="72" spans="1:12" ht="15" customHeight="1" thickBot="1" x14ac:dyDescent="0.25">
      <c r="A72" s="438" t="s">
        <v>33</v>
      </c>
      <c r="B72" s="439"/>
      <c r="C72" s="439"/>
      <c r="D72" s="439"/>
      <c r="E72" s="439"/>
      <c r="F72" s="440"/>
      <c r="G72" s="122"/>
      <c r="H72" s="36"/>
      <c r="I72" s="122"/>
      <c r="J72" s="36"/>
      <c r="K72" s="122"/>
      <c r="L72" s="37"/>
    </row>
    <row r="73" spans="1:12" s="38" customFormat="1" ht="15" customHeight="1" x14ac:dyDescent="0.2">
      <c r="A73" s="31">
        <v>9</v>
      </c>
      <c r="B73" s="32" t="s">
        <v>46</v>
      </c>
      <c r="C73" s="39"/>
      <c r="D73" s="39"/>
      <c r="E73" s="40"/>
      <c r="F73" s="40"/>
      <c r="G73" s="41"/>
      <c r="H73" s="41"/>
      <c r="I73" s="41"/>
      <c r="J73" s="41"/>
      <c r="K73" s="41"/>
      <c r="L73" s="42"/>
    </row>
    <row r="74" spans="1:12" s="38" customFormat="1" ht="15" customHeight="1" x14ac:dyDescent="0.2">
      <c r="A74" s="48">
        <v>9.1</v>
      </c>
      <c r="B74" s="49" t="s">
        <v>47</v>
      </c>
      <c r="C74" s="55"/>
      <c r="D74" s="55"/>
      <c r="E74" s="57">
        <v>1</v>
      </c>
      <c r="F74" s="64" t="s">
        <v>29</v>
      </c>
      <c r="G74" s="128">
        <v>0</v>
      </c>
      <c r="H74" s="34">
        <f t="shared" ref="H74:H76" si="21">G74*E74</f>
        <v>0</v>
      </c>
      <c r="I74" s="128">
        <v>15000</v>
      </c>
      <c r="J74" s="129">
        <f t="shared" ref="J74:J76" si="22">I74*E74</f>
        <v>15000</v>
      </c>
      <c r="K74" s="130"/>
      <c r="L74" s="131">
        <f t="shared" ref="L74:L76" si="23">J74+H74</f>
        <v>15000</v>
      </c>
    </row>
    <row r="75" spans="1:12" ht="15" customHeight="1" x14ac:dyDescent="0.2">
      <c r="A75" s="48">
        <v>9.1999999999999993</v>
      </c>
      <c r="B75" s="49" t="s">
        <v>48</v>
      </c>
      <c r="C75" s="55"/>
      <c r="D75" s="55"/>
      <c r="E75" s="57">
        <v>1</v>
      </c>
      <c r="F75" s="64" t="s">
        <v>29</v>
      </c>
      <c r="G75" s="128">
        <v>0</v>
      </c>
      <c r="H75" s="34">
        <f t="shared" si="21"/>
        <v>0</v>
      </c>
      <c r="I75" s="128">
        <v>60000</v>
      </c>
      <c r="J75" s="129">
        <f t="shared" si="22"/>
        <v>60000</v>
      </c>
      <c r="K75" s="130"/>
      <c r="L75" s="131">
        <f t="shared" si="23"/>
        <v>60000</v>
      </c>
    </row>
    <row r="76" spans="1:12" s="65" customFormat="1" ht="15" customHeight="1" thickBot="1" x14ac:dyDescent="0.25">
      <c r="A76" s="48">
        <v>9.3000000000000007</v>
      </c>
      <c r="B76" s="49" t="s">
        <v>49</v>
      </c>
      <c r="C76" s="55"/>
      <c r="D76" s="55"/>
      <c r="E76" s="59">
        <v>1</v>
      </c>
      <c r="F76" s="64" t="s">
        <v>29</v>
      </c>
      <c r="G76" s="128">
        <v>0</v>
      </c>
      <c r="H76" s="34">
        <f t="shared" si="21"/>
        <v>0</v>
      </c>
      <c r="I76" s="128">
        <v>15000</v>
      </c>
      <c r="J76" s="129">
        <f t="shared" si="22"/>
        <v>15000</v>
      </c>
      <c r="K76" s="130"/>
      <c r="L76" s="131">
        <f t="shared" si="23"/>
        <v>15000</v>
      </c>
    </row>
    <row r="77" spans="1:12" s="65" customFormat="1" ht="15" customHeight="1" thickBot="1" x14ac:dyDescent="0.25">
      <c r="A77" s="438" t="s">
        <v>33</v>
      </c>
      <c r="B77" s="439"/>
      <c r="C77" s="439"/>
      <c r="D77" s="439"/>
      <c r="E77" s="439"/>
      <c r="F77" s="440"/>
      <c r="G77" s="122"/>
      <c r="H77" s="36"/>
      <c r="I77" s="122"/>
      <c r="J77" s="36"/>
      <c r="K77" s="122"/>
      <c r="L77" s="37"/>
    </row>
    <row r="78" spans="1:12" s="65" customFormat="1" ht="15" customHeight="1" x14ac:dyDescent="0.2">
      <c r="A78" s="31">
        <v>10</v>
      </c>
      <c r="B78" s="32" t="s">
        <v>50</v>
      </c>
      <c r="C78" s="39"/>
      <c r="D78" s="39"/>
      <c r="E78" s="40"/>
      <c r="F78" s="40"/>
      <c r="G78" s="41"/>
      <c r="H78" s="41"/>
      <c r="I78" s="41"/>
      <c r="J78" s="41"/>
      <c r="K78" s="41"/>
      <c r="L78" s="42"/>
    </row>
    <row r="79" spans="1:12" s="38" customFormat="1" ht="15" customHeight="1" x14ac:dyDescent="0.2">
      <c r="A79" s="48">
        <v>10.1</v>
      </c>
      <c r="B79" s="50" t="s">
        <v>51</v>
      </c>
      <c r="C79" s="66"/>
      <c r="D79" s="67"/>
      <c r="E79" s="57">
        <v>1</v>
      </c>
      <c r="F79" s="64" t="s">
        <v>29</v>
      </c>
      <c r="G79" s="128">
        <v>0</v>
      </c>
      <c r="H79" s="34">
        <f t="shared" ref="H79:H80" si="24">G79*E79</f>
        <v>0</v>
      </c>
      <c r="I79" s="128">
        <v>30000</v>
      </c>
      <c r="J79" s="129">
        <f t="shared" ref="J79:J80" si="25">I79*E79</f>
        <v>30000</v>
      </c>
      <c r="K79" s="130"/>
      <c r="L79" s="131">
        <f t="shared" ref="L79:L80" si="26">J79+H79</f>
        <v>30000</v>
      </c>
    </row>
    <row r="80" spans="1:12" ht="15" customHeight="1" thickBot="1" x14ac:dyDescent="0.25">
      <c r="A80" s="48">
        <v>10.199999999999999</v>
      </c>
      <c r="B80" s="50" t="s">
        <v>52</v>
      </c>
      <c r="C80" s="66"/>
      <c r="D80" s="69"/>
      <c r="E80" s="59">
        <v>1</v>
      </c>
      <c r="F80" s="64" t="s">
        <v>29</v>
      </c>
      <c r="G80" s="128">
        <v>0</v>
      </c>
      <c r="H80" s="34">
        <f t="shared" si="24"/>
        <v>0</v>
      </c>
      <c r="I80" s="128">
        <v>15000</v>
      </c>
      <c r="J80" s="129">
        <f t="shared" si="25"/>
        <v>15000</v>
      </c>
      <c r="K80" s="130"/>
      <c r="L80" s="131">
        <f t="shared" si="26"/>
        <v>15000</v>
      </c>
    </row>
    <row r="81" spans="1:12" s="68" customFormat="1" ht="15" customHeight="1" thickBot="1" x14ac:dyDescent="0.25">
      <c r="A81" s="438" t="s">
        <v>28</v>
      </c>
      <c r="B81" s="439"/>
      <c r="C81" s="439"/>
      <c r="D81" s="439"/>
      <c r="E81" s="439"/>
      <c r="F81" s="440"/>
      <c r="G81" s="122"/>
      <c r="H81" s="36"/>
      <c r="I81" s="122"/>
      <c r="J81" s="36"/>
      <c r="K81" s="122"/>
      <c r="L81" s="37"/>
    </row>
    <row r="82" spans="1:12" s="68" customFormat="1" ht="15" customHeight="1" x14ac:dyDescent="0.2">
      <c r="A82" s="31">
        <v>11</v>
      </c>
      <c r="B82" s="32" t="s">
        <v>4</v>
      </c>
      <c r="C82" s="39"/>
      <c r="D82" s="39"/>
      <c r="E82" s="40"/>
      <c r="F82" s="40"/>
      <c r="G82" s="41"/>
      <c r="H82" s="41"/>
      <c r="I82" s="41"/>
      <c r="J82" s="41"/>
      <c r="K82" s="41"/>
      <c r="L82" s="42"/>
    </row>
    <row r="83" spans="1:12" s="38" customFormat="1" ht="15" customHeight="1" x14ac:dyDescent="0.2">
      <c r="A83" s="70">
        <v>11.1</v>
      </c>
      <c r="B83" s="50" t="s">
        <v>30</v>
      </c>
      <c r="C83" s="35"/>
      <c r="D83" s="71"/>
      <c r="E83" s="57">
        <v>1</v>
      </c>
      <c r="F83" s="64" t="s">
        <v>29</v>
      </c>
      <c r="G83" s="128">
        <v>0</v>
      </c>
      <c r="H83" s="34">
        <f t="shared" ref="H83:H86" si="27">G83*E83</f>
        <v>0</v>
      </c>
      <c r="I83" s="128">
        <v>15000</v>
      </c>
      <c r="J83" s="129">
        <f t="shared" ref="J83:J86" si="28">I83*E83</f>
        <v>15000</v>
      </c>
      <c r="K83" s="130"/>
      <c r="L83" s="131">
        <f t="shared" ref="L83:L86" si="29">J83+H83</f>
        <v>15000</v>
      </c>
    </row>
    <row r="84" spans="1:12" ht="15" customHeight="1" x14ac:dyDescent="0.2">
      <c r="A84" s="70">
        <v>11.2</v>
      </c>
      <c r="B84" s="50" t="s">
        <v>31</v>
      </c>
      <c r="C84" s="35"/>
      <c r="D84" s="71"/>
      <c r="E84" s="57">
        <v>1</v>
      </c>
      <c r="F84" s="64" t="s">
        <v>29</v>
      </c>
      <c r="G84" s="128">
        <v>0</v>
      </c>
      <c r="H84" s="34">
        <f t="shared" si="27"/>
        <v>0</v>
      </c>
      <c r="I84" s="128">
        <v>10000</v>
      </c>
      <c r="J84" s="129">
        <f t="shared" si="28"/>
        <v>10000</v>
      </c>
      <c r="K84" s="130"/>
      <c r="L84" s="131">
        <f t="shared" si="29"/>
        <v>10000</v>
      </c>
    </row>
    <row r="85" spans="1:12" s="38" customFormat="1" ht="15" customHeight="1" x14ac:dyDescent="0.2">
      <c r="A85" s="70">
        <v>11.3</v>
      </c>
      <c r="B85" s="50" t="s">
        <v>53</v>
      </c>
      <c r="C85" s="35"/>
      <c r="D85" s="71"/>
      <c r="E85" s="57">
        <v>1</v>
      </c>
      <c r="F85" s="64" t="s">
        <v>29</v>
      </c>
      <c r="G85" s="128">
        <v>0</v>
      </c>
      <c r="H85" s="34">
        <f t="shared" si="27"/>
        <v>0</v>
      </c>
      <c r="I85" s="128">
        <v>30000</v>
      </c>
      <c r="J85" s="129">
        <f t="shared" si="28"/>
        <v>30000</v>
      </c>
      <c r="K85" s="130"/>
      <c r="L85" s="131">
        <f t="shared" si="29"/>
        <v>30000</v>
      </c>
    </row>
    <row r="86" spans="1:12" s="38" customFormat="1" ht="15" customHeight="1" thickBot="1" x14ac:dyDescent="0.25">
      <c r="A86" s="70">
        <v>11.4</v>
      </c>
      <c r="B86" s="50" t="s">
        <v>54</v>
      </c>
      <c r="C86" s="35"/>
      <c r="D86" s="71"/>
      <c r="E86" s="59">
        <v>1</v>
      </c>
      <c r="F86" s="64" t="s">
        <v>29</v>
      </c>
      <c r="G86" s="128">
        <v>0</v>
      </c>
      <c r="H86" s="34">
        <f t="shared" si="27"/>
        <v>0</v>
      </c>
      <c r="I86" s="128">
        <v>20000</v>
      </c>
      <c r="J86" s="129">
        <f t="shared" si="28"/>
        <v>20000</v>
      </c>
      <c r="K86" s="130"/>
      <c r="L86" s="131">
        <f t="shared" si="29"/>
        <v>20000</v>
      </c>
    </row>
    <row r="87" spans="1:12" s="38" customFormat="1" ht="15" customHeight="1" thickBot="1" x14ac:dyDescent="0.25">
      <c r="A87" s="432" t="s">
        <v>33</v>
      </c>
      <c r="B87" s="433"/>
      <c r="C87" s="433"/>
      <c r="D87" s="433"/>
      <c r="E87" s="433"/>
      <c r="F87" s="434"/>
      <c r="G87" s="121"/>
      <c r="H87" s="72"/>
      <c r="I87" s="121"/>
      <c r="J87" s="72"/>
      <c r="K87" s="121"/>
      <c r="L87" s="73"/>
    </row>
    <row r="88" spans="1:12" s="38" customFormat="1" ht="15" customHeight="1" thickBot="1" x14ac:dyDescent="0.25">
      <c r="A88" s="432" t="s">
        <v>124</v>
      </c>
      <c r="B88" s="433"/>
      <c r="C88" s="433"/>
      <c r="D88" s="433"/>
      <c r="E88" s="433"/>
      <c r="F88" s="434"/>
      <c r="G88" s="121"/>
      <c r="H88" s="132">
        <f>SUM(H12:H87)</f>
        <v>1659649.5</v>
      </c>
      <c r="I88" s="121"/>
      <c r="J88" s="132">
        <f>SUM(J12:J87)</f>
        <v>639360</v>
      </c>
      <c r="K88" s="121"/>
      <c r="L88" s="132">
        <f>SUM(L12:L87)</f>
        <v>2299009.5</v>
      </c>
    </row>
    <row r="89" spans="1:12" s="38" customFormat="1" ht="15" customHeight="1" x14ac:dyDescent="0.2">
      <c r="A89" s="75"/>
      <c r="B89" s="43"/>
      <c r="C89" s="43"/>
      <c r="D89" s="43"/>
      <c r="E89" s="76"/>
      <c r="F89" s="76"/>
      <c r="G89" s="74"/>
      <c r="H89" s="74"/>
      <c r="I89" s="74"/>
      <c r="J89" s="74"/>
      <c r="K89" s="74"/>
      <c r="L89" s="74"/>
    </row>
  </sheetData>
  <mergeCells count="22">
    <mergeCell ref="A4:L4"/>
    <mergeCell ref="B6:D6"/>
    <mergeCell ref="A7:A9"/>
    <mergeCell ref="B7:D9"/>
    <mergeCell ref="E7:E9"/>
    <mergeCell ref="F7:F9"/>
    <mergeCell ref="G7:H7"/>
    <mergeCell ref="I7:J7"/>
    <mergeCell ref="K7:L7"/>
    <mergeCell ref="A88:F88"/>
    <mergeCell ref="B10:D10"/>
    <mergeCell ref="A16:F16"/>
    <mergeCell ref="A26:F26"/>
    <mergeCell ref="A30:F30"/>
    <mergeCell ref="A34:F34"/>
    <mergeCell ref="A87:F87"/>
    <mergeCell ref="A59:F59"/>
    <mergeCell ref="A63:F63"/>
    <mergeCell ref="A72:F72"/>
    <mergeCell ref="A77:F77"/>
    <mergeCell ref="A81:F81"/>
    <mergeCell ref="A69:F69"/>
  </mergeCells>
  <printOptions horizontalCentered="1" gridLinesSet="0"/>
  <pageMargins left="0.5" right="0.25" top="0.75" bottom="0.53" header="0.5" footer="0.12"/>
  <pageSetup paperSize="9" scale="85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9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EE7-3D03-4D77-82C0-F023BBCF12AB}">
  <dimension ref="A1:K97"/>
  <sheetViews>
    <sheetView showGridLines="0" defaultGridColor="0" topLeftCell="A69" colorId="8" zoomScaleNormal="100" zoomScaleSheetLayoutView="100" workbookViewId="0">
      <selection activeCell="K97" sqref="K97"/>
    </sheetView>
  </sheetViews>
  <sheetFormatPr defaultRowHeight="11.25" x14ac:dyDescent="0.2"/>
  <cols>
    <col min="1" max="1" width="9.85546875" style="270" customWidth="1"/>
    <col min="2" max="2" width="23.5703125" style="271" customWidth="1"/>
    <col min="3" max="3" width="57.85546875" style="271" customWidth="1"/>
    <col min="4" max="4" width="12.140625" style="270" customWidth="1"/>
    <col min="5" max="5" width="5.28515625" style="272" customWidth="1"/>
    <col min="6" max="7" width="12.140625" style="273" customWidth="1"/>
    <col min="8" max="8" width="12.140625" style="274" customWidth="1"/>
    <col min="9" max="11" width="12.140625" style="273" customWidth="1"/>
    <col min="12" max="256" width="9.140625" style="271"/>
    <col min="257" max="257" width="9.85546875" style="271" customWidth="1"/>
    <col min="258" max="258" width="23.5703125" style="271" customWidth="1"/>
    <col min="259" max="259" width="57.85546875" style="271" customWidth="1"/>
    <col min="260" max="260" width="12.140625" style="271" customWidth="1"/>
    <col min="261" max="261" width="5.28515625" style="271" customWidth="1"/>
    <col min="262" max="267" width="12.140625" style="271" customWidth="1"/>
    <col min="268" max="512" width="9.140625" style="271"/>
    <col min="513" max="513" width="9.85546875" style="271" customWidth="1"/>
    <col min="514" max="514" width="23.5703125" style="271" customWidth="1"/>
    <col min="515" max="515" width="57.85546875" style="271" customWidth="1"/>
    <col min="516" max="516" width="12.140625" style="271" customWidth="1"/>
    <col min="517" max="517" width="5.28515625" style="271" customWidth="1"/>
    <col min="518" max="523" width="12.140625" style="271" customWidth="1"/>
    <col min="524" max="768" width="9.140625" style="271"/>
    <col min="769" max="769" width="9.85546875" style="271" customWidth="1"/>
    <col min="770" max="770" width="23.5703125" style="271" customWidth="1"/>
    <col min="771" max="771" width="57.85546875" style="271" customWidth="1"/>
    <col min="772" max="772" width="12.140625" style="271" customWidth="1"/>
    <col min="773" max="773" width="5.28515625" style="271" customWidth="1"/>
    <col min="774" max="779" width="12.140625" style="271" customWidth="1"/>
    <col min="780" max="1024" width="9.140625" style="271"/>
    <col min="1025" max="1025" width="9.85546875" style="271" customWidth="1"/>
    <col min="1026" max="1026" width="23.5703125" style="271" customWidth="1"/>
    <col min="1027" max="1027" width="57.85546875" style="271" customWidth="1"/>
    <col min="1028" max="1028" width="12.140625" style="271" customWidth="1"/>
    <col min="1029" max="1029" width="5.28515625" style="271" customWidth="1"/>
    <col min="1030" max="1035" width="12.140625" style="271" customWidth="1"/>
    <col min="1036" max="1280" width="9.140625" style="271"/>
    <col min="1281" max="1281" width="9.85546875" style="271" customWidth="1"/>
    <col min="1282" max="1282" width="23.5703125" style="271" customWidth="1"/>
    <col min="1283" max="1283" width="57.85546875" style="271" customWidth="1"/>
    <col min="1284" max="1284" width="12.140625" style="271" customWidth="1"/>
    <col min="1285" max="1285" width="5.28515625" style="271" customWidth="1"/>
    <col min="1286" max="1291" width="12.140625" style="271" customWidth="1"/>
    <col min="1292" max="1536" width="9.140625" style="271"/>
    <col min="1537" max="1537" width="9.85546875" style="271" customWidth="1"/>
    <col min="1538" max="1538" width="23.5703125" style="271" customWidth="1"/>
    <col min="1539" max="1539" width="57.85546875" style="271" customWidth="1"/>
    <col min="1540" max="1540" width="12.140625" style="271" customWidth="1"/>
    <col min="1541" max="1541" width="5.28515625" style="271" customWidth="1"/>
    <col min="1542" max="1547" width="12.140625" style="271" customWidth="1"/>
    <col min="1548" max="1792" width="9.140625" style="271"/>
    <col min="1793" max="1793" width="9.85546875" style="271" customWidth="1"/>
    <col min="1794" max="1794" width="23.5703125" style="271" customWidth="1"/>
    <col min="1795" max="1795" width="57.85546875" style="271" customWidth="1"/>
    <col min="1796" max="1796" width="12.140625" style="271" customWidth="1"/>
    <col min="1797" max="1797" width="5.28515625" style="271" customWidth="1"/>
    <col min="1798" max="1803" width="12.140625" style="271" customWidth="1"/>
    <col min="1804" max="2048" width="9.140625" style="271"/>
    <col min="2049" max="2049" width="9.85546875" style="271" customWidth="1"/>
    <col min="2050" max="2050" width="23.5703125" style="271" customWidth="1"/>
    <col min="2051" max="2051" width="57.85546875" style="271" customWidth="1"/>
    <col min="2052" max="2052" width="12.140625" style="271" customWidth="1"/>
    <col min="2053" max="2053" width="5.28515625" style="271" customWidth="1"/>
    <col min="2054" max="2059" width="12.140625" style="271" customWidth="1"/>
    <col min="2060" max="2304" width="9.140625" style="271"/>
    <col min="2305" max="2305" width="9.85546875" style="271" customWidth="1"/>
    <col min="2306" max="2306" width="23.5703125" style="271" customWidth="1"/>
    <col min="2307" max="2307" width="57.85546875" style="271" customWidth="1"/>
    <col min="2308" max="2308" width="12.140625" style="271" customWidth="1"/>
    <col min="2309" max="2309" width="5.28515625" style="271" customWidth="1"/>
    <col min="2310" max="2315" width="12.140625" style="271" customWidth="1"/>
    <col min="2316" max="2560" width="9.140625" style="271"/>
    <col min="2561" max="2561" width="9.85546875" style="271" customWidth="1"/>
    <col min="2562" max="2562" width="23.5703125" style="271" customWidth="1"/>
    <col min="2563" max="2563" width="57.85546875" style="271" customWidth="1"/>
    <col min="2564" max="2564" width="12.140625" style="271" customWidth="1"/>
    <col min="2565" max="2565" width="5.28515625" style="271" customWidth="1"/>
    <col min="2566" max="2571" width="12.140625" style="271" customWidth="1"/>
    <col min="2572" max="2816" width="9.140625" style="271"/>
    <col min="2817" max="2817" width="9.85546875" style="271" customWidth="1"/>
    <col min="2818" max="2818" width="23.5703125" style="271" customWidth="1"/>
    <col min="2819" max="2819" width="57.85546875" style="271" customWidth="1"/>
    <col min="2820" max="2820" width="12.140625" style="271" customWidth="1"/>
    <col min="2821" max="2821" width="5.28515625" style="271" customWidth="1"/>
    <col min="2822" max="2827" width="12.140625" style="271" customWidth="1"/>
    <col min="2828" max="3072" width="9.140625" style="271"/>
    <col min="3073" max="3073" width="9.85546875" style="271" customWidth="1"/>
    <col min="3074" max="3074" width="23.5703125" style="271" customWidth="1"/>
    <col min="3075" max="3075" width="57.85546875" style="271" customWidth="1"/>
    <col min="3076" max="3076" width="12.140625" style="271" customWidth="1"/>
    <col min="3077" max="3077" width="5.28515625" style="271" customWidth="1"/>
    <col min="3078" max="3083" width="12.140625" style="271" customWidth="1"/>
    <col min="3084" max="3328" width="9.140625" style="271"/>
    <col min="3329" max="3329" width="9.85546875" style="271" customWidth="1"/>
    <col min="3330" max="3330" width="23.5703125" style="271" customWidth="1"/>
    <col min="3331" max="3331" width="57.85546875" style="271" customWidth="1"/>
    <col min="3332" max="3332" width="12.140625" style="271" customWidth="1"/>
    <col min="3333" max="3333" width="5.28515625" style="271" customWidth="1"/>
    <col min="3334" max="3339" width="12.140625" style="271" customWidth="1"/>
    <col min="3340" max="3584" width="9.140625" style="271"/>
    <col min="3585" max="3585" width="9.85546875" style="271" customWidth="1"/>
    <col min="3586" max="3586" width="23.5703125" style="271" customWidth="1"/>
    <col min="3587" max="3587" width="57.85546875" style="271" customWidth="1"/>
    <col min="3588" max="3588" width="12.140625" style="271" customWidth="1"/>
    <col min="3589" max="3589" width="5.28515625" style="271" customWidth="1"/>
    <col min="3590" max="3595" width="12.140625" style="271" customWidth="1"/>
    <col min="3596" max="3840" width="9.140625" style="271"/>
    <col min="3841" max="3841" width="9.85546875" style="271" customWidth="1"/>
    <col min="3842" max="3842" width="23.5703125" style="271" customWidth="1"/>
    <col min="3843" max="3843" width="57.85546875" style="271" customWidth="1"/>
    <col min="3844" max="3844" width="12.140625" style="271" customWidth="1"/>
    <col min="3845" max="3845" width="5.28515625" style="271" customWidth="1"/>
    <col min="3846" max="3851" width="12.140625" style="271" customWidth="1"/>
    <col min="3852" max="4096" width="9.140625" style="271"/>
    <col min="4097" max="4097" width="9.85546875" style="271" customWidth="1"/>
    <col min="4098" max="4098" width="23.5703125" style="271" customWidth="1"/>
    <col min="4099" max="4099" width="57.85546875" style="271" customWidth="1"/>
    <col min="4100" max="4100" width="12.140625" style="271" customWidth="1"/>
    <col min="4101" max="4101" width="5.28515625" style="271" customWidth="1"/>
    <col min="4102" max="4107" width="12.140625" style="271" customWidth="1"/>
    <col min="4108" max="4352" width="9.140625" style="271"/>
    <col min="4353" max="4353" width="9.85546875" style="271" customWidth="1"/>
    <col min="4354" max="4354" width="23.5703125" style="271" customWidth="1"/>
    <col min="4355" max="4355" width="57.85546875" style="271" customWidth="1"/>
    <col min="4356" max="4356" width="12.140625" style="271" customWidth="1"/>
    <col min="4357" max="4357" width="5.28515625" style="271" customWidth="1"/>
    <col min="4358" max="4363" width="12.140625" style="271" customWidth="1"/>
    <col min="4364" max="4608" width="9.140625" style="271"/>
    <col min="4609" max="4609" width="9.85546875" style="271" customWidth="1"/>
    <col min="4610" max="4610" width="23.5703125" style="271" customWidth="1"/>
    <col min="4611" max="4611" width="57.85546875" style="271" customWidth="1"/>
    <col min="4612" max="4612" width="12.140625" style="271" customWidth="1"/>
    <col min="4613" max="4613" width="5.28515625" style="271" customWidth="1"/>
    <col min="4614" max="4619" width="12.140625" style="271" customWidth="1"/>
    <col min="4620" max="4864" width="9.140625" style="271"/>
    <col min="4865" max="4865" width="9.85546875" style="271" customWidth="1"/>
    <col min="4866" max="4866" width="23.5703125" style="271" customWidth="1"/>
    <col min="4867" max="4867" width="57.85546875" style="271" customWidth="1"/>
    <col min="4868" max="4868" width="12.140625" style="271" customWidth="1"/>
    <col min="4869" max="4869" width="5.28515625" style="271" customWidth="1"/>
    <col min="4870" max="4875" width="12.140625" style="271" customWidth="1"/>
    <col min="4876" max="5120" width="9.140625" style="271"/>
    <col min="5121" max="5121" width="9.85546875" style="271" customWidth="1"/>
    <col min="5122" max="5122" width="23.5703125" style="271" customWidth="1"/>
    <col min="5123" max="5123" width="57.85546875" style="271" customWidth="1"/>
    <col min="5124" max="5124" width="12.140625" style="271" customWidth="1"/>
    <col min="5125" max="5125" width="5.28515625" style="271" customWidth="1"/>
    <col min="5126" max="5131" width="12.140625" style="271" customWidth="1"/>
    <col min="5132" max="5376" width="9.140625" style="271"/>
    <col min="5377" max="5377" width="9.85546875" style="271" customWidth="1"/>
    <col min="5378" max="5378" width="23.5703125" style="271" customWidth="1"/>
    <col min="5379" max="5379" width="57.85546875" style="271" customWidth="1"/>
    <col min="5380" max="5380" width="12.140625" style="271" customWidth="1"/>
    <col min="5381" max="5381" width="5.28515625" style="271" customWidth="1"/>
    <col min="5382" max="5387" width="12.140625" style="271" customWidth="1"/>
    <col min="5388" max="5632" width="9.140625" style="271"/>
    <col min="5633" max="5633" width="9.85546875" style="271" customWidth="1"/>
    <col min="5634" max="5634" width="23.5703125" style="271" customWidth="1"/>
    <col min="5635" max="5635" width="57.85546875" style="271" customWidth="1"/>
    <col min="5636" max="5636" width="12.140625" style="271" customWidth="1"/>
    <col min="5637" max="5637" width="5.28515625" style="271" customWidth="1"/>
    <col min="5638" max="5643" width="12.140625" style="271" customWidth="1"/>
    <col min="5644" max="5888" width="9.140625" style="271"/>
    <col min="5889" max="5889" width="9.85546875" style="271" customWidth="1"/>
    <col min="5890" max="5890" width="23.5703125" style="271" customWidth="1"/>
    <col min="5891" max="5891" width="57.85546875" style="271" customWidth="1"/>
    <col min="5892" max="5892" width="12.140625" style="271" customWidth="1"/>
    <col min="5893" max="5893" width="5.28515625" style="271" customWidth="1"/>
    <col min="5894" max="5899" width="12.140625" style="271" customWidth="1"/>
    <col min="5900" max="6144" width="9.140625" style="271"/>
    <col min="6145" max="6145" width="9.85546875" style="271" customWidth="1"/>
    <col min="6146" max="6146" width="23.5703125" style="271" customWidth="1"/>
    <col min="6147" max="6147" width="57.85546875" style="271" customWidth="1"/>
    <col min="6148" max="6148" width="12.140625" style="271" customWidth="1"/>
    <col min="6149" max="6149" width="5.28515625" style="271" customWidth="1"/>
    <col min="6150" max="6155" width="12.140625" style="271" customWidth="1"/>
    <col min="6156" max="6400" width="9.140625" style="271"/>
    <col min="6401" max="6401" width="9.85546875" style="271" customWidth="1"/>
    <col min="6402" max="6402" width="23.5703125" style="271" customWidth="1"/>
    <col min="6403" max="6403" width="57.85546875" style="271" customWidth="1"/>
    <col min="6404" max="6404" width="12.140625" style="271" customWidth="1"/>
    <col min="6405" max="6405" width="5.28515625" style="271" customWidth="1"/>
    <col min="6406" max="6411" width="12.140625" style="271" customWidth="1"/>
    <col min="6412" max="6656" width="9.140625" style="271"/>
    <col min="6657" max="6657" width="9.85546875" style="271" customWidth="1"/>
    <col min="6658" max="6658" width="23.5703125" style="271" customWidth="1"/>
    <col min="6659" max="6659" width="57.85546875" style="271" customWidth="1"/>
    <col min="6660" max="6660" width="12.140625" style="271" customWidth="1"/>
    <col min="6661" max="6661" width="5.28515625" style="271" customWidth="1"/>
    <col min="6662" max="6667" width="12.140625" style="271" customWidth="1"/>
    <col min="6668" max="6912" width="9.140625" style="271"/>
    <col min="6913" max="6913" width="9.85546875" style="271" customWidth="1"/>
    <col min="6914" max="6914" width="23.5703125" style="271" customWidth="1"/>
    <col min="6915" max="6915" width="57.85546875" style="271" customWidth="1"/>
    <col min="6916" max="6916" width="12.140625" style="271" customWidth="1"/>
    <col min="6917" max="6917" width="5.28515625" style="271" customWidth="1"/>
    <col min="6918" max="6923" width="12.140625" style="271" customWidth="1"/>
    <col min="6924" max="7168" width="9.140625" style="271"/>
    <col min="7169" max="7169" width="9.85546875" style="271" customWidth="1"/>
    <col min="7170" max="7170" width="23.5703125" style="271" customWidth="1"/>
    <col min="7171" max="7171" width="57.85546875" style="271" customWidth="1"/>
    <col min="7172" max="7172" width="12.140625" style="271" customWidth="1"/>
    <col min="7173" max="7173" width="5.28515625" style="271" customWidth="1"/>
    <col min="7174" max="7179" width="12.140625" style="271" customWidth="1"/>
    <col min="7180" max="7424" width="9.140625" style="271"/>
    <col min="7425" max="7425" width="9.85546875" style="271" customWidth="1"/>
    <col min="7426" max="7426" width="23.5703125" style="271" customWidth="1"/>
    <col min="7427" max="7427" width="57.85546875" style="271" customWidth="1"/>
    <col min="7428" max="7428" width="12.140625" style="271" customWidth="1"/>
    <col min="7429" max="7429" width="5.28515625" style="271" customWidth="1"/>
    <col min="7430" max="7435" width="12.140625" style="271" customWidth="1"/>
    <col min="7436" max="7680" width="9.140625" style="271"/>
    <col min="7681" max="7681" width="9.85546875" style="271" customWidth="1"/>
    <col min="7682" max="7682" width="23.5703125" style="271" customWidth="1"/>
    <col min="7683" max="7683" width="57.85546875" style="271" customWidth="1"/>
    <col min="7684" max="7684" width="12.140625" style="271" customWidth="1"/>
    <col min="7685" max="7685" width="5.28515625" style="271" customWidth="1"/>
    <col min="7686" max="7691" width="12.140625" style="271" customWidth="1"/>
    <col min="7692" max="7936" width="9.140625" style="271"/>
    <col min="7937" max="7937" width="9.85546875" style="271" customWidth="1"/>
    <col min="7938" max="7938" width="23.5703125" style="271" customWidth="1"/>
    <col min="7939" max="7939" width="57.85546875" style="271" customWidth="1"/>
    <col min="7940" max="7940" width="12.140625" style="271" customWidth="1"/>
    <col min="7941" max="7941" width="5.28515625" style="271" customWidth="1"/>
    <col min="7942" max="7947" width="12.140625" style="271" customWidth="1"/>
    <col min="7948" max="8192" width="9.140625" style="271"/>
    <col min="8193" max="8193" width="9.85546875" style="271" customWidth="1"/>
    <col min="8194" max="8194" width="23.5703125" style="271" customWidth="1"/>
    <col min="8195" max="8195" width="57.85546875" style="271" customWidth="1"/>
    <col min="8196" max="8196" width="12.140625" style="271" customWidth="1"/>
    <col min="8197" max="8197" width="5.28515625" style="271" customWidth="1"/>
    <col min="8198" max="8203" width="12.140625" style="271" customWidth="1"/>
    <col min="8204" max="8448" width="9.140625" style="271"/>
    <col min="8449" max="8449" width="9.85546875" style="271" customWidth="1"/>
    <col min="8450" max="8450" width="23.5703125" style="271" customWidth="1"/>
    <col min="8451" max="8451" width="57.85546875" style="271" customWidth="1"/>
    <col min="8452" max="8452" width="12.140625" style="271" customWidth="1"/>
    <col min="8453" max="8453" width="5.28515625" style="271" customWidth="1"/>
    <col min="8454" max="8459" width="12.140625" style="271" customWidth="1"/>
    <col min="8460" max="8704" width="9.140625" style="271"/>
    <col min="8705" max="8705" width="9.85546875" style="271" customWidth="1"/>
    <col min="8706" max="8706" width="23.5703125" style="271" customWidth="1"/>
    <col min="8707" max="8707" width="57.85546875" style="271" customWidth="1"/>
    <col min="8708" max="8708" width="12.140625" style="271" customWidth="1"/>
    <col min="8709" max="8709" width="5.28515625" style="271" customWidth="1"/>
    <col min="8710" max="8715" width="12.140625" style="271" customWidth="1"/>
    <col min="8716" max="8960" width="9.140625" style="271"/>
    <col min="8961" max="8961" width="9.85546875" style="271" customWidth="1"/>
    <col min="8962" max="8962" width="23.5703125" style="271" customWidth="1"/>
    <col min="8963" max="8963" width="57.85546875" style="271" customWidth="1"/>
    <col min="8964" max="8964" width="12.140625" style="271" customWidth="1"/>
    <col min="8965" max="8965" width="5.28515625" style="271" customWidth="1"/>
    <col min="8966" max="8971" width="12.140625" style="271" customWidth="1"/>
    <col min="8972" max="9216" width="9.140625" style="271"/>
    <col min="9217" max="9217" width="9.85546875" style="271" customWidth="1"/>
    <col min="9218" max="9218" width="23.5703125" style="271" customWidth="1"/>
    <col min="9219" max="9219" width="57.85546875" style="271" customWidth="1"/>
    <col min="9220" max="9220" width="12.140625" style="271" customWidth="1"/>
    <col min="9221" max="9221" width="5.28515625" style="271" customWidth="1"/>
    <col min="9222" max="9227" width="12.140625" style="271" customWidth="1"/>
    <col min="9228" max="9472" width="9.140625" style="271"/>
    <col min="9473" max="9473" width="9.85546875" style="271" customWidth="1"/>
    <col min="9474" max="9474" width="23.5703125" style="271" customWidth="1"/>
    <col min="9475" max="9475" width="57.85546875" style="271" customWidth="1"/>
    <col min="9476" max="9476" width="12.140625" style="271" customWidth="1"/>
    <col min="9477" max="9477" width="5.28515625" style="271" customWidth="1"/>
    <col min="9478" max="9483" width="12.140625" style="271" customWidth="1"/>
    <col min="9484" max="9728" width="9.140625" style="271"/>
    <col min="9729" max="9729" width="9.85546875" style="271" customWidth="1"/>
    <col min="9730" max="9730" width="23.5703125" style="271" customWidth="1"/>
    <col min="9731" max="9731" width="57.85546875" style="271" customWidth="1"/>
    <col min="9732" max="9732" width="12.140625" style="271" customWidth="1"/>
    <col min="9733" max="9733" width="5.28515625" style="271" customWidth="1"/>
    <col min="9734" max="9739" width="12.140625" style="271" customWidth="1"/>
    <col min="9740" max="9984" width="9.140625" style="271"/>
    <col min="9985" max="9985" width="9.85546875" style="271" customWidth="1"/>
    <col min="9986" max="9986" width="23.5703125" style="271" customWidth="1"/>
    <col min="9987" max="9987" width="57.85546875" style="271" customWidth="1"/>
    <col min="9988" max="9988" width="12.140625" style="271" customWidth="1"/>
    <col min="9989" max="9989" width="5.28515625" style="271" customWidth="1"/>
    <col min="9990" max="9995" width="12.140625" style="271" customWidth="1"/>
    <col min="9996" max="10240" width="9.140625" style="271"/>
    <col min="10241" max="10241" width="9.85546875" style="271" customWidth="1"/>
    <col min="10242" max="10242" width="23.5703125" style="271" customWidth="1"/>
    <col min="10243" max="10243" width="57.85546875" style="271" customWidth="1"/>
    <col min="10244" max="10244" width="12.140625" style="271" customWidth="1"/>
    <col min="10245" max="10245" width="5.28515625" style="271" customWidth="1"/>
    <col min="10246" max="10251" width="12.140625" style="271" customWidth="1"/>
    <col min="10252" max="10496" width="9.140625" style="271"/>
    <col min="10497" max="10497" width="9.85546875" style="271" customWidth="1"/>
    <col min="10498" max="10498" width="23.5703125" style="271" customWidth="1"/>
    <col min="10499" max="10499" width="57.85546875" style="271" customWidth="1"/>
    <col min="10500" max="10500" width="12.140625" style="271" customWidth="1"/>
    <col min="10501" max="10501" width="5.28515625" style="271" customWidth="1"/>
    <col min="10502" max="10507" width="12.140625" style="271" customWidth="1"/>
    <col min="10508" max="10752" width="9.140625" style="271"/>
    <col min="10753" max="10753" width="9.85546875" style="271" customWidth="1"/>
    <col min="10754" max="10754" width="23.5703125" style="271" customWidth="1"/>
    <col min="10755" max="10755" width="57.85546875" style="271" customWidth="1"/>
    <col min="10756" max="10756" width="12.140625" style="271" customWidth="1"/>
    <col min="10757" max="10757" width="5.28515625" style="271" customWidth="1"/>
    <col min="10758" max="10763" width="12.140625" style="271" customWidth="1"/>
    <col min="10764" max="11008" width="9.140625" style="271"/>
    <col min="11009" max="11009" width="9.85546875" style="271" customWidth="1"/>
    <col min="11010" max="11010" width="23.5703125" style="271" customWidth="1"/>
    <col min="11011" max="11011" width="57.85546875" style="271" customWidth="1"/>
    <col min="11012" max="11012" width="12.140625" style="271" customWidth="1"/>
    <col min="11013" max="11013" width="5.28515625" style="271" customWidth="1"/>
    <col min="11014" max="11019" width="12.140625" style="271" customWidth="1"/>
    <col min="11020" max="11264" width="9.140625" style="271"/>
    <col min="11265" max="11265" width="9.85546875" style="271" customWidth="1"/>
    <col min="11266" max="11266" width="23.5703125" style="271" customWidth="1"/>
    <col min="11267" max="11267" width="57.85546875" style="271" customWidth="1"/>
    <col min="11268" max="11268" width="12.140625" style="271" customWidth="1"/>
    <col min="11269" max="11269" width="5.28515625" style="271" customWidth="1"/>
    <col min="11270" max="11275" width="12.140625" style="271" customWidth="1"/>
    <col min="11276" max="11520" width="9.140625" style="271"/>
    <col min="11521" max="11521" width="9.85546875" style="271" customWidth="1"/>
    <col min="11522" max="11522" width="23.5703125" style="271" customWidth="1"/>
    <col min="11523" max="11523" width="57.85546875" style="271" customWidth="1"/>
    <col min="11524" max="11524" width="12.140625" style="271" customWidth="1"/>
    <col min="11525" max="11525" width="5.28515625" style="271" customWidth="1"/>
    <col min="11526" max="11531" width="12.140625" style="271" customWidth="1"/>
    <col min="11532" max="11776" width="9.140625" style="271"/>
    <col min="11777" max="11777" width="9.85546875" style="271" customWidth="1"/>
    <col min="11778" max="11778" width="23.5703125" style="271" customWidth="1"/>
    <col min="11779" max="11779" width="57.85546875" style="271" customWidth="1"/>
    <col min="11780" max="11780" width="12.140625" style="271" customWidth="1"/>
    <col min="11781" max="11781" width="5.28515625" style="271" customWidth="1"/>
    <col min="11782" max="11787" width="12.140625" style="271" customWidth="1"/>
    <col min="11788" max="12032" width="9.140625" style="271"/>
    <col min="12033" max="12033" width="9.85546875" style="271" customWidth="1"/>
    <col min="12034" max="12034" width="23.5703125" style="271" customWidth="1"/>
    <col min="12035" max="12035" width="57.85546875" style="271" customWidth="1"/>
    <col min="12036" max="12036" width="12.140625" style="271" customWidth="1"/>
    <col min="12037" max="12037" width="5.28515625" style="271" customWidth="1"/>
    <col min="12038" max="12043" width="12.140625" style="271" customWidth="1"/>
    <col min="12044" max="12288" width="9.140625" style="271"/>
    <col min="12289" max="12289" width="9.85546875" style="271" customWidth="1"/>
    <col min="12290" max="12290" width="23.5703125" style="271" customWidth="1"/>
    <col min="12291" max="12291" width="57.85546875" style="271" customWidth="1"/>
    <col min="12292" max="12292" width="12.140625" style="271" customWidth="1"/>
    <col min="12293" max="12293" width="5.28515625" style="271" customWidth="1"/>
    <col min="12294" max="12299" width="12.140625" style="271" customWidth="1"/>
    <col min="12300" max="12544" width="9.140625" style="271"/>
    <col min="12545" max="12545" width="9.85546875" style="271" customWidth="1"/>
    <col min="12546" max="12546" width="23.5703125" style="271" customWidth="1"/>
    <col min="12547" max="12547" width="57.85546875" style="271" customWidth="1"/>
    <col min="12548" max="12548" width="12.140625" style="271" customWidth="1"/>
    <col min="12549" max="12549" width="5.28515625" style="271" customWidth="1"/>
    <col min="12550" max="12555" width="12.140625" style="271" customWidth="1"/>
    <col min="12556" max="12800" width="9.140625" style="271"/>
    <col min="12801" max="12801" width="9.85546875" style="271" customWidth="1"/>
    <col min="12802" max="12802" width="23.5703125" style="271" customWidth="1"/>
    <col min="12803" max="12803" width="57.85546875" style="271" customWidth="1"/>
    <col min="12804" max="12804" width="12.140625" style="271" customWidth="1"/>
    <col min="12805" max="12805" width="5.28515625" style="271" customWidth="1"/>
    <col min="12806" max="12811" width="12.140625" style="271" customWidth="1"/>
    <col min="12812" max="13056" width="9.140625" style="271"/>
    <col min="13057" max="13057" width="9.85546875" style="271" customWidth="1"/>
    <col min="13058" max="13058" width="23.5703125" style="271" customWidth="1"/>
    <col min="13059" max="13059" width="57.85546875" style="271" customWidth="1"/>
    <col min="13060" max="13060" width="12.140625" style="271" customWidth="1"/>
    <col min="13061" max="13061" width="5.28515625" style="271" customWidth="1"/>
    <col min="13062" max="13067" width="12.140625" style="271" customWidth="1"/>
    <col min="13068" max="13312" width="9.140625" style="271"/>
    <col min="13313" max="13313" width="9.85546875" style="271" customWidth="1"/>
    <col min="13314" max="13314" width="23.5703125" style="271" customWidth="1"/>
    <col min="13315" max="13315" width="57.85546875" style="271" customWidth="1"/>
    <col min="13316" max="13316" width="12.140625" style="271" customWidth="1"/>
    <col min="13317" max="13317" width="5.28515625" style="271" customWidth="1"/>
    <col min="13318" max="13323" width="12.140625" style="271" customWidth="1"/>
    <col min="13324" max="13568" width="9.140625" style="271"/>
    <col min="13569" max="13569" width="9.85546875" style="271" customWidth="1"/>
    <col min="13570" max="13570" width="23.5703125" style="271" customWidth="1"/>
    <col min="13571" max="13571" width="57.85546875" style="271" customWidth="1"/>
    <col min="13572" max="13572" width="12.140625" style="271" customWidth="1"/>
    <col min="13573" max="13573" width="5.28515625" style="271" customWidth="1"/>
    <col min="13574" max="13579" width="12.140625" style="271" customWidth="1"/>
    <col min="13580" max="13824" width="9.140625" style="271"/>
    <col min="13825" max="13825" width="9.85546875" style="271" customWidth="1"/>
    <col min="13826" max="13826" width="23.5703125" style="271" customWidth="1"/>
    <col min="13827" max="13827" width="57.85546875" style="271" customWidth="1"/>
    <col min="13828" max="13828" width="12.140625" style="271" customWidth="1"/>
    <col min="13829" max="13829" width="5.28515625" style="271" customWidth="1"/>
    <col min="13830" max="13835" width="12.140625" style="271" customWidth="1"/>
    <col min="13836" max="14080" width="9.140625" style="271"/>
    <col min="14081" max="14081" width="9.85546875" style="271" customWidth="1"/>
    <col min="14082" max="14082" width="23.5703125" style="271" customWidth="1"/>
    <col min="14083" max="14083" width="57.85546875" style="271" customWidth="1"/>
    <col min="14084" max="14084" width="12.140625" style="271" customWidth="1"/>
    <col min="14085" max="14085" width="5.28515625" style="271" customWidth="1"/>
    <col min="14086" max="14091" width="12.140625" style="271" customWidth="1"/>
    <col min="14092" max="14336" width="9.140625" style="271"/>
    <col min="14337" max="14337" width="9.85546875" style="271" customWidth="1"/>
    <col min="14338" max="14338" width="23.5703125" style="271" customWidth="1"/>
    <col min="14339" max="14339" width="57.85546875" style="271" customWidth="1"/>
    <col min="14340" max="14340" width="12.140625" style="271" customWidth="1"/>
    <col min="14341" max="14341" width="5.28515625" style="271" customWidth="1"/>
    <col min="14342" max="14347" width="12.140625" style="271" customWidth="1"/>
    <col min="14348" max="14592" width="9.140625" style="271"/>
    <col min="14593" max="14593" width="9.85546875" style="271" customWidth="1"/>
    <col min="14594" max="14594" width="23.5703125" style="271" customWidth="1"/>
    <col min="14595" max="14595" width="57.85546875" style="271" customWidth="1"/>
    <col min="14596" max="14596" width="12.140625" style="271" customWidth="1"/>
    <col min="14597" max="14597" width="5.28515625" style="271" customWidth="1"/>
    <col min="14598" max="14603" width="12.140625" style="271" customWidth="1"/>
    <col min="14604" max="14848" width="9.140625" style="271"/>
    <col min="14849" max="14849" width="9.85546875" style="271" customWidth="1"/>
    <col min="14850" max="14850" width="23.5703125" style="271" customWidth="1"/>
    <col min="14851" max="14851" width="57.85546875" style="271" customWidth="1"/>
    <col min="14852" max="14852" width="12.140625" style="271" customWidth="1"/>
    <col min="14853" max="14853" width="5.28515625" style="271" customWidth="1"/>
    <col min="14854" max="14859" width="12.140625" style="271" customWidth="1"/>
    <col min="14860" max="15104" width="9.140625" style="271"/>
    <col min="15105" max="15105" width="9.85546875" style="271" customWidth="1"/>
    <col min="15106" max="15106" width="23.5703125" style="271" customWidth="1"/>
    <col min="15107" max="15107" width="57.85546875" style="271" customWidth="1"/>
    <col min="15108" max="15108" width="12.140625" style="271" customWidth="1"/>
    <col min="15109" max="15109" width="5.28515625" style="271" customWidth="1"/>
    <col min="15110" max="15115" width="12.140625" style="271" customWidth="1"/>
    <col min="15116" max="15360" width="9.140625" style="271"/>
    <col min="15361" max="15361" width="9.85546875" style="271" customWidth="1"/>
    <col min="15362" max="15362" width="23.5703125" style="271" customWidth="1"/>
    <col min="15363" max="15363" width="57.85546875" style="271" customWidth="1"/>
    <col min="15364" max="15364" width="12.140625" style="271" customWidth="1"/>
    <col min="15365" max="15365" width="5.28515625" style="271" customWidth="1"/>
    <col min="15366" max="15371" width="12.140625" style="271" customWidth="1"/>
    <col min="15372" max="15616" width="9.140625" style="271"/>
    <col min="15617" max="15617" width="9.85546875" style="271" customWidth="1"/>
    <col min="15618" max="15618" width="23.5703125" style="271" customWidth="1"/>
    <col min="15619" max="15619" width="57.85546875" style="271" customWidth="1"/>
    <col min="15620" max="15620" width="12.140625" style="271" customWidth="1"/>
    <col min="15621" max="15621" width="5.28515625" style="271" customWidth="1"/>
    <col min="15622" max="15627" width="12.140625" style="271" customWidth="1"/>
    <col min="15628" max="15872" width="9.140625" style="271"/>
    <col min="15873" max="15873" width="9.85546875" style="271" customWidth="1"/>
    <col min="15874" max="15874" width="23.5703125" style="271" customWidth="1"/>
    <col min="15875" max="15875" width="57.85546875" style="271" customWidth="1"/>
    <col min="15876" max="15876" width="12.140625" style="271" customWidth="1"/>
    <col min="15877" max="15877" width="5.28515625" style="271" customWidth="1"/>
    <col min="15878" max="15883" width="12.140625" style="271" customWidth="1"/>
    <col min="15884" max="16128" width="9.140625" style="271"/>
    <col min="16129" max="16129" width="9.85546875" style="271" customWidth="1"/>
    <col min="16130" max="16130" width="23.5703125" style="271" customWidth="1"/>
    <col min="16131" max="16131" width="57.85546875" style="271" customWidth="1"/>
    <col min="16132" max="16132" width="12.140625" style="271" customWidth="1"/>
    <col min="16133" max="16133" width="5.28515625" style="271" customWidth="1"/>
    <col min="16134" max="16139" width="12.140625" style="271" customWidth="1"/>
    <col min="16140" max="16384" width="9.140625" style="271"/>
  </cols>
  <sheetData>
    <row r="1" spans="1:11" s="133" customFormat="1" ht="15" x14ac:dyDescent="0.2">
      <c r="A1" s="490" t="s">
        <v>125</v>
      </c>
      <c r="B1" s="490"/>
      <c r="C1" s="490"/>
      <c r="F1" s="134"/>
      <c r="G1" s="5"/>
      <c r="H1" s="135"/>
      <c r="I1" s="135"/>
      <c r="J1" s="136"/>
      <c r="K1" s="135" t="s">
        <v>126</v>
      </c>
    </row>
    <row r="2" spans="1:11" s="133" customFormat="1" ht="15" x14ac:dyDescent="0.2">
      <c r="A2" s="137" t="s">
        <v>127</v>
      </c>
      <c r="F2" s="138"/>
      <c r="G2" s="8"/>
      <c r="H2" s="136"/>
      <c r="I2" s="136"/>
      <c r="J2" s="137"/>
      <c r="K2" s="139" t="s">
        <v>97</v>
      </c>
    </row>
    <row r="3" spans="1:11" s="133" customFormat="1" ht="15" x14ac:dyDescent="0.2">
      <c r="A3" s="140"/>
      <c r="F3" s="138"/>
      <c r="G3" s="8"/>
      <c r="H3" s="136"/>
      <c r="I3" s="136"/>
      <c r="J3" s="136"/>
      <c r="K3" s="136"/>
    </row>
    <row r="4" spans="1:11" s="141" customFormat="1" ht="15" x14ac:dyDescent="0.2">
      <c r="A4" s="491" t="s">
        <v>126</v>
      </c>
      <c r="B4" s="491"/>
      <c r="C4" s="491"/>
      <c r="D4" s="491"/>
      <c r="E4" s="491"/>
      <c r="F4" s="491"/>
      <c r="G4" s="491"/>
      <c r="H4" s="491"/>
      <c r="I4" s="491"/>
      <c r="J4" s="491"/>
      <c r="K4" s="491"/>
    </row>
    <row r="5" spans="1:11" s="143" customFormat="1" ht="6.95" customHeight="1" thickBot="1" x14ac:dyDescent="0.25">
      <c r="A5" s="142"/>
      <c r="B5" s="142"/>
      <c r="C5" s="142"/>
      <c r="F5" s="144"/>
      <c r="G5" s="144"/>
      <c r="H5" s="144"/>
      <c r="I5" s="144"/>
      <c r="J5" s="144"/>
      <c r="K5" s="144"/>
    </row>
    <row r="6" spans="1:11" s="151" customFormat="1" ht="15" customHeight="1" x14ac:dyDescent="0.2">
      <c r="A6" s="145" t="s">
        <v>6</v>
      </c>
      <c r="B6" s="492" t="s">
        <v>7</v>
      </c>
      <c r="C6" s="492"/>
      <c r="D6" s="146" t="s">
        <v>8</v>
      </c>
      <c r="E6" s="147" t="s">
        <v>9</v>
      </c>
      <c r="F6" s="148" t="s">
        <v>10</v>
      </c>
      <c r="G6" s="149" t="s">
        <v>11</v>
      </c>
      <c r="H6" s="148" t="s">
        <v>12</v>
      </c>
      <c r="I6" s="149" t="s">
        <v>13</v>
      </c>
      <c r="J6" s="150" t="s">
        <v>14</v>
      </c>
      <c r="K6" s="149" t="s">
        <v>15</v>
      </c>
    </row>
    <row r="7" spans="1:11" s="151" customFormat="1" ht="15" customHeight="1" x14ac:dyDescent="0.2">
      <c r="A7" s="493" t="s">
        <v>2</v>
      </c>
      <c r="B7" s="496" t="s">
        <v>128</v>
      </c>
      <c r="C7" s="497"/>
      <c r="D7" s="502" t="s">
        <v>16</v>
      </c>
      <c r="E7" s="505" t="s">
        <v>1</v>
      </c>
      <c r="F7" s="508" t="s">
        <v>17</v>
      </c>
      <c r="G7" s="509"/>
      <c r="H7" s="508" t="s">
        <v>129</v>
      </c>
      <c r="I7" s="509"/>
      <c r="J7" s="508" t="s">
        <v>130</v>
      </c>
      <c r="K7" s="509"/>
    </row>
    <row r="8" spans="1:11" s="151" customFormat="1" ht="15" customHeight="1" x14ac:dyDescent="0.2">
      <c r="A8" s="494"/>
      <c r="B8" s="498"/>
      <c r="C8" s="499"/>
      <c r="D8" s="503"/>
      <c r="E8" s="506"/>
      <c r="F8" s="152" t="s">
        <v>0</v>
      </c>
      <c r="G8" s="153" t="s">
        <v>20</v>
      </c>
      <c r="H8" s="152" t="s">
        <v>0</v>
      </c>
      <c r="I8" s="153" t="s">
        <v>20</v>
      </c>
      <c r="J8" s="154" t="s">
        <v>0</v>
      </c>
      <c r="K8" s="153" t="s">
        <v>20</v>
      </c>
    </row>
    <row r="9" spans="1:11" s="151" customFormat="1" ht="15" customHeight="1" x14ac:dyDescent="0.2">
      <c r="A9" s="494"/>
      <c r="B9" s="498"/>
      <c r="C9" s="499"/>
      <c r="D9" s="503"/>
      <c r="E9" s="506"/>
      <c r="F9" s="155" t="s">
        <v>21</v>
      </c>
      <c r="G9" s="156" t="s">
        <v>21</v>
      </c>
      <c r="H9" s="155" t="s">
        <v>21</v>
      </c>
      <c r="I9" s="156" t="s">
        <v>21</v>
      </c>
      <c r="J9" s="155" t="s">
        <v>21</v>
      </c>
      <c r="K9" s="157" t="s">
        <v>21</v>
      </c>
    </row>
    <row r="10" spans="1:11" s="161" customFormat="1" ht="15" customHeight="1" x14ac:dyDescent="0.2">
      <c r="A10" s="495"/>
      <c r="B10" s="500"/>
      <c r="C10" s="501"/>
      <c r="D10" s="504"/>
      <c r="E10" s="507"/>
      <c r="F10" s="158"/>
      <c r="G10" s="159" t="s">
        <v>22</v>
      </c>
      <c r="H10" s="158"/>
      <c r="I10" s="159" t="s">
        <v>23</v>
      </c>
      <c r="J10" s="160" t="s">
        <v>24</v>
      </c>
      <c r="K10" s="159" t="s">
        <v>25</v>
      </c>
    </row>
    <row r="11" spans="1:11" s="161" customFormat="1" ht="15" customHeight="1" x14ac:dyDescent="0.2">
      <c r="A11" s="162">
        <v>1</v>
      </c>
      <c r="B11" s="163" t="s">
        <v>131</v>
      </c>
      <c r="C11" s="164"/>
      <c r="D11" s="164"/>
      <c r="E11" s="165"/>
      <c r="F11" s="166"/>
      <c r="G11" s="166"/>
      <c r="H11" s="166"/>
      <c r="I11" s="166"/>
      <c r="J11" s="166"/>
      <c r="K11" s="167"/>
    </row>
    <row r="12" spans="1:11" s="169" customFormat="1" ht="25.5" customHeight="1" x14ac:dyDescent="0.2">
      <c r="A12" s="168">
        <v>1.1000000000000001</v>
      </c>
      <c r="B12" s="483" t="s">
        <v>132</v>
      </c>
      <c r="C12" s="484"/>
      <c r="D12" s="484"/>
      <c r="E12" s="484"/>
      <c r="F12" s="484"/>
      <c r="G12" s="484"/>
      <c r="H12" s="484"/>
      <c r="I12" s="484"/>
      <c r="J12" s="484"/>
      <c r="K12" s="485"/>
    </row>
    <row r="13" spans="1:11" s="178" customFormat="1" ht="15" customHeight="1" x14ac:dyDescent="0.2">
      <c r="A13" s="170" t="s">
        <v>98</v>
      </c>
      <c r="B13" s="171" t="s">
        <v>133</v>
      </c>
      <c r="C13" s="172"/>
      <c r="D13" s="173" t="s">
        <v>134</v>
      </c>
      <c r="E13" s="174" t="s">
        <v>94</v>
      </c>
      <c r="F13" s="175"/>
      <c r="G13" s="176" t="s">
        <v>135</v>
      </c>
      <c r="H13" s="175"/>
      <c r="I13" s="176" t="s">
        <v>135</v>
      </c>
      <c r="J13" s="177"/>
      <c r="K13" s="176" t="s">
        <v>135</v>
      </c>
    </row>
    <row r="14" spans="1:11" s="178" customFormat="1" ht="15" customHeight="1" x14ac:dyDescent="0.2">
      <c r="A14" s="170" t="s">
        <v>99</v>
      </c>
      <c r="B14" s="171" t="s">
        <v>136</v>
      </c>
      <c r="C14" s="172"/>
      <c r="D14" s="173">
        <v>7.5</v>
      </c>
      <c r="E14" s="174" t="s">
        <v>94</v>
      </c>
      <c r="F14" s="179">
        <v>6500</v>
      </c>
      <c r="G14" s="180">
        <f>F14*D14</f>
        <v>48750</v>
      </c>
      <c r="H14" s="179">
        <v>500</v>
      </c>
      <c r="I14" s="180">
        <f>H14*D14</f>
        <v>3750</v>
      </c>
      <c r="J14" s="181"/>
      <c r="K14" s="180">
        <f>I14+G14</f>
        <v>52500</v>
      </c>
    </row>
    <row r="15" spans="1:11" s="178" customFormat="1" ht="15" customHeight="1" x14ac:dyDescent="0.2">
      <c r="A15" s="170" t="s">
        <v>100</v>
      </c>
      <c r="B15" s="171" t="s">
        <v>137</v>
      </c>
      <c r="C15" s="172"/>
      <c r="D15" s="173">
        <v>4</v>
      </c>
      <c r="E15" s="174" t="s">
        <v>94</v>
      </c>
      <c r="F15" s="179">
        <v>4500</v>
      </c>
      <c r="G15" s="180">
        <f>F15*D15</f>
        <v>18000</v>
      </c>
      <c r="H15" s="179">
        <v>450</v>
      </c>
      <c r="I15" s="180">
        <f>H15*D15</f>
        <v>1800</v>
      </c>
      <c r="J15" s="181"/>
      <c r="K15" s="180">
        <f>I15+G15</f>
        <v>19800</v>
      </c>
    </row>
    <row r="16" spans="1:11" s="178" customFormat="1" ht="15" customHeight="1" x14ac:dyDescent="0.2">
      <c r="A16" s="170" t="s">
        <v>138</v>
      </c>
      <c r="B16" s="171" t="s">
        <v>139</v>
      </c>
      <c r="C16" s="172"/>
      <c r="D16" s="173">
        <v>13</v>
      </c>
      <c r="E16" s="174" t="s">
        <v>94</v>
      </c>
      <c r="F16" s="179">
        <v>2450</v>
      </c>
      <c r="G16" s="180">
        <f>F16*D16</f>
        <v>31850</v>
      </c>
      <c r="H16" s="179">
        <v>400</v>
      </c>
      <c r="I16" s="180">
        <f>H16*D16</f>
        <v>5200</v>
      </c>
      <c r="J16" s="181"/>
      <c r="K16" s="180">
        <f>I16+G16</f>
        <v>37050</v>
      </c>
    </row>
    <row r="17" spans="1:11" s="178" customFormat="1" ht="15" customHeight="1" x14ac:dyDescent="0.2">
      <c r="A17" s="170" t="s">
        <v>140</v>
      </c>
      <c r="B17" s="182" t="s">
        <v>141</v>
      </c>
      <c r="C17" s="172"/>
      <c r="D17" s="173">
        <v>25</v>
      </c>
      <c r="E17" s="174" t="s">
        <v>94</v>
      </c>
      <c r="F17" s="179">
        <v>1900</v>
      </c>
      <c r="G17" s="180">
        <f>F17*D17</f>
        <v>47500</v>
      </c>
      <c r="H17" s="179">
        <v>350</v>
      </c>
      <c r="I17" s="180">
        <f>H17*D17</f>
        <v>8750</v>
      </c>
      <c r="J17" s="181"/>
      <c r="K17" s="180">
        <f>I17+G17</f>
        <v>56250</v>
      </c>
    </row>
    <row r="18" spans="1:11" s="178" customFormat="1" ht="15" customHeight="1" x14ac:dyDescent="0.2">
      <c r="A18" s="170" t="s">
        <v>142</v>
      </c>
      <c r="B18" s="182" t="s">
        <v>143</v>
      </c>
      <c r="C18" s="172"/>
      <c r="D18" s="173">
        <v>3</v>
      </c>
      <c r="E18" s="174" t="s">
        <v>94</v>
      </c>
      <c r="F18" s="179">
        <v>1200</v>
      </c>
      <c r="G18" s="180">
        <f>F18*D18</f>
        <v>3600</v>
      </c>
      <c r="H18" s="179">
        <v>300</v>
      </c>
      <c r="I18" s="180">
        <f>H18*D18</f>
        <v>900</v>
      </c>
      <c r="J18" s="181"/>
      <c r="K18" s="180">
        <f>I18+G18</f>
        <v>4500</v>
      </c>
    </row>
    <row r="19" spans="1:11" s="169" customFormat="1" ht="15" customHeight="1" x14ac:dyDescent="0.2">
      <c r="A19" s="183">
        <v>1.2</v>
      </c>
      <c r="B19" s="184" t="s">
        <v>144</v>
      </c>
      <c r="C19" s="185"/>
      <c r="D19" s="185"/>
      <c r="E19" s="186"/>
      <c r="F19" s="187"/>
      <c r="G19" s="187"/>
      <c r="H19" s="187"/>
      <c r="I19" s="187"/>
      <c r="J19" s="187"/>
      <c r="K19" s="188"/>
    </row>
    <row r="20" spans="1:11" s="169" customFormat="1" ht="15" customHeight="1" x14ac:dyDescent="0.2">
      <c r="A20" s="168" t="s">
        <v>145</v>
      </c>
      <c r="B20" s="184" t="s">
        <v>146</v>
      </c>
      <c r="C20" s="185"/>
      <c r="D20" s="185"/>
      <c r="E20" s="186"/>
      <c r="F20" s="187"/>
      <c r="G20" s="187"/>
      <c r="H20" s="187"/>
      <c r="I20" s="187"/>
      <c r="J20" s="187"/>
      <c r="K20" s="188"/>
    </row>
    <row r="21" spans="1:11" s="178" customFormat="1" ht="15" customHeight="1" x14ac:dyDescent="0.2">
      <c r="A21" s="170" t="s">
        <v>147</v>
      </c>
      <c r="B21" s="171" t="s">
        <v>136</v>
      </c>
      <c r="C21" s="172"/>
      <c r="D21" s="173" t="s">
        <v>134</v>
      </c>
      <c r="E21" s="174" t="s">
        <v>26</v>
      </c>
      <c r="F21" s="175"/>
      <c r="G21" s="176" t="s">
        <v>135</v>
      </c>
      <c r="H21" s="175"/>
      <c r="I21" s="176" t="s">
        <v>135</v>
      </c>
      <c r="J21" s="177"/>
      <c r="K21" s="176" t="s">
        <v>135</v>
      </c>
    </row>
    <row r="22" spans="1:11" s="178" customFormat="1" ht="15" customHeight="1" x14ac:dyDescent="0.2">
      <c r="A22" s="170" t="s">
        <v>148</v>
      </c>
      <c r="B22" s="171" t="s">
        <v>137</v>
      </c>
      <c r="C22" s="172"/>
      <c r="D22" s="173" t="s">
        <v>134</v>
      </c>
      <c r="E22" s="174" t="s">
        <v>26</v>
      </c>
      <c r="F22" s="175"/>
      <c r="G22" s="176" t="s">
        <v>135</v>
      </c>
      <c r="H22" s="175"/>
      <c r="I22" s="176" t="s">
        <v>135</v>
      </c>
      <c r="J22" s="177"/>
      <c r="K22" s="176" t="s">
        <v>135</v>
      </c>
    </row>
    <row r="23" spans="1:11" s="169" customFormat="1" ht="15" customHeight="1" x14ac:dyDescent="0.2">
      <c r="A23" s="170" t="s">
        <v>149</v>
      </c>
      <c r="B23" s="171" t="s">
        <v>139</v>
      </c>
      <c r="C23" s="172"/>
      <c r="D23" s="173">
        <v>3</v>
      </c>
      <c r="E23" s="174" t="s">
        <v>26</v>
      </c>
      <c r="F23" s="175">
        <v>11250</v>
      </c>
      <c r="G23" s="180">
        <f>F23*D23</f>
        <v>33750</v>
      </c>
      <c r="H23" s="179">
        <v>1000</v>
      </c>
      <c r="I23" s="180">
        <f>H23*D23</f>
        <v>3000</v>
      </c>
      <c r="J23" s="181"/>
      <c r="K23" s="180">
        <f>I23+G23</f>
        <v>36750</v>
      </c>
    </row>
    <row r="24" spans="1:11" s="192" customFormat="1" ht="15" customHeight="1" x14ac:dyDescent="0.2">
      <c r="A24" s="170" t="s">
        <v>150</v>
      </c>
      <c r="B24" s="182" t="s">
        <v>141</v>
      </c>
      <c r="C24" s="189"/>
      <c r="D24" s="190">
        <v>6</v>
      </c>
      <c r="E24" s="191" t="s">
        <v>26</v>
      </c>
      <c r="F24" s="175">
        <v>8500</v>
      </c>
      <c r="G24" s="180">
        <f>F24*D24</f>
        <v>51000</v>
      </c>
      <c r="H24" s="179">
        <v>1000</v>
      </c>
      <c r="I24" s="180">
        <f>H24*D24</f>
        <v>6000</v>
      </c>
      <c r="J24" s="181"/>
      <c r="K24" s="180">
        <f>I24+G24</f>
        <v>57000</v>
      </c>
    </row>
    <row r="25" spans="1:11" s="169" customFormat="1" ht="15" customHeight="1" x14ac:dyDescent="0.2">
      <c r="A25" s="168" t="s">
        <v>151</v>
      </c>
      <c r="B25" s="184" t="s">
        <v>152</v>
      </c>
      <c r="C25" s="185"/>
      <c r="D25" s="185"/>
      <c r="E25" s="186"/>
      <c r="F25" s="187"/>
      <c r="G25" s="187"/>
      <c r="H25" s="187"/>
      <c r="I25" s="187"/>
      <c r="J25" s="187"/>
      <c r="K25" s="188"/>
    </row>
    <row r="26" spans="1:11" s="169" customFormat="1" ht="15" customHeight="1" x14ac:dyDescent="0.2">
      <c r="A26" s="170" t="s">
        <v>153</v>
      </c>
      <c r="B26" s="182" t="s">
        <v>141</v>
      </c>
      <c r="C26" s="172"/>
      <c r="D26" s="173">
        <v>1</v>
      </c>
      <c r="E26" s="174" t="s">
        <v>26</v>
      </c>
      <c r="F26" s="175">
        <v>9000</v>
      </c>
      <c r="G26" s="180">
        <f>F26*D26</f>
        <v>9000</v>
      </c>
      <c r="H26" s="175">
        <v>1000</v>
      </c>
      <c r="I26" s="180">
        <f>H26*D26</f>
        <v>1000</v>
      </c>
      <c r="J26" s="177"/>
      <c r="K26" s="180">
        <f>I26+G26</f>
        <v>10000</v>
      </c>
    </row>
    <row r="27" spans="1:11" s="169" customFormat="1" ht="15" customHeight="1" x14ac:dyDescent="0.2">
      <c r="A27" s="168" t="s">
        <v>154</v>
      </c>
      <c r="B27" s="184" t="s">
        <v>155</v>
      </c>
      <c r="C27" s="193"/>
      <c r="D27" s="193"/>
      <c r="E27" s="186"/>
      <c r="F27" s="194"/>
      <c r="G27" s="194"/>
      <c r="H27" s="194"/>
      <c r="I27" s="194"/>
      <c r="J27" s="194"/>
      <c r="K27" s="195"/>
    </row>
    <row r="28" spans="1:11" s="169" customFormat="1" ht="15" customHeight="1" x14ac:dyDescent="0.2">
      <c r="A28" s="170" t="s">
        <v>156</v>
      </c>
      <c r="B28" s="171" t="s">
        <v>136</v>
      </c>
      <c r="C28" s="196"/>
      <c r="D28" s="197">
        <v>1</v>
      </c>
      <c r="E28" s="174" t="s">
        <v>27</v>
      </c>
      <c r="F28" s="179">
        <v>148000</v>
      </c>
      <c r="G28" s="180">
        <f t="shared" ref="G28:G33" si="0">F28*D28</f>
        <v>148000</v>
      </c>
      <c r="H28" s="179">
        <v>3000</v>
      </c>
      <c r="I28" s="180">
        <f t="shared" ref="I28:I33" si="1">H28*D28</f>
        <v>3000</v>
      </c>
      <c r="J28" s="181"/>
      <c r="K28" s="180">
        <f t="shared" ref="K28:K33" si="2">I28+G28</f>
        <v>151000</v>
      </c>
    </row>
    <row r="29" spans="1:11" s="169" customFormat="1" ht="24" customHeight="1" x14ac:dyDescent="0.2">
      <c r="A29" s="198">
        <v>1.3</v>
      </c>
      <c r="B29" s="486" t="s">
        <v>157</v>
      </c>
      <c r="C29" s="487"/>
      <c r="D29" s="199">
        <v>1</v>
      </c>
      <c r="E29" s="174" t="s">
        <v>29</v>
      </c>
      <c r="F29" s="179">
        <v>45000</v>
      </c>
      <c r="G29" s="180">
        <f t="shared" si="0"/>
        <v>45000</v>
      </c>
      <c r="H29" s="179">
        <v>8000</v>
      </c>
      <c r="I29" s="180">
        <f t="shared" si="1"/>
        <v>8000</v>
      </c>
      <c r="J29" s="181"/>
      <c r="K29" s="180">
        <f t="shared" si="2"/>
        <v>53000</v>
      </c>
    </row>
    <row r="30" spans="1:11" s="169" customFormat="1" ht="25.5" customHeight="1" x14ac:dyDescent="0.2">
      <c r="A30" s="198">
        <v>1.4</v>
      </c>
      <c r="B30" s="481" t="s">
        <v>158</v>
      </c>
      <c r="C30" s="482"/>
      <c r="D30" s="199">
        <v>1</v>
      </c>
      <c r="E30" s="174" t="s">
        <v>29</v>
      </c>
      <c r="F30" s="179">
        <v>0</v>
      </c>
      <c r="G30" s="180">
        <f t="shared" si="0"/>
        <v>0</v>
      </c>
      <c r="H30" s="179">
        <v>25000</v>
      </c>
      <c r="I30" s="180">
        <f t="shared" si="1"/>
        <v>25000</v>
      </c>
      <c r="J30" s="181"/>
      <c r="K30" s="180">
        <f t="shared" si="2"/>
        <v>25000</v>
      </c>
    </row>
    <row r="31" spans="1:11" s="169" customFormat="1" ht="15" customHeight="1" x14ac:dyDescent="0.2">
      <c r="A31" s="200">
        <v>1.5</v>
      </c>
      <c r="B31" s="486" t="s">
        <v>159</v>
      </c>
      <c r="C31" s="487"/>
      <c r="D31" s="201">
        <v>5</v>
      </c>
      <c r="E31" s="202" t="s">
        <v>26</v>
      </c>
      <c r="F31" s="179">
        <v>9000</v>
      </c>
      <c r="G31" s="180">
        <f t="shared" si="0"/>
        <v>45000</v>
      </c>
      <c r="H31" s="179">
        <v>1000</v>
      </c>
      <c r="I31" s="180">
        <f t="shared" si="1"/>
        <v>5000</v>
      </c>
      <c r="J31" s="181"/>
      <c r="K31" s="180">
        <f t="shared" si="2"/>
        <v>50000</v>
      </c>
    </row>
    <row r="32" spans="1:11" s="169" customFormat="1" ht="15" customHeight="1" x14ac:dyDescent="0.2">
      <c r="A32" s="198">
        <v>1.6</v>
      </c>
      <c r="B32" s="486" t="s">
        <v>160</v>
      </c>
      <c r="C32" s="487"/>
      <c r="D32" s="201">
        <v>1</v>
      </c>
      <c r="E32" s="202" t="s">
        <v>27</v>
      </c>
      <c r="F32" s="179">
        <v>18000</v>
      </c>
      <c r="G32" s="180">
        <f t="shared" si="0"/>
        <v>18000</v>
      </c>
      <c r="H32" s="179">
        <v>1000</v>
      </c>
      <c r="I32" s="180">
        <f t="shared" si="1"/>
        <v>1000</v>
      </c>
      <c r="J32" s="181"/>
      <c r="K32" s="180">
        <f t="shared" si="2"/>
        <v>19000</v>
      </c>
    </row>
    <row r="33" spans="1:11" s="169" customFormat="1" ht="15" customHeight="1" thickBot="1" x14ac:dyDescent="0.25">
      <c r="A33" s="200">
        <v>1.7</v>
      </c>
      <c r="B33" s="486" t="s">
        <v>161</v>
      </c>
      <c r="C33" s="487"/>
      <c r="D33" s="201">
        <v>1</v>
      </c>
      <c r="E33" s="202" t="s">
        <v>27</v>
      </c>
      <c r="F33" s="179">
        <v>10000</v>
      </c>
      <c r="G33" s="180">
        <f t="shared" si="0"/>
        <v>10000</v>
      </c>
      <c r="H33" s="179">
        <v>1000</v>
      </c>
      <c r="I33" s="180">
        <f t="shared" si="1"/>
        <v>1000</v>
      </c>
      <c r="J33" s="181"/>
      <c r="K33" s="180">
        <f t="shared" si="2"/>
        <v>11000</v>
      </c>
    </row>
    <row r="34" spans="1:11" s="169" customFormat="1" ht="15" customHeight="1" thickBot="1" x14ac:dyDescent="0.25">
      <c r="A34" s="468" t="s">
        <v>33</v>
      </c>
      <c r="B34" s="469"/>
      <c r="C34" s="469"/>
      <c r="D34" s="469"/>
      <c r="E34" s="470"/>
      <c r="F34" s="203"/>
      <c r="G34" s="204"/>
      <c r="H34" s="203"/>
      <c r="I34" s="204"/>
      <c r="J34" s="205"/>
      <c r="K34" s="204"/>
    </row>
    <row r="35" spans="1:11" s="211" customFormat="1" ht="15" customHeight="1" x14ac:dyDescent="0.2">
      <c r="A35" s="162">
        <v>2</v>
      </c>
      <c r="B35" s="163" t="s">
        <v>162</v>
      </c>
      <c r="C35" s="206"/>
      <c r="D35" s="207"/>
      <c r="E35" s="208"/>
      <c r="F35" s="209"/>
      <c r="G35" s="209"/>
      <c r="H35" s="209"/>
      <c r="I35" s="209"/>
      <c r="J35" s="209"/>
      <c r="K35" s="210"/>
    </row>
    <row r="36" spans="1:11" s="218" customFormat="1" ht="15" customHeight="1" x14ac:dyDescent="0.2">
      <c r="A36" s="212">
        <v>2.1</v>
      </c>
      <c r="B36" s="213" t="s">
        <v>132</v>
      </c>
      <c r="C36" s="214"/>
      <c r="D36" s="214"/>
      <c r="E36" s="215"/>
      <c r="F36" s="216"/>
      <c r="G36" s="216"/>
      <c r="H36" s="216"/>
      <c r="I36" s="216"/>
      <c r="J36" s="216"/>
      <c r="K36" s="217"/>
    </row>
    <row r="37" spans="1:11" s="218" customFormat="1" ht="15" customHeight="1" x14ac:dyDescent="0.2">
      <c r="A37" s="170" t="s">
        <v>163</v>
      </c>
      <c r="B37" s="171" t="s">
        <v>139</v>
      </c>
      <c r="C37" s="189"/>
      <c r="D37" s="219" t="s">
        <v>134</v>
      </c>
      <c r="E37" s="174" t="s">
        <v>94</v>
      </c>
      <c r="F37" s="175"/>
      <c r="G37" s="176" t="s">
        <v>135</v>
      </c>
      <c r="H37" s="175"/>
      <c r="I37" s="176" t="s">
        <v>135</v>
      </c>
      <c r="J37" s="177"/>
      <c r="K37" s="176" t="s">
        <v>135</v>
      </c>
    </row>
    <row r="38" spans="1:11" s="218" customFormat="1" ht="15" customHeight="1" x14ac:dyDescent="0.2">
      <c r="A38" s="170" t="s">
        <v>164</v>
      </c>
      <c r="B38" s="182" t="s">
        <v>141</v>
      </c>
      <c r="C38" s="189"/>
      <c r="D38" s="219">
        <v>32</v>
      </c>
      <c r="E38" s="174" t="s">
        <v>94</v>
      </c>
      <c r="F38" s="179">
        <v>1650</v>
      </c>
      <c r="G38" s="180">
        <f>F38*D38</f>
        <v>52800</v>
      </c>
      <c r="H38" s="179">
        <v>400</v>
      </c>
      <c r="I38" s="180">
        <f>H38*D38</f>
        <v>12800</v>
      </c>
      <c r="J38" s="181"/>
      <c r="K38" s="180">
        <f>I38+G38</f>
        <v>65600</v>
      </c>
    </row>
    <row r="39" spans="1:11" s="218" customFormat="1" ht="15" customHeight="1" x14ac:dyDescent="0.2">
      <c r="A39" s="170" t="s">
        <v>165</v>
      </c>
      <c r="B39" s="182" t="s">
        <v>143</v>
      </c>
      <c r="C39" s="189"/>
      <c r="D39" s="219" t="s">
        <v>134</v>
      </c>
      <c r="E39" s="174" t="s">
        <v>94</v>
      </c>
      <c r="F39" s="175"/>
      <c r="G39" s="176" t="s">
        <v>135</v>
      </c>
      <c r="H39" s="175"/>
      <c r="I39" s="176" t="s">
        <v>135</v>
      </c>
      <c r="J39" s="177"/>
      <c r="K39" s="176" t="s">
        <v>135</v>
      </c>
    </row>
    <row r="40" spans="1:11" s="218" customFormat="1" ht="15" customHeight="1" x14ac:dyDescent="0.2">
      <c r="A40" s="212">
        <v>2.2000000000000002</v>
      </c>
      <c r="B40" s="213" t="s">
        <v>144</v>
      </c>
      <c r="C40" s="220"/>
      <c r="D40" s="221"/>
      <c r="E40" s="221"/>
      <c r="F40" s="216"/>
      <c r="G40" s="216"/>
      <c r="H40" s="216"/>
      <c r="I40" s="216"/>
      <c r="J40" s="216"/>
      <c r="K40" s="217"/>
    </row>
    <row r="41" spans="1:11" s="218" customFormat="1" ht="15" customHeight="1" x14ac:dyDescent="0.2">
      <c r="A41" s="222" t="s">
        <v>166</v>
      </c>
      <c r="B41" s="223" t="s">
        <v>167</v>
      </c>
      <c r="C41" s="214"/>
      <c r="D41" s="214"/>
      <c r="E41" s="224"/>
      <c r="F41" s="216"/>
      <c r="G41" s="216"/>
      <c r="H41" s="216"/>
      <c r="I41" s="216"/>
      <c r="J41" s="216"/>
      <c r="K41" s="225"/>
    </row>
    <row r="42" spans="1:11" s="192" customFormat="1" ht="15" customHeight="1" x14ac:dyDescent="0.2">
      <c r="A42" s="170" t="s">
        <v>168</v>
      </c>
      <c r="B42" s="182" t="s">
        <v>141</v>
      </c>
      <c r="C42" s="189"/>
      <c r="D42" s="190">
        <v>2</v>
      </c>
      <c r="E42" s="191" t="s">
        <v>26</v>
      </c>
      <c r="F42" s="179">
        <v>86000</v>
      </c>
      <c r="G42" s="180">
        <f>F42*D42</f>
        <v>172000</v>
      </c>
      <c r="H42" s="179">
        <v>2000</v>
      </c>
      <c r="I42" s="180">
        <f>H42*D42</f>
        <v>4000</v>
      </c>
      <c r="J42" s="181"/>
      <c r="K42" s="180">
        <f>I42+G42</f>
        <v>176000</v>
      </c>
    </row>
    <row r="43" spans="1:11" s="218" customFormat="1" ht="15" customHeight="1" x14ac:dyDescent="0.2">
      <c r="A43" s="222" t="s">
        <v>169</v>
      </c>
      <c r="B43" s="184" t="s">
        <v>146</v>
      </c>
      <c r="C43" s="214"/>
      <c r="D43" s="214"/>
      <c r="E43" s="224"/>
      <c r="F43" s="216"/>
      <c r="G43" s="216"/>
      <c r="H43" s="216"/>
      <c r="I43" s="216"/>
      <c r="J43" s="216"/>
      <c r="K43" s="225"/>
    </row>
    <row r="44" spans="1:11" s="192" customFormat="1" ht="15" customHeight="1" x14ac:dyDescent="0.2">
      <c r="A44" s="170" t="s">
        <v>170</v>
      </c>
      <c r="B44" s="171" t="s">
        <v>139</v>
      </c>
      <c r="C44" s="189"/>
      <c r="D44" s="190" t="s">
        <v>134</v>
      </c>
      <c r="E44" s="191" t="s">
        <v>27</v>
      </c>
      <c r="F44" s="175"/>
      <c r="G44" s="176" t="s">
        <v>135</v>
      </c>
      <c r="H44" s="175"/>
      <c r="I44" s="176" t="s">
        <v>135</v>
      </c>
      <c r="J44" s="177"/>
      <c r="K44" s="176" t="s">
        <v>135</v>
      </c>
    </row>
    <row r="45" spans="1:11" s="192" customFormat="1" ht="15" customHeight="1" x14ac:dyDescent="0.2">
      <c r="A45" s="170" t="s">
        <v>171</v>
      </c>
      <c r="B45" s="182" t="s">
        <v>141</v>
      </c>
      <c r="C45" s="189"/>
      <c r="D45" s="190">
        <f>3+3</f>
        <v>6</v>
      </c>
      <c r="E45" s="191" t="s">
        <v>26</v>
      </c>
      <c r="F45" s="179">
        <v>10000</v>
      </c>
      <c r="G45" s="180">
        <f>F45*D45</f>
        <v>60000</v>
      </c>
      <c r="H45" s="179">
        <v>1000</v>
      </c>
      <c r="I45" s="180">
        <f>H45*D45</f>
        <v>6000</v>
      </c>
      <c r="J45" s="181"/>
      <c r="K45" s="180">
        <f>I45+G45</f>
        <v>66000</v>
      </c>
    </row>
    <row r="46" spans="1:11" s="218" customFormat="1" ht="15" customHeight="1" x14ac:dyDescent="0.2">
      <c r="A46" s="170" t="s">
        <v>172</v>
      </c>
      <c r="B46" s="182" t="s">
        <v>143</v>
      </c>
      <c r="C46" s="189"/>
      <c r="D46" s="219" t="s">
        <v>134</v>
      </c>
      <c r="E46" s="174" t="s">
        <v>26</v>
      </c>
      <c r="F46" s="175"/>
      <c r="G46" s="176" t="s">
        <v>135</v>
      </c>
      <c r="H46" s="175"/>
      <c r="I46" s="176" t="s">
        <v>135</v>
      </c>
      <c r="J46" s="177"/>
      <c r="K46" s="176" t="s">
        <v>135</v>
      </c>
    </row>
    <row r="47" spans="1:11" s="169" customFormat="1" ht="15" customHeight="1" x14ac:dyDescent="0.2">
      <c r="A47" s="168" t="s">
        <v>173</v>
      </c>
      <c r="B47" s="184" t="s">
        <v>152</v>
      </c>
      <c r="C47" s="185"/>
      <c r="D47" s="185"/>
      <c r="E47" s="186"/>
      <c r="F47" s="187"/>
      <c r="G47" s="187"/>
      <c r="H47" s="187"/>
      <c r="I47" s="187"/>
      <c r="J47" s="187"/>
      <c r="K47" s="188"/>
    </row>
    <row r="48" spans="1:11" s="169" customFormat="1" ht="15" customHeight="1" x14ac:dyDescent="0.2">
      <c r="A48" s="170" t="s">
        <v>174</v>
      </c>
      <c r="B48" s="182" t="s">
        <v>141</v>
      </c>
      <c r="C48" s="172"/>
      <c r="D48" s="173">
        <v>3</v>
      </c>
      <c r="E48" s="174" t="s">
        <v>26</v>
      </c>
      <c r="F48" s="179">
        <v>9000</v>
      </c>
      <c r="G48" s="180">
        <f>F48*D48</f>
        <v>27000</v>
      </c>
      <c r="H48" s="179">
        <v>1000</v>
      </c>
      <c r="I48" s="180">
        <f>H48*D48</f>
        <v>3000</v>
      </c>
      <c r="J48" s="181"/>
      <c r="K48" s="180">
        <f>I48+G48</f>
        <v>30000</v>
      </c>
    </row>
    <row r="49" spans="1:11" s="231" customFormat="1" ht="15" customHeight="1" x14ac:dyDescent="0.2">
      <c r="A49" s="226">
        <v>2.2999999999999998</v>
      </c>
      <c r="B49" s="227" t="s">
        <v>175</v>
      </c>
      <c r="C49" s="228"/>
      <c r="D49" s="228"/>
      <c r="E49" s="228"/>
      <c r="F49" s="229"/>
      <c r="G49" s="229"/>
      <c r="H49" s="229"/>
      <c r="I49" s="229"/>
      <c r="J49" s="229"/>
      <c r="K49" s="230"/>
    </row>
    <row r="50" spans="1:11" s="235" customFormat="1" ht="15" customHeight="1" x14ac:dyDescent="0.2">
      <c r="A50" s="232" t="s">
        <v>176</v>
      </c>
      <c r="B50" s="171" t="s">
        <v>139</v>
      </c>
      <c r="C50" s="233"/>
      <c r="D50" s="234" t="s">
        <v>134</v>
      </c>
      <c r="E50" s="174" t="s">
        <v>94</v>
      </c>
      <c r="F50" s="175"/>
      <c r="G50" s="176" t="s">
        <v>135</v>
      </c>
      <c r="H50" s="175"/>
      <c r="I50" s="176" t="s">
        <v>135</v>
      </c>
      <c r="J50" s="177"/>
      <c r="K50" s="176" t="s">
        <v>135</v>
      </c>
    </row>
    <row r="51" spans="1:11" s="236" customFormat="1" ht="15" customHeight="1" x14ac:dyDescent="0.2">
      <c r="A51" s="232" t="s">
        <v>177</v>
      </c>
      <c r="B51" s="182" t="s">
        <v>141</v>
      </c>
      <c r="C51" s="233"/>
      <c r="D51" s="234">
        <f>D38</f>
        <v>32</v>
      </c>
      <c r="E51" s="174" t="s">
        <v>94</v>
      </c>
      <c r="F51" s="179">
        <v>4250</v>
      </c>
      <c r="G51" s="180">
        <f>F51*D51</f>
        <v>136000</v>
      </c>
      <c r="H51" s="179">
        <v>600</v>
      </c>
      <c r="I51" s="180">
        <f>H51*D51</f>
        <v>19200</v>
      </c>
      <c r="J51" s="181"/>
      <c r="K51" s="180">
        <f>I51+G51</f>
        <v>155200</v>
      </c>
    </row>
    <row r="52" spans="1:11" s="236" customFormat="1" ht="15" customHeight="1" x14ac:dyDescent="0.2">
      <c r="A52" s="232" t="s">
        <v>178</v>
      </c>
      <c r="B52" s="182" t="s">
        <v>143</v>
      </c>
      <c r="C52" s="233"/>
      <c r="D52" s="234" t="str">
        <f>D39</f>
        <v>-</v>
      </c>
      <c r="E52" s="174" t="s">
        <v>94</v>
      </c>
      <c r="F52" s="175"/>
      <c r="G52" s="176" t="s">
        <v>135</v>
      </c>
      <c r="H52" s="175"/>
      <c r="I52" s="176" t="s">
        <v>135</v>
      </c>
      <c r="J52" s="177"/>
      <c r="K52" s="176" t="s">
        <v>135</v>
      </c>
    </row>
    <row r="53" spans="1:11" s="218" customFormat="1" ht="15" customHeight="1" x14ac:dyDescent="0.2">
      <c r="A53" s="237">
        <v>2.4</v>
      </c>
      <c r="B53" s="486" t="s">
        <v>179</v>
      </c>
      <c r="C53" s="487"/>
      <c r="D53" s="190">
        <v>1</v>
      </c>
      <c r="E53" s="191" t="s">
        <v>29</v>
      </c>
      <c r="F53" s="179">
        <v>48000</v>
      </c>
      <c r="G53" s="180">
        <f>F53*D53</f>
        <v>48000</v>
      </c>
      <c r="H53" s="179">
        <v>12000</v>
      </c>
      <c r="I53" s="180">
        <f>H53*D53</f>
        <v>12000</v>
      </c>
      <c r="J53" s="181"/>
      <c r="K53" s="180">
        <f>I53+G53</f>
        <v>60000</v>
      </c>
    </row>
    <row r="54" spans="1:11" s="218" customFormat="1" ht="26.25" customHeight="1" x14ac:dyDescent="0.2">
      <c r="A54" s="237">
        <v>2.5</v>
      </c>
      <c r="B54" s="486" t="s">
        <v>180</v>
      </c>
      <c r="C54" s="487"/>
      <c r="D54" s="190">
        <v>1</v>
      </c>
      <c r="E54" s="191" t="s">
        <v>29</v>
      </c>
      <c r="F54" s="179">
        <v>0</v>
      </c>
      <c r="G54" s="180">
        <f>F54*D54</f>
        <v>0</v>
      </c>
      <c r="H54" s="179">
        <v>15000</v>
      </c>
      <c r="I54" s="180">
        <f>H54*D54</f>
        <v>15000</v>
      </c>
      <c r="J54" s="181"/>
      <c r="K54" s="180">
        <f>I54+G54</f>
        <v>15000</v>
      </c>
    </row>
    <row r="55" spans="1:11" s="231" customFormat="1" ht="15" customHeight="1" x14ac:dyDescent="0.2">
      <c r="A55" s="226">
        <v>2.6</v>
      </c>
      <c r="B55" s="213" t="s">
        <v>181</v>
      </c>
      <c r="C55" s="228"/>
      <c r="D55" s="228"/>
      <c r="E55" s="228"/>
      <c r="F55" s="229"/>
      <c r="G55" s="229"/>
      <c r="H55" s="229"/>
      <c r="I55" s="229"/>
      <c r="J55" s="229"/>
      <c r="K55" s="230"/>
    </row>
    <row r="56" spans="1:11" s="235" customFormat="1" ht="38.450000000000003" customHeight="1" thickBot="1" x14ac:dyDescent="0.25">
      <c r="A56" s="232" t="s">
        <v>182</v>
      </c>
      <c r="B56" s="488" t="s">
        <v>183</v>
      </c>
      <c r="C56" s="489"/>
      <c r="D56" s="234">
        <v>2</v>
      </c>
      <c r="E56" s="174" t="s">
        <v>26</v>
      </c>
      <c r="F56" s="179">
        <v>79000</v>
      </c>
      <c r="G56" s="180">
        <f>F56*D56</f>
        <v>158000</v>
      </c>
      <c r="H56" s="179">
        <v>3000</v>
      </c>
      <c r="I56" s="180">
        <f>H56*D56</f>
        <v>6000</v>
      </c>
      <c r="J56" s="181"/>
      <c r="K56" s="180">
        <f>I56+G56</f>
        <v>164000</v>
      </c>
    </row>
    <row r="57" spans="1:11" s="169" customFormat="1" ht="15" customHeight="1" thickBot="1" x14ac:dyDescent="0.25">
      <c r="A57" s="468" t="s">
        <v>33</v>
      </c>
      <c r="B57" s="469"/>
      <c r="C57" s="469"/>
      <c r="D57" s="469"/>
      <c r="E57" s="470"/>
      <c r="F57" s="203"/>
      <c r="G57" s="204"/>
      <c r="H57" s="203"/>
      <c r="I57" s="204"/>
      <c r="J57" s="205"/>
      <c r="K57" s="204"/>
    </row>
    <row r="58" spans="1:11" s="161" customFormat="1" ht="15" customHeight="1" x14ac:dyDescent="0.2">
      <c r="A58" s="162">
        <v>3</v>
      </c>
      <c r="B58" s="163" t="s">
        <v>184</v>
      </c>
      <c r="C58" s="164"/>
      <c r="D58" s="164"/>
      <c r="E58" s="165"/>
      <c r="F58" s="166"/>
      <c r="G58" s="166"/>
      <c r="H58" s="166"/>
      <c r="I58" s="166"/>
      <c r="J58" s="166"/>
      <c r="K58" s="167"/>
    </row>
    <row r="59" spans="1:11" s="238" customFormat="1" ht="27.6" customHeight="1" x14ac:dyDescent="0.2">
      <c r="A59" s="212">
        <v>3.1</v>
      </c>
      <c r="B59" s="478" t="s">
        <v>185</v>
      </c>
      <c r="C59" s="479"/>
      <c r="D59" s="479"/>
      <c r="E59" s="479"/>
      <c r="F59" s="479"/>
      <c r="G59" s="479"/>
      <c r="H59" s="479"/>
      <c r="I59" s="479"/>
      <c r="J59" s="479"/>
      <c r="K59" s="480"/>
    </row>
    <row r="60" spans="1:11" s="178" customFormat="1" ht="15" customHeight="1" x14ac:dyDescent="0.2">
      <c r="A60" s="170" t="s">
        <v>186</v>
      </c>
      <c r="B60" s="239" t="s">
        <v>187</v>
      </c>
      <c r="C60" s="172"/>
      <c r="D60" s="173">
        <v>18</v>
      </c>
      <c r="E60" s="174" t="s">
        <v>94</v>
      </c>
      <c r="F60" s="179">
        <v>4900</v>
      </c>
      <c r="G60" s="180">
        <f>F60*D60</f>
        <v>88200</v>
      </c>
      <c r="H60" s="179">
        <v>1000</v>
      </c>
      <c r="I60" s="180">
        <f>H60*D60</f>
        <v>18000</v>
      </c>
      <c r="J60" s="181"/>
      <c r="K60" s="180">
        <f>I60+G60</f>
        <v>106200</v>
      </c>
    </row>
    <row r="61" spans="1:11" s="178" customFormat="1" ht="15" customHeight="1" x14ac:dyDescent="0.2">
      <c r="A61" s="170" t="s">
        <v>188</v>
      </c>
      <c r="B61" s="239" t="s">
        <v>189</v>
      </c>
      <c r="C61" s="172"/>
      <c r="D61" s="199">
        <v>5</v>
      </c>
      <c r="E61" s="174" t="s">
        <v>94</v>
      </c>
      <c r="F61" s="179">
        <v>3780</v>
      </c>
      <c r="G61" s="180">
        <f>F61*D61</f>
        <v>18900</v>
      </c>
      <c r="H61" s="179">
        <v>1000</v>
      </c>
      <c r="I61" s="180">
        <f>H61*D61</f>
        <v>5000</v>
      </c>
      <c r="J61" s="181"/>
      <c r="K61" s="180">
        <f>I61+G61</f>
        <v>23900</v>
      </c>
    </row>
    <row r="62" spans="1:11" s="169" customFormat="1" ht="15" customHeight="1" x14ac:dyDescent="0.2">
      <c r="A62" s="170" t="s">
        <v>190</v>
      </c>
      <c r="B62" s="171" t="s">
        <v>136</v>
      </c>
      <c r="C62" s="172"/>
      <c r="D62" s="199" t="s">
        <v>134</v>
      </c>
      <c r="E62" s="174" t="s">
        <v>94</v>
      </c>
      <c r="F62" s="175"/>
      <c r="G62" s="176" t="s">
        <v>135</v>
      </c>
      <c r="H62" s="175"/>
      <c r="I62" s="176" t="s">
        <v>135</v>
      </c>
      <c r="J62" s="177"/>
      <c r="K62" s="176" t="s">
        <v>135</v>
      </c>
    </row>
    <row r="63" spans="1:11" s="178" customFormat="1" ht="15" customHeight="1" x14ac:dyDescent="0.2">
      <c r="A63" s="170" t="s">
        <v>191</v>
      </c>
      <c r="B63" s="171" t="s">
        <v>137</v>
      </c>
      <c r="C63" s="172"/>
      <c r="D63" s="199">
        <v>29</v>
      </c>
      <c r="E63" s="174" t="s">
        <v>94</v>
      </c>
      <c r="F63" s="179">
        <v>1700</v>
      </c>
      <c r="G63" s="180">
        <f>F63*D63</f>
        <v>49300</v>
      </c>
      <c r="H63" s="179">
        <v>600</v>
      </c>
      <c r="I63" s="180">
        <f>H63*D63</f>
        <v>17400</v>
      </c>
      <c r="J63" s="181"/>
      <c r="K63" s="180">
        <f>I63+G63</f>
        <v>66700</v>
      </c>
    </row>
    <row r="64" spans="1:11" s="169" customFormat="1" ht="15" customHeight="1" x14ac:dyDescent="0.2">
      <c r="A64" s="170" t="s">
        <v>192</v>
      </c>
      <c r="B64" s="171" t="s">
        <v>139</v>
      </c>
      <c r="C64" s="172"/>
      <c r="D64" s="199" t="s">
        <v>134</v>
      </c>
      <c r="E64" s="174" t="s">
        <v>94</v>
      </c>
      <c r="F64" s="175"/>
      <c r="G64" s="176" t="s">
        <v>135</v>
      </c>
      <c r="H64" s="175"/>
      <c r="I64" s="176" t="s">
        <v>135</v>
      </c>
      <c r="J64" s="177"/>
      <c r="K64" s="176" t="s">
        <v>135</v>
      </c>
    </row>
    <row r="65" spans="1:11" s="238" customFormat="1" ht="30.6" customHeight="1" x14ac:dyDescent="0.2">
      <c r="A65" s="212">
        <v>3.2</v>
      </c>
      <c r="B65" s="478" t="s">
        <v>193</v>
      </c>
      <c r="C65" s="479"/>
      <c r="D65" s="479"/>
      <c r="E65" s="479"/>
      <c r="F65" s="479"/>
      <c r="G65" s="479"/>
      <c r="H65" s="479"/>
      <c r="I65" s="479"/>
      <c r="J65" s="479"/>
      <c r="K65" s="480"/>
    </row>
    <row r="66" spans="1:11" s="169" customFormat="1" ht="15" customHeight="1" x14ac:dyDescent="0.2">
      <c r="A66" s="170" t="s">
        <v>194</v>
      </c>
      <c r="B66" s="239" t="s">
        <v>189</v>
      </c>
      <c r="C66" s="172"/>
      <c r="D66" s="199" t="s">
        <v>134</v>
      </c>
      <c r="E66" s="174" t="s">
        <v>94</v>
      </c>
      <c r="F66" s="175"/>
      <c r="G66" s="176" t="s">
        <v>135</v>
      </c>
      <c r="H66" s="175"/>
      <c r="I66" s="176" t="s">
        <v>135</v>
      </c>
      <c r="J66" s="177"/>
      <c r="K66" s="176" t="s">
        <v>135</v>
      </c>
    </row>
    <row r="67" spans="1:11" s="169" customFormat="1" ht="15" customHeight="1" x14ac:dyDescent="0.2">
      <c r="A67" s="170" t="s">
        <v>195</v>
      </c>
      <c r="B67" s="171" t="s">
        <v>136</v>
      </c>
      <c r="C67" s="172"/>
      <c r="D67" s="199">
        <v>10</v>
      </c>
      <c r="E67" s="174" t="s">
        <v>94</v>
      </c>
      <c r="F67" s="179">
        <v>2300</v>
      </c>
      <c r="G67" s="180">
        <f>F67*D67</f>
        <v>23000</v>
      </c>
      <c r="H67" s="179">
        <v>500</v>
      </c>
      <c r="I67" s="180">
        <f>H67*D67</f>
        <v>5000</v>
      </c>
      <c r="J67" s="181"/>
      <c r="K67" s="180">
        <f>I67+G67</f>
        <v>28000</v>
      </c>
    </row>
    <row r="68" spans="1:11" s="178" customFormat="1" ht="15" customHeight="1" x14ac:dyDescent="0.2">
      <c r="A68" s="170" t="s">
        <v>196</v>
      </c>
      <c r="B68" s="171" t="s">
        <v>137</v>
      </c>
      <c r="C68" s="172"/>
      <c r="D68" s="199">
        <v>15</v>
      </c>
      <c r="E68" s="174" t="s">
        <v>94</v>
      </c>
      <c r="F68" s="179">
        <v>1700</v>
      </c>
      <c r="G68" s="180">
        <f>F68*D68</f>
        <v>25500</v>
      </c>
      <c r="H68" s="179">
        <v>500</v>
      </c>
      <c r="I68" s="180">
        <f>H68*D68</f>
        <v>7500</v>
      </c>
      <c r="J68" s="181"/>
      <c r="K68" s="180">
        <f>I68+G68</f>
        <v>33000</v>
      </c>
    </row>
    <row r="69" spans="1:11" s="238" customFormat="1" ht="15" customHeight="1" x14ac:dyDescent="0.2">
      <c r="A69" s="212">
        <v>3.3</v>
      </c>
      <c r="B69" s="478" t="s">
        <v>197</v>
      </c>
      <c r="C69" s="479"/>
      <c r="D69" s="479"/>
      <c r="E69" s="479"/>
      <c r="F69" s="479"/>
      <c r="G69" s="479"/>
      <c r="H69" s="479"/>
      <c r="I69" s="479"/>
      <c r="J69" s="479"/>
      <c r="K69" s="480"/>
    </row>
    <row r="70" spans="1:11" s="169" customFormat="1" ht="15" customHeight="1" x14ac:dyDescent="0.2">
      <c r="A70" s="222" t="s">
        <v>198</v>
      </c>
      <c r="B70" s="213" t="s">
        <v>199</v>
      </c>
      <c r="C70" s="240"/>
      <c r="D70" s="241"/>
      <c r="E70" s="242"/>
      <c r="F70" s="187"/>
      <c r="G70" s="187"/>
      <c r="H70" s="187"/>
      <c r="I70" s="187"/>
      <c r="J70" s="187"/>
      <c r="K70" s="188" t="s">
        <v>200</v>
      </c>
    </row>
    <row r="71" spans="1:11" s="169" customFormat="1" ht="15" customHeight="1" x14ac:dyDescent="0.2">
      <c r="A71" s="243" t="s">
        <v>201</v>
      </c>
      <c r="B71" s="239" t="s">
        <v>189</v>
      </c>
      <c r="C71" s="244"/>
      <c r="D71" s="245">
        <v>5</v>
      </c>
      <c r="E71" s="246" t="s">
        <v>26</v>
      </c>
      <c r="F71" s="179">
        <v>9000</v>
      </c>
      <c r="G71" s="180">
        <f>F71*D71</f>
        <v>45000</v>
      </c>
      <c r="H71" s="179">
        <v>1000</v>
      </c>
      <c r="I71" s="180">
        <f>H71*D71</f>
        <v>5000</v>
      </c>
      <c r="J71" s="181"/>
      <c r="K71" s="180">
        <f>I71+G71</f>
        <v>50000</v>
      </c>
    </row>
    <row r="72" spans="1:11" s="169" customFormat="1" ht="15" customHeight="1" x14ac:dyDescent="0.2">
      <c r="A72" s="222" t="s">
        <v>202</v>
      </c>
      <c r="B72" s="213" t="s">
        <v>203</v>
      </c>
      <c r="C72" s="240"/>
      <c r="D72" s="241"/>
      <c r="E72" s="242"/>
      <c r="F72" s="187"/>
      <c r="G72" s="187"/>
      <c r="H72" s="187"/>
      <c r="I72" s="187"/>
      <c r="J72" s="187"/>
      <c r="K72" s="188"/>
    </row>
    <row r="73" spans="1:11" s="169" customFormat="1" ht="15" customHeight="1" x14ac:dyDescent="0.2">
      <c r="A73" s="243" t="s">
        <v>204</v>
      </c>
      <c r="B73" s="239" t="s">
        <v>187</v>
      </c>
      <c r="C73" s="244"/>
      <c r="D73" s="245">
        <v>2</v>
      </c>
      <c r="E73" s="246" t="s">
        <v>26</v>
      </c>
      <c r="F73" s="179">
        <v>7000</v>
      </c>
      <c r="G73" s="180">
        <f>F73*D73</f>
        <v>14000</v>
      </c>
      <c r="H73" s="179">
        <v>1000</v>
      </c>
      <c r="I73" s="180">
        <f>H73*D73</f>
        <v>2000</v>
      </c>
      <c r="J73" s="181"/>
      <c r="K73" s="180">
        <f>I73+G73</f>
        <v>16000</v>
      </c>
    </row>
    <row r="74" spans="1:11" s="169" customFormat="1" ht="15" customHeight="1" x14ac:dyDescent="0.2">
      <c r="A74" s="222" t="s">
        <v>205</v>
      </c>
      <c r="B74" s="213" t="s">
        <v>206</v>
      </c>
      <c r="C74" s="240"/>
      <c r="D74" s="241"/>
      <c r="E74" s="242"/>
      <c r="F74" s="187"/>
      <c r="G74" s="187"/>
      <c r="H74" s="187"/>
      <c r="I74" s="187"/>
      <c r="J74" s="187"/>
      <c r="K74" s="188"/>
    </row>
    <row r="75" spans="1:11" s="169" customFormat="1" ht="15" customHeight="1" x14ac:dyDescent="0.2">
      <c r="A75" s="243" t="s">
        <v>207</v>
      </c>
      <c r="B75" s="239" t="s">
        <v>187</v>
      </c>
      <c r="C75" s="244"/>
      <c r="D75" s="245">
        <v>1</v>
      </c>
      <c r="E75" s="246" t="s">
        <v>27</v>
      </c>
      <c r="F75" s="179">
        <v>7500</v>
      </c>
      <c r="G75" s="180">
        <f>F75*D75</f>
        <v>7500</v>
      </c>
      <c r="H75" s="179">
        <v>1000</v>
      </c>
      <c r="I75" s="180">
        <f>H75*D75</f>
        <v>1000</v>
      </c>
      <c r="J75" s="181"/>
      <c r="K75" s="180">
        <f>I75+G75</f>
        <v>8500</v>
      </c>
    </row>
    <row r="76" spans="1:11" s="169" customFormat="1" ht="25.5" customHeight="1" x14ac:dyDescent="0.2">
      <c r="A76" s="247">
        <v>3.4</v>
      </c>
      <c r="B76" s="481" t="s">
        <v>208</v>
      </c>
      <c r="C76" s="482"/>
      <c r="D76" s="245">
        <v>1</v>
      </c>
      <c r="E76" s="174" t="s">
        <v>29</v>
      </c>
      <c r="F76" s="179">
        <v>32000</v>
      </c>
      <c r="G76" s="180">
        <f>F76*D76</f>
        <v>32000</v>
      </c>
      <c r="H76" s="179">
        <v>8000</v>
      </c>
      <c r="I76" s="180">
        <f>H76*D76</f>
        <v>8000</v>
      </c>
      <c r="J76" s="181"/>
      <c r="K76" s="180">
        <f>I76+G76</f>
        <v>40000</v>
      </c>
    </row>
    <row r="77" spans="1:11" s="169" customFormat="1" ht="25.5" customHeight="1" thickBot="1" x14ac:dyDescent="0.25">
      <c r="A77" s="247">
        <v>3.5</v>
      </c>
      <c r="B77" s="481" t="s">
        <v>209</v>
      </c>
      <c r="C77" s="482"/>
      <c r="D77" s="245">
        <v>1</v>
      </c>
      <c r="E77" s="174" t="s">
        <v>29</v>
      </c>
      <c r="F77" s="179"/>
      <c r="G77" s="180">
        <f>F77*D77</f>
        <v>0</v>
      </c>
      <c r="H77" s="179">
        <v>15000</v>
      </c>
      <c r="I77" s="180">
        <f>H77*D77</f>
        <v>15000</v>
      </c>
      <c r="J77" s="181"/>
      <c r="K77" s="180">
        <f>I77+G77</f>
        <v>15000</v>
      </c>
    </row>
    <row r="78" spans="1:11" s="169" customFormat="1" ht="15" customHeight="1" thickBot="1" x14ac:dyDescent="0.25">
      <c r="A78" s="468" t="s">
        <v>33</v>
      </c>
      <c r="B78" s="469"/>
      <c r="C78" s="469"/>
      <c r="D78" s="469"/>
      <c r="E78" s="470"/>
      <c r="F78" s="203"/>
      <c r="G78" s="204"/>
      <c r="H78" s="203"/>
      <c r="I78" s="204"/>
      <c r="J78" s="205"/>
      <c r="K78" s="204"/>
    </row>
    <row r="79" spans="1:11" s="169" customFormat="1" ht="14.45" customHeight="1" x14ac:dyDescent="0.2">
      <c r="A79" s="248">
        <v>4</v>
      </c>
      <c r="B79" s="249" t="s">
        <v>210</v>
      </c>
      <c r="C79" s="250"/>
      <c r="D79" s="251"/>
      <c r="E79" s="252"/>
      <c r="F79" s="46"/>
      <c r="G79" s="46"/>
      <c r="H79" s="46"/>
      <c r="I79" s="46"/>
      <c r="J79" s="46"/>
      <c r="K79" s="253"/>
    </row>
    <row r="80" spans="1:11" s="169" customFormat="1" ht="25.5" customHeight="1" x14ac:dyDescent="0.2">
      <c r="A80" s="254">
        <v>4.0999999999999996</v>
      </c>
      <c r="B80" s="476" t="s">
        <v>211</v>
      </c>
      <c r="C80" s="477"/>
      <c r="D80" s="255">
        <v>3</v>
      </c>
      <c r="E80" s="255" t="s">
        <v>26</v>
      </c>
      <c r="F80" s="179">
        <v>162000</v>
      </c>
      <c r="G80" s="180">
        <f t="shared" ref="G80:G88" si="3">F80*D80</f>
        <v>486000</v>
      </c>
      <c r="H80" s="179">
        <v>10000</v>
      </c>
      <c r="I80" s="180">
        <f t="shared" ref="I80:I88" si="4">H80*D80</f>
        <v>30000</v>
      </c>
      <c r="J80" s="181"/>
      <c r="K80" s="180">
        <f t="shared" ref="K80:K88" si="5">I80+G80</f>
        <v>516000</v>
      </c>
    </row>
    <row r="81" spans="1:11" s="169" customFormat="1" ht="25.5" customHeight="1" x14ac:dyDescent="0.2">
      <c r="A81" s="254">
        <v>4.2</v>
      </c>
      <c r="B81" s="476" t="s">
        <v>212</v>
      </c>
      <c r="C81" s="477"/>
      <c r="D81" s="255">
        <v>3</v>
      </c>
      <c r="E81" s="255" t="s">
        <v>26</v>
      </c>
      <c r="F81" s="179">
        <v>100000</v>
      </c>
      <c r="G81" s="180">
        <f t="shared" si="3"/>
        <v>300000</v>
      </c>
      <c r="H81" s="179">
        <v>8000</v>
      </c>
      <c r="I81" s="180">
        <f t="shared" si="4"/>
        <v>24000</v>
      </c>
      <c r="J81" s="181"/>
      <c r="K81" s="180">
        <f t="shared" si="5"/>
        <v>324000</v>
      </c>
    </row>
    <row r="82" spans="1:11" s="169" customFormat="1" ht="25.5" customHeight="1" x14ac:dyDescent="0.2">
      <c r="A82" s="254">
        <v>4.3</v>
      </c>
      <c r="B82" s="476" t="s">
        <v>213</v>
      </c>
      <c r="C82" s="477"/>
      <c r="D82" s="255">
        <v>3</v>
      </c>
      <c r="E82" s="255" t="s">
        <v>26</v>
      </c>
      <c r="F82" s="179">
        <v>55000</v>
      </c>
      <c r="G82" s="180">
        <f t="shared" si="3"/>
        <v>165000</v>
      </c>
      <c r="H82" s="179">
        <v>8000</v>
      </c>
      <c r="I82" s="180">
        <f t="shared" si="4"/>
        <v>24000</v>
      </c>
      <c r="J82" s="181"/>
      <c r="K82" s="180">
        <f t="shared" si="5"/>
        <v>189000</v>
      </c>
    </row>
    <row r="83" spans="1:11" s="169" customFormat="1" ht="25.5" customHeight="1" x14ac:dyDescent="0.2">
      <c r="A83" s="254">
        <v>4.4000000000000004</v>
      </c>
      <c r="B83" s="476" t="s">
        <v>214</v>
      </c>
      <c r="C83" s="477"/>
      <c r="D83" s="255">
        <v>1</v>
      </c>
      <c r="E83" s="255" t="s">
        <v>27</v>
      </c>
      <c r="F83" s="179">
        <v>72000</v>
      </c>
      <c r="G83" s="180">
        <f t="shared" si="3"/>
        <v>72000</v>
      </c>
      <c r="H83" s="179">
        <v>6000</v>
      </c>
      <c r="I83" s="180">
        <f t="shared" si="4"/>
        <v>6000</v>
      </c>
      <c r="J83" s="181"/>
      <c r="K83" s="180">
        <f t="shared" si="5"/>
        <v>78000</v>
      </c>
    </row>
    <row r="84" spans="1:11" s="169" customFormat="1" ht="25.5" customHeight="1" x14ac:dyDescent="0.2">
      <c r="A84" s="254">
        <v>4.5</v>
      </c>
      <c r="B84" s="476" t="s">
        <v>215</v>
      </c>
      <c r="C84" s="477"/>
      <c r="D84" s="255">
        <v>3</v>
      </c>
      <c r="E84" s="255" t="s">
        <v>26</v>
      </c>
      <c r="F84" s="179">
        <v>14500</v>
      </c>
      <c r="G84" s="180">
        <f t="shared" si="3"/>
        <v>43500</v>
      </c>
      <c r="H84" s="179">
        <v>1000</v>
      </c>
      <c r="I84" s="180">
        <f t="shared" si="4"/>
        <v>3000</v>
      </c>
      <c r="J84" s="181"/>
      <c r="K84" s="180">
        <f t="shared" si="5"/>
        <v>46500</v>
      </c>
    </row>
    <row r="85" spans="1:11" s="169" customFormat="1" ht="15" customHeight="1" x14ac:dyDescent="0.2">
      <c r="A85" s="254">
        <v>4.5999999999999996</v>
      </c>
      <c r="B85" s="256" t="s">
        <v>216</v>
      </c>
      <c r="C85" s="257"/>
      <c r="D85" s="255">
        <v>3</v>
      </c>
      <c r="E85" s="255" t="s">
        <v>26</v>
      </c>
      <c r="F85" s="179">
        <v>8000</v>
      </c>
      <c r="G85" s="180">
        <f t="shared" si="3"/>
        <v>24000</v>
      </c>
      <c r="H85" s="179">
        <v>500</v>
      </c>
      <c r="I85" s="180">
        <f t="shared" si="4"/>
        <v>1500</v>
      </c>
      <c r="J85" s="181"/>
      <c r="K85" s="180">
        <f t="shared" si="5"/>
        <v>25500</v>
      </c>
    </row>
    <row r="86" spans="1:11" s="169" customFormat="1" ht="15" customHeight="1" x14ac:dyDescent="0.2">
      <c r="A86" s="254">
        <v>4.7</v>
      </c>
      <c r="B86" s="256" t="s">
        <v>217</v>
      </c>
      <c r="C86" s="257"/>
      <c r="D86" s="255">
        <v>5</v>
      </c>
      <c r="E86" s="255" t="s">
        <v>26</v>
      </c>
      <c r="F86" s="179">
        <v>11000</v>
      </c>
      <c r="G86" s="180">
        <f t="shared" si="3"/>
        <v>55000</v>
      </c>
      <c r="H86" s="179">
        <v>1000</v>
      </c>
      <c r="I86" s="180">
        <f t="shared" si="4"/>
        <v>5000</v>
      </c>
      <c r="J86" s="181"/>
      <c r="K86" s="180">
        <f t="shared" si="5"/>
        <v>60000</v>
      </c>
    </row>
    <row r="87" spans="1:11" s="169" customFormat="1" ht="25.5" customHeight="1" x14ac:dyDescent="0.2">
      <c r="A87" s="254">
        <v>4.8</v>
      </c>
      <c r="B87" s="481" t="s">
        <v>218</v>
      </c>
      <c r="C87" s="482"/>
      <c r="D87" s="258">
        <v>1</v>
      </c>
      <c r="E87" s="259" t="s">
        <v>27</v>
      </c>
      <c r="F87" s="179">
        <v>10256</v>
      </c>
      <c r="G87" s="180">
        <f t="shared" si="3"/>
        <v>10256</v>
      </c>
      <c r="H87" s="179">
        <v>1000</v>
      </c>
      <c r="I87" s="180">
        <f t="shared" si="4"/>
        <v>1000</v>
      </c>
      <c r="J87" s="181"/>
      <c r="K87" s="180">
        <f t="shared" si="5"/>
        <v>11256</v>
      </c>
    </row>
    <row r="88" spans="1:11" s="218" customFormat="1" ht="25.5" customHeight="1" thickBot="1" x14ac:dyDescent="0.25">
      <c r="A88" s="254">
        <v>4.9000000000000004</v>
      </c>
      <c r="B88" s="476" t="s">
        <v>219</v>
      </c>
      <c r="C88" s="477"/>
      <c r="D88" s="255">
        <v>3</v>
      </c>
      <c r="E88" s="255" t="s">
        <v>26</v>
      </c>
      <c r="F88" s="179">
        <v>79000</v>
      </c>
      <c r="G88" s="180">
        <f t="shared" si="3"/>
        <v>237000</v>
      </c>
      <c r="H88" s="179">
        <v>3000</v>
      </c>
      <c r="I88" s="180">
        <f t="shared" si="4"/>
        <v>9000</v>
      </c>
      <c r="J88" s="181"/>
      <c r="K88" s="180">
        <f t="shared" si="5"/>
        <v>246000</v>
      </c>
    </row>
    <row r="89" spans="1:11" s="169" customFormat="1" ht="15" customHeight="1" thickBot="1" x14ac:dyDescent="0.25">
      <c r="A89" s="468" t="s">
        <v>33</v>
      </c>
      <c r="B89" s="469"/>
      <c r="C89" s="469"/>
      <c r="D89" s="469"/>
      <c r="E89" s="470"/>
      <c r="F89" s="203"/>
      <c r="G89" s="204"/>
      <c r="H89" s="203"/>
      <c r="I89" s="204"/>
      <c r="J89" s="205"/>
      <c r="K89" s="204"/>
    </row>
    <row r="90" spans="1:11" s="161" customFormat="1" ht="15" customHeight="1" x14ac:dyDescent="0.2">
      <c r="A90" s="260">
        <v>5</v>
      </c>
      <c r="B90" s="261" t="s">
        <v>4</v>
      </c>
      <c r="C90" s="262"/>
      <c r="D90" s="262"/>
      <c r="E90" s="263"/>
      <c r="F90" s="264"/>
      <c r="G90" s="166"/>
      <c r="H90" s="264"/>
      <c r="I90" s="166"/>
      <c r="J90" s="264"/>
      <c r="K90" s="167"/>
    </row>
    <row r="91" spans="1:11" s="169" customFormat="1" ht="15" customHeight="1" x14ac:dyDescent="0.2">
      <c r="A91" s="265">
        <v>5.0999999999999996</v>
      </c>
      <c r="B91" s="266" t="s">
        <v>220</v>
      </c>
      <c r="C91" s="267"/>
      <c r="D91" s="245">
        <v>1</v>
      </c>
      <c r="E91" s="259" t="s">
        <v>29</v>
      </c>
      <c r="F91" s="179">
        <v>30000</v>
      </c>
      <c r="G91" s="180">
        <f>F91*D91</f>
        <v>30000</v>
      </c>
      <c r="H91" s="179">
        <v>50000</v>
      </c>
      <c r="I91" s="180">
        <f>H91*D91</f>
        <v>50000</v>
      </c>
      <c r="J91" s="181"/>
      <c r="K91" s="180">
        <f>I91+G91</f>
        <v>80000</v>
      </c>
    </row>
    <row r="92" spans="1:11" s="169" customFormat="1" ht="15" customHeight="1" x14ac:dyDescent="0.2">
      <c r="A92" s="265">
        <v>5.2</v>
      </c>
      <c r="B92" s="266" t="s">
        <v>30</v>
      </c>
      <c r="C92" s="267"/>
      <c r="D92" s="245">
        <v>1</v>
      </c>
      <c r="E92" s="259" t="s">
        <v>29</v>
      </c>
      <c r="F92" s="179">
        <v>0</v>
      </c>
      <c r="G92" s="180">
        <f>F92*D92</f>
        <v>0</v>
      </c>
      <c r="H92" s="179">
        <v>15000</v>
      </c>
      <c r="I92" s="180">
        <f>H92*D92</f>
        <v>15000</v>
      </c>
      <c r="J92" s="181"/>
      <c r="K92" s="180">
        <f>I92+G92</f>
        <v>15000</v>
      </c>
    </row>
    <row r="93" spans="1:11" s="169" customFormat="1" ht="15" customHeight="1" x14ac:dyDescent="0.2">
      <c r="A93" s="265">
        <v>5.3</v>
      </c>
      <c r="B93" s="266" t="s">
        <v>31</v>
      </c>
      <c r="C93" s="267"/>
      <c r="D93" s="245">
        <v>1</v>
      </c>
      <c r="E93" s="259" t="s">
        <v>29</v>
      </c>
      <c r="F93" s="179">
        <v>0</v>
      </c>
      <c r="G93" s="180">
        <f>F93*D93</f>
        <v>0</v>
      </c>
      <c r="H93" s="179">
        <v>10000</v>
      </c>
      <c r="I93" s="180">
        <f>H93*D93</f>
        <v>10000</v>
      </c>
      <c r="J93" s="181"/>
      <c r="K93" s="180">
        <f>I93+G93</f>
        <v>10000</v>
      </c>
    </row>
    <row r="94" spans="1:11" s="169" customFormat="1" ht="25.35" customHeight="1" x14ac:dyDescent="0.2">
      <c r="A94" s="265">
        <v>5.4</v>
      </c>
      <c r="B94" s="471" t="s">
        <v>221</v>
      </c>
      <c r="C94" s="472"/>
      <c r="D94" s="245">
        <v>1</v>
      </c>
      <c r="E94" s="259" t="s">
        <v>29</v>
      </c>
      <c r="F94" s="179">
        <v>20000</v>
      </c>
      <c r="G94" s="180">
        <f>F94*D94</f>
        <v>20000</v>
      </c>
      <c r="H94" s="179">
        <v>3000</v>
      </c>
      <c r="I94" s="180">
        <f>H94*D94</f>
        <v>3000</v>
      </c>
      <c r="J94" s="181"/>
      <c r="K94" s="180">
        <f>I94+G94</f>
        <v>23000</v>
      </c>
    </row>
    <row r="95" spans="1:11" s="169" customFormat="1" ht="25.35" customHeight="1" thickBot="1" x14ac:dyDescent="0.25">
      <c r="A95" s="265">
        <v>5.5</v>
      </c>
      <c r="B95" s="471" t="s">
        <v>222</v>
      </c>
      <c r="C95" s="472"/>
      <c r="D95" s="245">
        <v>1</v>
      </c>
      <c r="E95" s="259" t="s">
        <v>29</v>
      </c>
      <c r="F95" s="179">
        <v>0</v>
      </c>
      <c r="G95" s="180">
        <f>F95*D95</f>
        <v>0</v>
      </c>
      <c r="H95" s="179">
        <v>12000</v>
      </c>
      <c r="I95" s="180">
        <f>H95*D95</f>
        <v>12000</v>
      </c>
      <c r="J95" s="181"/>
      <c r="K95" s="180">
        <f>I95+G95</f>
        <v>12000</v>
      </c>
    </row>
    <row r="96" spans="1:11" s="169" customFormat="1" ht="15" customHeight="1" thickBot="1" x14ac:dyDescent="0.25">
      <c r="A96" s="473" t="s">
        <v>33</v>
      </c>
      <c r="B96" s="474"/>
      <c r="C96" s="474"/>
      <c r="D96" s="474"/>
      <c r="E96" s="475"/>
      <c r="F96" s="268"/>
      <c r="G96" s="204"/>
      <c r="H96" s="268"/>
      <c r="I96" s="204"/>
      <c r="J96" s="269"/>
      <c r="K96" s="204"/>
    </row>
    <row r="97" spans="1:11" s="169" customFormat="1" ht="15" customHeight="1" thickBot="1" x14ac:dyDescent="0.25">
      <c r="A97" s="473" t="s">
        <v>124</v>
      </c>
      <c r="B97" s="474"/>
      <c r="C97" s="474"/>
      <c r="D97" s="474"/>
      <c r="E97" s="475"/>
      <c r="F97" s="268"/>
      <c r="G97" s="204">
        <f>SUM(G12:G96)</f>
        <v>2909406</v>
      </c>
      <c r="H97" s="268"/>
      <c r="I97" s="204">
        <f>SUM(I12:I96)</f>
        <v>428800</v>
      </c>
      <c r="J97" s="269"/>
      <c r="K97" s="204">
        <f>SUM(K12:K96)</f>
        <v>3338206</v>
      </c>
    </row>
  </sheetData>
  <mergeCells count="39">
    <mergeCell ref="A1:C1"/>
    <mergeCell ref="A4:K4"/>
    <mergeCell ref="B6:C6"/>
    <mergeCell ref="A7:A10"/>
    <mergeCell ref="B7:C10"/>
    <mergeCell ref="D7:D10"/>
    <mergeCell ref="E7:E10"/>
    <mergeCell ref="F7:G7"/>
    <mergeCell ref="H7:I7"/>
    <mergeCell ref="J7:K7"/>
    <mergeCell ref="B59:K59"/>
    <mergeCell ref="B12:K12"/>
    <mergeCell ref="B29:C29"/>
    <mergeCell ref="B30:C30"/>
    <mergeCell ref="B31:C31"/>
    <mergeCell ref="B32:C32"/>
    <mergeCell ref="B33:C33"/>
    <mergeCell ref="A34:E34"/>
    <mergeCell ref="B53:C53"/>
    <mergeCell ref="B54:C54"/>
    <mergeCell ref="B56:C56"/>
    <mergeCell ref="A57:E57"/>
    <mergeCell ref="B88:C88"/>
    <mergeCell ref="B65:K65"/>
    <mergeCell ref="B69:K69"/>
    <mergeCell ref="B76:C76"/>
    <mergeCell ref="B77:C77"/>
    <mergeCell ref="A78:E78"/>
    <mergeCell ref="B80:C80"/>
    <mergeCell ref="B81:C81"/>
    <mergeCell ref="B82:C82"/>
    <mergeCell ref="B83:C83"/>
    <mergeCell ref="B84:C84"/>
    <mergeCell ref="B87:C87"/>
    <mergeCell ref="A89:E89"/>
    <mergeCell ref="B94:C94"/>
    <mergeCell ref="B95:C95"/>
    <mergeCell ref="A96:E96"/>
    <mergeCell ref="A97:E97"/>
  </mergeCells>
  <printOptions horizontalCentered="1" gridLinesSet="0"/>
  <pageMargins left="0.27559055118110198" right="0.23622047244094499" top="0.74803149606299202" bottom="0.43307086614173201" header="0.31496062992126" footer="0.15748031496063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9" max="10" man="1"/>
    <brk id="89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83-C345-477F-855D-002DC27A8863}">
  <dimension ref="A1:BF188"/>
  <sheetViews>
    <sheetView showGridLines="0" topLeftCell="A37" zoomScaleNormal="100" zoomScaleSheetLayoutView="100" workbookViewId="0">
      <selection activeCell="J90" sqref="J90"/>
    </sheetView>
  </sheetViews>
  <sheetFormatPr defaultColWidth="9.140625" defaultRowHeight="12.75" x14ac:dyDescent="0.2"/>
  <cols>
    <col min="1" max="1" width="8.7109375" style="392" customWidth="1"/>
    <col min="2" max="2" width="63.42578125" style="391" customWidth="1"/>
    <col min="3" max="3" width="11" style="393" customWidth="1"/>
    <col min="4" max="4" width="5.28515625" style="393" customWidth="1"/>
    <col min="5" max="7" width="11.28515625" style="394" customWidth="1"/>
    <col min="8" max="8" width="11.28515625" style="395" customWidth="1"/>
    <col min="9" max="9" width="11.28515625" style="394" customWidth="1"/>
    <col min="10" max="10" width="11.28515625" style="391" customWidth="1"/>
    <col min="11" max="16384" width="9.140625" style="391"/>
  </cols>
  <sheetData>
    <row r="1" spans="1:58" s="1" customFormat="1" ht="15" x14ac:dyDescent="0.2">
      <c r="A1" s="1" t="s">
        <v>96</v>
      </c>
      <c r="E1" s="3"/>
      <c r="F1" s="3"/>
      <c r="G1" s="3"/>
      <c r="H1" s="3"/>
      <c r="I1" s="3"/>
      <c r="J1" s="3" t="s">
        <v>5</v>
      </c>
    </row>
    <row r="2" spans="1:58" s="1" customFormat="1" ht="15" x14ac:dyDescent="0.2">
      <c r="A2" s="275" t="s">
        <v>223</v>
      </c>
      <c r="E2" s="3"/>
      <c r="F2" s="3"/>
      <c r="G2" s="3"/>
      <c r="H2" s="3"/>
      <c r="I2" s="3"/>
      <c r="J2" s="3" t="s">
        <v>97</v>
      </c>
    </row>
    <row r="3" spans="1:58" s="1" customFormat="1" ht="15" x14ac:dyDescent="0.2">
      <c r="A3" s="275"/>
      <c r="E3" s="3"/>
      <c r="F3" s="3"/>
      <c r="G3" s="3"/>
      <c r="H3" s="3"/>
      <c r="I3" s="3"/>
      <c r="J3" s="3"/>
    </row>
    <row r="4" spans="1:58" s="1" customFormat="1" ht="15" x14ac:dyDescent="0.2">
      <c r="A4" s="514" t="s">
        <v>5</v>
      </c>
      <c r="B4" s="514"/>
      <c r="C4" s="514"/>
      <c r="D4" s="514"/>
      <c r="E4" s="514"/>
      <c r="F4" s="514"/>
      <c r="G4" s="514"/>
      <c r="H4" s="514"/>
      <c r="I4" s="514"/>
      <c r="J4" s="514"/>
    </row>
    <row r="5" spans="1:58" s="276" customFormat="1" ht="6.95" customHeight="1" thickBot="1" x14ac:dyDescent="0.25">
      <c r="A5" s="1"/>
      <c r="B5" s="1"/>
      <c r="C5" s="1"/>
      <c r="D5" s="1"/>
      <c r="E5" s="3"/>
      <c r="F5" s="3"/>
      <c r="G5" s="3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s="286" customFormat="1" ht="12.75" customHeight="1" x14ac:dyDescent="0.2">
      <c r="A6" s="277" t="s">
        <v>6</v>
      </c>
      <c r="B6" s="278" t="s">
        <v>7</v>
      </c>
      <c r="C6" s="279" t="s">
        <v>8</v>
      </c>
      <c r="D6" s="280" t="s">
        <v>9</v>
      </c>
      <c r="E6" s="281" t="s">
        <v>10</v>
      </c>
      <c r="F6" s="282" t="s">
        <v>11</v>
      </c>
      <c r="G6" s="283" t="s">
        <v>12</v>
      </c>
      <c r="H6" s="284" t="s">
        <v>13</v>
      </c>
      <c r="I6" s="285" t="s">
        <v>14</v>
      </c>
      <c r="J6" s="284" t="s">
        <v>15</v>
      </c>
    </row>
    <row r="7" spans="1:58" s="286" customFormat="1" ht="12.75" customHeight="1" x14ac:dyDescent="0.2">
      <c r="A7" s="515" t="s">
        <v>2</v>
      </c>
      <c r="B7" s="517" t="s">
        <v>3</v>
      </c>
      <c r="C7" s="519" t="s">
        <v>16</v>
      </c>
      <c r="D7" s="522" t="s">
        <v>1</v>
      </c>
      <c r="E7" s="525" t="s">
        <v>17</v>
      </c>
      <c r="F7" s="526"/>
      <c r="G7" s="525" t="s">
        <v>129</v>
      </c>
      <c r="H7" s="527"/>
      <c r="I7" s="525" t="s">
        <v>19</v>
      </c>
      <c r="J7" s="527"/>
    </row>
    <row r="8" spans="1:58" s="286" customFormat="1" ht="12.75" customHeight="1" x14ac:dyDescent="0.2">
      <c r="A8" s="515"/>
      <c r="B8" s="517"/>
      <c r="C8" s="520"/>
      <c r="D8" s="523"/>
      <c r="E8" s="287" t="s">
        <v>0</v>
      </c>
      <c r="F8" s="288" t="s">
        <v>20</v>
      </c>
      <c r="G8" s="287" t="s">
        <v>0</v>
      </c>
      <c r="H8" s="289" t="s">
        <v>20</v>
      </c>
      <c r="I8" s="287" t="s">
        <v>0</v>
      </c>
      <c r="J8" s="289" t="s">
        <v>20</v>
      </c>
    </row>
    <row r="9" spans="1:58" s="286" customFormat="1" ht="12.75" customHeight="1" x14ac:dyDescent="0.2">
      <c r="A9" s="516"/>
      <c r="B9" s="518"/>
      <c r="C9" s="521"/>
      <c r="D9" s="524"/>
      <c r="E9" s="290" t="s">
        <v>21</v>
      </c>
      <c r="F9" s="291" t="s">
        <v>21</v>
      </c>
      <c r="G9" s="290" t="s">
        <v>21</v>
      </c>
      <c r="H9" s="292" t="s">
        <v>21</v>
      </c>
      <c r="I9" s="290" t="s">
        <v>21</v>
      </c>
      <c r="J9" s="292" t="s">
        <v>21</v>
      </c>
    </row>
    <row r="10" spans="1:58" s="286" customFormat="1" ht="12.75" customHeight="1" x14ac:dyDescent="0.2">
      <c r="A10" s="293"/>
      <c r="B10" s="294"/>
      <c r="C10" s="295"/>
      <c r="D10" s="296"/>
      <c r="E10" s="297"/>
      <c r="F10" s="298" t="s">
        <v>22</v>
      </c>
      <c r="G10" s="299"/>
      <c r="H10" s="300" t="s">
        <v>23</v>
      </c>
      <c r="I10" s="301" t="s">
        <v>24</v>
      </c>
      <c r="J10" s="300" t="s">
        <v>25</v>
      </c>
    </row>
    <row r="11" spans="1:58" s="9" customFormat="1" ht="14.25" customHeight="1" x14ac:dyDescent="0.2">
      <c r="A11" s="6">
        <v>1</v>
      </c>
      <c r="B11" s="302" t="s">
        <v>224</v>
      </c>
      <c r="C11" s="303"/>
      <c r="D11" s="303"/>
      <c r="E11" s="303"/>
      <c r="F11" s="304"/>
      <c r="G11" s="303"/>
      <c r="H11" s="304"/>
      <c r="I11" s="303"/>
      <c r="J11" s="305"/>
    </row>
    <row r="12" spans="1:58" s="9" customFormat="1" ht="14.1" customHeight="1" x14ac:dyDescent="0.2">
      <c r="A12" s="306">
        <v>1.1000000000000001</v>
      </c>
      <c r="B12" s="107" t="s">
        <v>225</v>
      </c>
      <c r="C12" s="307">
        <v>5</v>
      </c>
      <c r="D12" s="308" t="s">
        <v>26</v>
      </c>
      <c r="E12" s="309">
        <v>9000</v>
      </c>
      <c r="F12" s="310">
        <f>E12*C12</f>
        <v>45000</v>
      </c>
      <c r="G12" s="311">
        <v>1000</v>
      </c>
      <c r="H12" s="310">
        <f>G12*C12</f>
        <v>5000</v>
      </c>
      <c r="I12" s="311"/>
      <c r="J12" s="312">
        <f>H12+F12</f>
        <v>50000</v>
      </c>
    </row>
    <row r="13" spans="1:58" s="9" customFormat="1" ht="25.5" customHeight="1" x14ac:dyDescent="0.2">
      <c r="A13" s="306">
        <v>1.2</v>
      </c>
      <c r="B13" s="313" t="s">
        <v>226</v>
      </c>
      <c r="C13" s="307">
        <v>1</v>
      </c>
      <c r="D13" s="308" t="s">
        <v>29</v>
      </c>
      <c r="E13" s="309">
        <v>0</v>
      </c>
      <c r="F13" s="310">
        <f>E13*C13</f>
        <v>0</v>
      </c>
      <c r="G13" s="311">
        <v>35000</v>
      </c>
      <c r="H13" s="310">
        <f>G13*C13</f>
        <v>35000</v>
      </c>
      <c r="I13" s="311"/>
      <c r="J13" s="312">
        <f>H13+F13</f>
        <v>35000</v>
      </c>
    </row>
    <row r="14" spans="1:58" s="9" customFormat="1" ht="14.25" customHeight="1" thickBot="1" x14ac:dyDescent="0.25">
      <c r="A14" s="306">
        <v>1.3</v>
      </c>
      <c r="B14" s="107" t="s">
        <v>227</v>
      </c>
      <c r="C14" s="307" t="s">
        <v>134</v>
      </c>
      <c r="D14" s="314" t="s">
        <v>27</v>
      </c>
      <c r="E14" s="315"/>
      <c r="F14" s="316" t="s">
        <v>135</v>
      </c>
      <c r="G14" s="317"/>
      <c r="H14" s="316" t="s">
        <v>135</v>
      </c>
      <c r="I14" s="317"/>
      <c r="J14" s="316" t="s">
        <v>135</v>
      </c>
    </row>
    <row r="15" spans="1:58" s="9" customFormat="1" ht="14.25" customHeight="1" thickBot="1" x14ac:dyDescent="0.25">
      <c r="A15" s="510" t="s">
        <v>28</v>
      </c>
      <c r="B15" s="511"/>
      <c r="C15" s="511"/>
      <c r="D15" s="511"/>
      <c r="E15" s="318"/>
      <c r="F15" s="319"/>
      <c r="G15" s="318"/>
      <c r="H15" s="319"/>
      <c r="I15" s="318"/>
      <c r="J15" s="320"/>
    </row>
    <row r="16" spans="1:58" s="9" customFormat="1" ht="14.25" customHeight="1" x14ac:dyDescent="0.2">
      <c r="A16" s="6">
        <v>2</v>
      </c>
      <c r="B16" s="321" t="s">
        <v>228</v>
      </c>
      <c r="C16" s="322"/>
      <c r="D16" s="322"/>
      <c r="E16" s="322"/>
      <c r="F16" s="323"/>
      <c r="G16" s="323"/>
      <c r="H16" s="324"/>
      <c r="I16" s="325"/>
      <c r="J16" s="326"/>
    </row>
    <row r="17" spans="1:10" s="9" customFormat="1" ht="14.25" customHeight="1" thickBot="1" x14ac:dyDescent="0.25">
      <c r="A17" s="306">
        <v>2.1</v>
      </c>
      <c r="B17" s="313" t="s">
        <v>229</v>
      </c>
      <c r="C17" s="327">
        <f>C12</f>
        <v>5</v>
      </c>
      <c r="D17" s="328" t="s">
        <v>26</v>
      </c>
      <c r="E17" s="309">
        <v>11000</v>
      </c>
      <c r="F17" s="310">
        <f>E17*C17</f>
        <v>55000</v>
      </c>
      <c r="G17" s="311">
        <v>1000</v>
      </c>
      <c r="H17" s="310">
        <f>G17*C17</f>
        <v>5000</v>
      </c>
      <c r="I17" s="311"/>
      <c r="J17" s="312">
        <f>H17+F17</f>
        <v>60000</v>
      </c>
    </row>
    <row r="18" spans="1:10" s="9" customFormat="1" ht="14.25" customHeight="1" thickBot="1" x14ac:dyDescent="0.25">
      <c r="A18" s="510" t="s">
        <v>28</v>
      </c>
      <c r="B18" s="511"/>
      <c r="C18" s="511"/>
      <c r="D18" s="511"/>
      <c r="E18" s="329"/>
      <c r="F18" s="319"/>
      <c r="G18" s="329"/>
      <c r="H18" s="319"/>
      <c r="I18" s="329"/>
      <c r="J18" s="320"/>
    </row>
    <row r="19" spans="1:10" s="9" customFormat="1" ht="14.25" customHeight="1" x14ac:dyDescent="0.2">
      <c r="A19" s="6">
        <v>3</v>
      </c>
      <c r="B19" s="321" t="s">
        <v>230</v>
      </c>
      <c r="C19" s="330"/>
      <c r="D19" s="330"/>
      <c r="E19" s="330"/>
      <c r="F19" s="330"/>
      <c r="G19" s="330"/>
      <c r="H19" s="330"/>
      <c r="I19" s="331"/>
      <c r="J19" s="332"/>
    </row>
    <row r="20" spans="1:10" s="9" customFormat="1" ht="14.25" customHeight="1" thickBot="1" x14ac:dyDescent="0.25">
      <c r="A20" s="306">
        <v>3.1</v>
      </c>
      <c r="B20" s="333" t="s">
        <v>231</v>
      </c>
      <c r="C20" s="307">
        <v>1</v>
      </c>
      <c r="D20" s="314" t="s">
        <v>27</v>
      </c>
      <c r="E20" s="309">
        <v>17000</v>
      </c>
      <c r="F20" s="310">
        <f>E20*C20</f>
        <v>17000</v>
      </c>
      <c r="G20" s="311">
        <v>500</v>
      </c>
      <c r="H20" s="310">
        <f>G20*C20</f>
        <v>500</v>
      </c>
      <c r="I20" s="311"/>
      <c r="J20" s="312">
        <f>H20+F20</f>
        <v>17500</v>
      </c>
    </row>
    <row r="21" spans="1:10" s="9" customFormat="1" ht="14.25" customHeight="1" thickBot="1" x14ac:dyDescent="0.25">
      <c r="A21" s="510" t="s">
        <v>28</v>
      </c>
      <c r="B21" s="511"/>
      <c r="C21" s="511"/>
      <c r="D21" s="511"/>
      <c r="E21" s="318"/>
      <c r="F21" s="319"/>
      <c r="G21" s="318"/>
      <c r="H21" s="319"/>
      <c r="I21" s="318"/>
      <c r="J21" s="320"/>
    </row>
    <row r="22" spans="1:10" s="9" customFormat="1" ht="14.25" customHeight="1" x14ac:dyDescent="0.2">
      <c r="A22" s="6">
        <v>4</v>
      </c>
      <c r="B22" s="321" t="s">
        <v>232</v>
      </c>
      <c r="C22" s="330"/>
      <c r="D22" s="330"/>
      <c r="E22" s="330"/>
      <c r="F22" s="330"/>
      <c r="G22" s="330"/>
      <c r="H22" s="330"/>
      <c r="I22" s="330"/>
      <c r="J22" s="332"/>
    </row>
    <row r="23" spans="1:10" s="9" customFormat="1" ht="14.25" customHeight="1" x14ac:dyDescent="0.2">
      <c r="A23" s="334">
        <v>4.0999999999999996</v>
      </c>
      <c r="B23" s="335" t="s">
        <v>233</v>
      </c>
      <c r="C23" s="336"/>
      <c r="D23" s="337"/>
      <c r="E23" s="338"/>
      <c r="F23" s="338"/>
      <c r="G23" s="338"/>
      <c r="H23" s="338"/>
      <c r="I23" s="338"/>
      <c r="J23" s="339"/>
    </row>
    <row r="24" spans="1:10" s="9" customFormat="1" ht="14.25" customHeight="1" x14ac:dyDescent="0.2">
      <c r="A24" s="306" t="s">
        <v>234</v>
      </c>
      <c r="B24" s="107" t="s">
        <v>235</v>
      </c>
      <c r="C24" s="340" t="s">
        <v>134</v>
      </c>
      <c r="D24" s="328" t="s">
        <v>94</v>
      </c>
      <c r="E24" s="315"/>
      <c r="F24" s="316" t="s">
        <v>135</v>
      </c>
      <c r="G24" s="317"/>
      <c r="H24" s="316" t="s">
        <v>135</v>
      </c>
      <c r="I24" s="317"/>
      <c r="J24" s="316" t="s">
        <v>135</v>
      </c>
    </row>
    <row r="25" spans="1:10" s="9" customFormat="1" ht="14.25" customHeight="1" x14ac:dyDescent="0.2">
      <c r="A25" s="306" t="s">
        <v>236</v>
      </c>
      <c r="B25" s="107" t="s">
        <v>237</v>
      </c>
      <c r="C25" s="340" t="s">
        <v>134</v>
      </c>
      <c r="D25" s="328" t="s">
        <v>94</v>
      </c>
      <c r="E25" s="315"/>
      <c r="F25" s="316" t="s">
        <v>135</v>
      </c>
      <c r="G25" s="317"/>
      <c r="H25" s="316" t="s">
        <v>135</v>
      </c>
      <c r="I25" s="317"/>
      <c r="J25" s="316" t="s">
        <v>135</v>
      </c>
    </row>
    <row r="26" spans="1:10" s="9" customFormat="1" ht="14.25" customHeight="1" x14ac:dyDescent="0.2">
      <c r="A26" s="306" t="s">
        <v>238</v>
      </c>
      <c r="B26" s="107" t="s">
        <v>239</v>
      </c>
      <c r="C26" s="340" t="s">
        <v>134</v>
      </c>
      <c r="D26" s="328" t="s">
        <v>94</v>
      </c>
      <c r="E26" s="315"/>
      <c r="F26" s="316" t="s">
        <v>135</v>
      </c>
      <c r="G26" s="317"/>
      <c r="H26" s="316" t="s">
        <v>135</v>
      </c>
      <c r="I26" s="317"/>
      <c r="J26" s="316" t="s">
        <v>135</v>
      </c>
    </row>
    <row r="27" spans="1:10" s="9" customFormat="1" ht="14.25" customHeight="1" x14ac:dyDescent="0.2">
      <c r="A27" s="306" t="s">
        <v>240</v>
      </c>
      <c r="B27" s="107" t="s">
        <v>241</v>
      </c>
      <c r="C27" s="341" t="s">
        <v>134</v>
      </c>
      <c r="D27" s="328" t="s">
        <v>94</v>
      </c>
      <c r="E27" s="315"/>
      <c r="F27" s="316" t="s">
        <v>135</v>
      </c>
      <c r="G27" s="317"/>
      <c r="H27" s="316" t="s">
        <v>135</v>
      </c>
      <c r="I27" s="317"/>
      <c r="J27" s="316" t="s">
        <v>135</v>
      </c>
    </row>
    <row r="28" spans="1:10" s="9" customFormat="1" ht="14.25" customHeight="1" x14ac:dyDescent="0.2">
      <c r="A28" s="306" t="s">
        <v>242</v>
      </c>
      <c r="B28" s="107" t="s">
        <v>243</v>
      </c>
      <c r="C28" s="341" t="s">
        <v>134</v>
      </c>
      <c r="D28" s="328" t="s">
        <v>94</v>
      </c>
      <c r="E28" s="315"/>
      <c r="F28" s="316" t="s">
        <v>135</v>
      </c>
      <c r="G28" s="317"/>
      <c r="H28" s="316" t="s">
        <v>135</v>
      </c>
      <c r="I28" s="317"/>
      <c r="J28" s="316" t="s">
        <v>135</v>
      </c>
    </row>
    <row r="29" spans="1:10" s="9" customFormat="1" ht="14.25" customHeight="1" x14ac:dyDescent="0.2">
      <c r="A29" s="306" t="s">
        <v>244</v>
      </c>
      <c r="B29" s="107" t="s">
        <v>245</v>
      </c>
      <c r="C29" s="341" t="s">
        <v>134</v>
      </c>
      <c r="D29" s="328" t="s">
        <v>94</v>
      </c>
      <c r="E29" s="315"/>
      <c r="F29" s="316" t="s">
        <v>135</v>
      </c>
      <c r="G29" s="317"/>
      <c r="H29" s="316" t="s">
        <v>135</v>
      </c>
      <c r="I29" s="317"/>
      <c r="J29" s="316" t="s">
        <v>135</v>
      </c>
    </row>
    <row r="30" spans="1:10" s="9" customFormat="1" ht="14.25" customHeight="1" x14ac:dyDescent="0.2">
      <c r="A30" s="334">
        <v>4.2</v>
      </c>
      <c r="B30" s="335" t="s">
        <v>246</v>
      </c>
      <c r="C30" s="336"/>
      <c r="D30" s="337"/>
      <c r="E30" s="338"/>
      <c r="F30" s="338"/>
      <c r="G30" s="338"/>
      <c r="H30" s="338"/>
      <c r="I30" s="338"/>
      <c r="J30" s="339"/>
    </row>
    <row r="31" spans="1:10" s="9" customFormat="1" ht="14.25" customHeight="1" x14ac:dyDescent="0.2">
      <c r="A31" s="306" t="s">
        <v>247</v>
      </c>
      <c r="B31" s="107" t="s">
        <v>248</v>
      </c>
      <c r="C31" s="341" t="s">
        <v>134</v>
      </c>
      <c r="D31" s="328" t="s">
        <v>94</v>
      </c>
      <c r="E31" s="309">
        <v>6800</v>
      </c>
      <c r="F31" s="316" t="s">
        <v>135</v>
      </c>
      <c r="G31" s="309">
        <v>1200</v>
      </c>
      <c r="H31" s="316" t="s">
        <v>135</v>
      </c>
      <c r="I31" s="317"/>
      <c r="J31" s="316" t="s">
        <v>135</v>
      </c>
    </row>
    <row r="32" spans="1:10" s="9" customFormat="1" ht="14.25" customHeight="1" x14ac:dyDescent="0.2">
      <c r="A32" s="306" t="s">
        <v>249</v>
      </c>
      <c r="B32" s="107" t="s">
        <v>250</v>
      </c>
      <c r="C32" s="340">
        <v>4</v>
      </c>
      <c r="D32" s="328" t="s">
        <v>94</v>
      </c>
      <c r="E32" s="309">
        <v>5750</v>
      </c>
      <c r="F32" s="342">
        <f t="shared" ref="F32:F34" si="0">E32*C32</f>
        <v>23000</v>
      </c>
      <c r="G32" s="309">
        <v>1000</v>
      </c>
      <c r="H32" s="309">
        <f t="shared" ref="H32:H34" si="1">G32*C32</f>
        <v>4000</v>
      </c>
      <c r="I32" s="317"/>
      <c r="J32" s="343">
        <f t="shared" ref="J32:J34" si="2">H32+F32</f>
        <v>27000</v>
      </c>
    </row>
    <row r="33" spans="1:10" s="9" customFormat="1" ht="14.25" customHeight="1" x14ac:dyDescent="0.2">
      <c r="A33" s="306" t="s">
        <v>251</v>
      </c>
      <c r="B33" s="107" t="s">
        <v>252</v>
      </c>
      <c r="C33" s="341">
        <v>7</v>
      </c>
      <c r="D33" s="328" t="s">
        <v>94</v>
      </c>
      <c r="E33" s="309">
        <v>4800</v>
      </c>
      <c r="F33" s="342">
        <f t="shared" si="0"/>
        <v>33600</v>
      </c>
      <c r="G33" s="309">
        <v>900</v>
      </c>
      <c r="H33" s="309">
        <f t="shared" si="1"/>
        <v>6300</v>
      </c>
      <c r="I33" s="317"/>
      <c r="J33" s="343">
        <f t="shared" si="2"/>
        <v>39900</v>
      </c>
    </row>
    <row r="34" spans="1:10" s="9" customFormat="1" ht="14.25" customHeight="1" thickBot="1" x14ac:dyDescent="0.25">
      <c r="A34" s="306" t="s">
        <v>253</v>
      </c>
      <c r="B34" s="107" t="s">
        <v>254</v>
      </c>
      <c r="C34" s="340">
        <v>44</v>
      </c>
      <c r="D34" s="328" t="s">
        <v>94</v>
      </c>
      <c r="E34" s="309">
        <v>3250</v>
      </c>
      <c r="F34" s="342">
        <f t="shared" si="0"/>
        <v>143000</v>
      </c>
      <c r="G34" s="309">
        <v>800</v>
      </c>
      <c r="H34" s="309">
        <f t="shared" si="1"/>
        <v>35200</v>
      </c>
      <c r="I34" s="317"/>
      <c r="J34" s="343">
        <f t="shared" si="2"/>
        <v>178200</v>
      </c>
    </row>
    <row r="35" spans="1:10" s="9" customFormat="1" ht="14.25" customHeight="1" thickBot="1" x14ac:dyDescent="0.25">
      <c r="A35" s="510" t="s">
        <v>28</v>
      </c>
      <c r="B35" s="511"/>
      <c r="C35" s="511"/>
      <c r="D35" s="511"/>
      <c r="E35" s="318"/>
      <c r="F35" s="319"/>
      <c r="G35" s="318"/>
      <c r="H35" s="309"/>
      <c r="I35" s="318"/>
      <c r="J35" s="320"/>
    </row>
    <row r="36" spans="1:10" s="9" customFormat="1" ht="14.25" customHeight="1" x14ac:dyDescent="0.2">
      <c r="A36" s="6">
        <v>5</v>
      </c>
      <c r="B36" s="321" t="s">
        <v>255</v>
      </c>
      <c r="C36" s="322"/>
      <c r="D36" s="322"/>
      <c r="E36" s="323"/>
      <c r="F36" s="323"/>
      <c r="G36" s="323"/>
      <c r="H36" s="323"/>
      <c r="I36" s="323"/>
      <c r="J36" s="332"/>
    </row>
    <row r="37" spans="1:10" s="9" customFormat="1" ht="14.25" customHeight="1" x14ac:dyDescent="0.2">
      <c r="A37" s="334">
        <v>5.0999999999999996</v>
      </c>
      <c r="B37" s="344" t="s">
        <v>256</v>
      </c>
      <c r="C37" s="345"/>
      <c r="D37" s="346"/>
      <c r="E37" s="347"/>
      <c r="F37" s="347"/>
      <c r="G37" s="347"/>
      <c r="H37" s="347"/>
      <c r="I37" s="347"/>
      <c r="J37" s="348"/>
    </row>
    <row r="38" spans="1:10" s="355" customFormat="1" ht="14.25" customHeight="1" x14ac:dyDescent="0.2">
      <c r="A38" s="349" t="s">
        <v>101</v>
      </c>
      <c r="B38" s="107" t="s">
        <v>237</v>
      </c>
      <c r="C38" s="350" t="s">
        <v>134</v>
      </c>
      <c r="D38" s="351" t="s">
        <v>27</v>
      </c>
      <c r="E38" s="352"/>
      <c r="F38" s="353" t="s">
        <v>135</v>
      </c>
      <c r="G38" s="352"/>
      <c r="H38" s="353" t="s">
        <v>135</v>
      </c>
      <c r="I38" s="354"/>
      <c r="J38" s="353" t="s">
        <v>135</v>
      </c>
    </row>
    <row r="39" spans="1:10" s="9" customFormat="1" ht="14.25" customHeight="1" x14ac:dyDescent="0.2">
      <c r="A39" s="349" t="s">
        <v>102</v>
      </c>
      <c r="B39" s="107" t="s">
        <v>239</v>
      </c>
      <c r="C39" s="350" t="s">
        <v>134</v>
      </c>
      <c r="D39" s="351" t="s">
        <v>27</v>
      </c>
      <c r="E39" s="352"/>
      <c r="F39" s="353" t="s">
        <v>135</v>
      </c>
      <c r="G39" s="352"/>
      <c r="H39" s="353" t="s">
        <v>135</v>
      </c>
      <c r="I39" s="354"/>
      <c r="J39" s="353" t="s">
        <v>135</v>
      </c>
    </row>
    <row r="40" spans="1:10" s="9" customFormat="1" ht="14.25" customHeight="1" x14ac:dyDescent="0.2">
      <c r="A40" s="349" t="s">
        <v>103</v>
      </c>
      <c r="B40" s="107" t="s">
        <v>241</v>
      </c>
      <c r="C40" s="350" t="s">
        <v>134</v>
      </c>
      <c r="D40" s="351" t="s">
        <v>27</v>
      </c>
      <c r="E40" s="352"/>
      <c r="F40" s="353" t="s">
        <v>135</v>
      </c>
      <c r="G40" s="352"/>
      <c r="H40" s="353" t="s">
        <v>135</v>
      </c>
      <c r="I40" s="354"/>
      <c r="J40" s="353" t="s">
        <v>135</v>
      </c>
    </row>
    <row r="41" spans="1:10" s="355" customFormat="1" ht="14.25" customHeight="1" x14ac:dyDescent="0.2">
      <c r="A41" s="349" t="s">
        <v>104</v>
      </c>
      <c r="B41" s="107" t="s">
        <v>243</v>
      </c>
      <c r="C41" s="350" t="s">
        <v>134</v>
      </c>
      <c r="D41" s="351" t="s">
        <v>27</v>
      </c>
      <c r="E41" s="352"/>
      <c r="F41" s="353" t="s">
        <v>135</v>
      </c>
      <c r="G41" s="352"/>
      <c r="H41" s="353" t="s">
        <v>135</v>
      </c>
      <c r="I41" s="354"/>
      <c r="J41" s="353" t="s">
        <v>135</v>
      </c>
    </row>
    <row r="42" spans="1:10" s="9" customFormat="1" ht="14.25" customHeight="1" x14ac:dyDescent="0.2">
      <c r="A42" s="349" t="s">
        <v>105</v>
      </c>
      <c r="B42" s="107" t="s">
        <v>245</v>
      </c>
      <c r="C42" s="350" t="s">
        <v>134</v>
      </c>
      <c r="D42" s="351" t="s">
        <v>27</v>
      </c>
      <c r="E42" s="352"/>
      <c r="F42" s="353" t="s">
        <v>135</v>
      </c>
      <c r="G42" s="352"/>
      <c r="H42" s="353" t="s">
        <v>135</v>
      </c>
      <c r="I42" s="354"/>
      <c r="J42" s="353" t="s">
        <v>135</v>
      </c>
    </row>
    <row r="43" spans="1:10" s="9" customFormat="1" ht="14.25" customHeight="1" x14ac:dyDescent="0.2">
      <c r="A43" s="334">
        <v>5.2</v>
      </c>
      <c r="B43" s="344" t="s">
        <v>257</v>
      </c>
      <c r="C43" s="345"/>
      <c r="D43" s="346"/>
      <c r="E43" s="347"/>
      <c r="F43" s="347"/>
      <c r="G43" s="347"/>
      <c r="H43" s="347"/>
      <c r="I43" s="347"/>
      <c r="J43" s="348"/>
    </row>
    <row r="44" spans="1:10" s="355" customFormat="1" ht="14.25" customHeight="1" x14ac:dyDescent="0.2">
      <c r="A44" s="349" t="s">
        <v>108</v>
      </c>
      <c r="B44" s="107" t="s">
        <v>237</v>
      </c>
      <c r="C44" s="350" t="s">
        <v>134</v>
      </c>
      <c r="D44" s="351" t="s">
        <v>27</v>
      </c>
      <c r="E44" s="352"/>
      <c r="F44" s="353" t="s">
        <v>135</v>
      </c>
      <c r="G44" s="352"/>
      <c r="H44" s="353" t="s">
        <v>135</v>
      </c>
      <c r="I44" s="354"/>
      <c r="J44" s="353" t="s">
        <v>135</v>
      </c>
    </row>
    <row r="45" spans="1:10" s="9" customFormat="1" ht="14.25" customHeight="1" x14ac:dyDescent="0.2">
      <c r="A45" s="349" t="s">
        <v>109</v>
      </c>
      <c r="B45" s="107" t="s">
        <v>239</v>
      </c>
      <c r="C45" s="350" t="s">
        <v>134</v>
      </c>
      <c r="D45" s="351" t="s">
        <v>27</v>
      </c>
      <c r="E45" s="352"/>
      <c r="F45" s="353" t="s">
        <v>135</v>
      </c>
      <c r="G45" s="352"/>
      <c r="H45" s="353" t="s">
        <v>135</v>
      </c>
      <c r="I45" s="354"/>
      <c r="J45" s="353" t="s">
        <v>135</v>
      </c>
    </row>
    <row r="46" spans="1:10" s="355" customFormat="1" ht="14.25" customHeight="1" x14ac:dyDescent="0.2">
      <c r="A46" s="349" t="s">
        <v>110</v>
      </c>
      <c r="B46" s="107" t="s">
        <v>241</v>
      </c>
      <c r="C46" s="350" t="s">
        <v>134</v>
      </c>
      <c r="D46" s="351" t="s">
        <v>27</v>
      </c>
      <c r="E46" s="352"/>
      <c r="F46" s="353" t="s">
        <v>135</v>
      </c>
      <c r="G46" s="352"/>
      <c r="H46" s="353" t="s">
        <v>135</v>
      </c>
      <c r="I46" s="354"/>
      <c r="J46" s="353" t="s">
        <v>135</v>
      </c>
    </row>
    <row r="47" spans="1:10" s="9" customFormat="1" ht="14.25" customHeight="1" x14ac:dyDescent="0.2">
      <c r="A47" s="349" t="s">
        <v>258</v>
      </c>
      <c r="B47" s="107" t="s">
        <v>243</v>
      </c>
      <c r="C47" s="350" t="s">
        <v>134</v>
      </c>
      <c r="D47" s="351" t="s">
        <v>27</v>
      </c>
      <c r="E47" s="352"/>
      <c r="F47" s="353" t="s">
        <v>135</v>
      </c>
      <c r="G47" s="352"/>
      <c r="H47" s="353" t="s">
        <v>135</v>
      </c>
      <c r="I47" s="354"/>
      <c r="J47" s="353" t="s">
        <v>135</v>
      </c>
    </row>
    <row r="48" spans="1:10" s="9" customFormat="1" ht="14.25" customHeight="1" x14ac:dyDescent="0.2">
      <c r="A48" s="349" t="s">
        <v>259</v>
      </c>
      <c r="B48" s="107" t="s">
        <v>245</v>
      </c>
      <c r="C48" s="350" t="s">
        <v>134</v>
      </c>
      <c r="D48" s="351" t="s">
        <v>27</v>
      </c>
      <c r="E48" s="352"/>
      <c r="F48" s="353" t="s">
        <v>135</v>
      </c>
      <c r="G48" s="352"/>
      <c r="H48" s="353" t="s">
        <v>135</v>
      </c>
      <c r="I48" s="354"/>
      <c r="J48" s="353" t="s">
        <v>135</v>
      </c>
    </row>
    <row r="49" spans="1:10" s="9" customFormat="1" ht="14.25" customHeight="1" x14ac:dyDescent="0.2">
      <c r="A49" s="334">
        <v>5.3</v>
      </c>
      <c r="B49" s="344" t="s">
        <v>260</v>
      </c>
      <c r="C49" s="345"/>
      <c r="D49" s="346"/>
      <c r="E49" s="347"/>
      <c r="F49" s="347"/>
      <c r="G49" s="347"/>
      <c r="H49" s="347"/>
      <c r="I49" s="347"/>
      <c r="J49" s="348"/>
    </row>
    <row r="50" spans="1:10" s="355" customFormat="1" ht="14.25" customHeight="1" x14ac:dyDescent="0.2">
      <c r="A50" s="349" t="s">
        <v>111</v>
      </c>
      <c r="B50" s="107" t="s">
        <v>237</v>
      </c>
      <c r="C50" s="350" t="s">
        <v>134</v>
      </c>
      <c r="D50" s="351" t="s">
        <v>27</v>
      </c>
      <c r="E50" s="352"/>
      <c r="F50" s="353" t="s">
        <v>135</v>
      </c>
      <c r="G50" s="352"/>
      <c r="H50" s="353" t="s">
        <v>135</v>
      </c>
      <c r="I50" s="354"/>
      <c r="J50" s="353" t="s">
        <v>135</v>
      </c>
    </row>
    <row r="51" spans="1:10" s="355" customFormat="1" ht="14.25" customHeight="1" x14ac:dyDescent="0.2">
      <c r="A51" s="349" t="s">
        <v>112</v>
      </c>
      <c r="B51" s="107" t="s">
        <v>239</v>
      </c>
      <c r="C51" s="350" t="s">
        <v>134</v>
      </c>
      <c r="D51" s="351" t="s">
        <v>27</v>
      </c>
      <c r="E51" s="352"/>
      <c r="F51" s="353" t="s">
        <v>135</v>
      </c>
      <c r="G51" s="352"/>
      <c r="H51" s="353" t="s">
        <v>135</v>
      </c>
      <c r="I51" s="354"/>
      <c r="J51" s="353" t="s">
        <v>135</v>
      </c>
    </row>
    <row r="52" spans="1:10" s="9" customFormat="1" ht="14.25" customHeight="1" x14ac:dyDescent="0.2">
      <c r="A52" s="349" t="s">
        <v>113</v>
      </c>
      <c r="B52" s="107" t="s">
        <v>241</v>
      </c>
      <c r="C52" s="350" t="s">
        <v>134</v>
      </c>
      <c r="D52" s="351" t="s">
        <v>27</v>
      </c>
      <c r="E52" s="352"/>
      <c r="F52" s="353" t="s">
        <v>135</v>
      </c>
      <c r="G52" s="352"/>
      <c r="H52" s="353" t="s">
        <v>135</v>
      </c>
      <c r="I52" s="354"/>
      <c r="J52" s="353" t="s">
        <v>135</v>
      </c>
    </row>
    <row r="53" spans="1:10" s="9" customFormat="1" ht="14.25" customHeight="1" x14ac:dyDescent="0.2">
      <c r="A53" s="349" t="s">
        <v>114</v>
      </c>
      <c r="B53" s="107" t="s">
        <v>243</v>
      </c>
      <c r="C53" s="350" t="s">
        <v>134</v>
      </c>
      <c r="D53" s="351" t="s">
        <v>27</v>
      </c>
      <c r="E53" s="352"/>
      <c r="F53" s="353" t="s">
        <v>135</v>
      </c>
      <c r="G53" s="352"/>
      <c r="H53" s="353" t="s">
        <v>135</v>
      </c>
      <c r="I53" s="354"/>
      <c r="J53" s="353" t="s">
        <v>135</v>
      </c>
    </row>
    <row r="54" spans="1:10" s="9" customFormat="1" ht="14.25" customHeight="1" x14ac:dyDescent="0.2">
      <c r="A54" s="349" t="s">
        <v>115</v>
      </c>
      <c r="B54" s="107" t="s">
        <v>245</v>
      </c>
      <c r="C54" s="350" t="s">
        <v>134</v>
      </c>
      <c r="D54" s="351" t="s">
        <v>27</v>
      </c>
      <c r="E54" s="352"/>
      <c r="F54" s="353" t="s">
        <v>135</v>
      </c>
      <c r="G54" s="352"/>
      <c r="H54" s="353" t="s">
        <v>135</v>
      </c>
      <c r="I54" s="354"/>
      <c r="J54" s="353" t="s">
        <v>135</v>
      </c>
    </row>
    <row r="55" spans="1:10" s="9" customFormat="1" ht="14.25" customHeight="1" x14ac:dyDescent="0.2">
      <c r="A55" s="334">
        <v>5.4</v>
      </c>
      <c r="B55" s="344" t="s">
        <v>261</v>
      </c>
      <c r="C55" s="345"/>
      <c r="D55" s="346"/>
      <c r="E55" s="347"/>
      <c r="F55" s="347"/>
      <c r="G55" s="347"/>
      <c r="H55" s="347"/>
      <c r="I55" s="347"/>
      <c r="J55" s="348"/>
    </row>
    <row r="56" spans="1:10" s="9" customFormat="1" ht="14.25" customHeight="1" x14ac:dyDescent="0.2">
      <c r="A56" s="349" t="s">
        <v>119</v>
      </c>
      <c r="B56" s="107" t="s">
        <v>248</v>
      </c>
      <c r="C56" s="350" t="s">
        <v>134</v>
      </c>
      <c r="D56" s="351" t="s">
        <v>27</v>
      </c>
      <c r="E56" s="352"/>
      <c r="F56" s="353" t="s">
        <v>135</v>
      </c>
      <c r="G56" s="352"/>
      <c r="H56" s="353" t="s">
        <v>135</v>
      </c>
      <c r="I56" s="354"/>
      <c r="J56" s="353" t="s">
        <v>135</v>
      </c>
    </row>
    <row r="57" spans="1:10" s="9" customFormat="1" ht="14.25" customHeight="1" x14ac:dyDescent="0.2">
      <c r="A57" s="349" t="s">
        <v>262</v>
      </c>
      <c r="B57" s="107" t="s">
        <v>250</v>
      </c>
      <c r="C57" s="350">
        <v>1</v>
      </c>
      <c r="D57" s="351" t="s">
        <v>27</v>
      </c>
      <c r="E57" s="309">
        <v>6500</v>
      </c>
      <c r="F57" s="310">
        <f t="shared" ref="F57:F59" si="3">E57*C57</f>
        <v>6500</v>
      </c>
      <c r="G57" s="311">
        <v>1000</v>
      </c>
      <c r="H57" s="310">
        <f t="shared" ref="H57:H59" si="4">G57*C57</f>
        <v>1000</v>
      </c>
      <c r="I57" s="311"/>
      <c r="J57" s="312">
        <f t="shared" ref="J57:J59" si="5">H57+F57</f>
        <v>7500</v>
      </c>
    </row>
    <row r="58" spans="1:10" s="9" customFormat="1" ht="14.25" customHeight="1" x14ac:dyDescent="0.2">
      <c r="A58" s="349" t="s">
        <v>263</v>
      </c>
      <c r="B58" s="107" t="s">
        <v>252</v>
      </c>
      <c r="C58" s="350">
        <v>1</v>
      </c>
      <c r="D58" s="351" t="s">
        <v>27</v>
      </c>
      <c r="E58" s="309">
        <v>6000</v>
      </c>
      <c r="F58" s="310">
        <f t="shared" si="3"/>
        <v>6000</v>
      </c>
      <c r="G58" s="311">
        <v>1000</v>
      </c>
      <c r="H58" s="310">
        <f t="shared" si="4"/>
        <v>1000</v>
      </c>
      <c r="I58" s="311"/>
      <c r="J58" s="312">
        <f t="shared" si="5"/>
        <v>7000</v>
      </c>
    </row>
    <row r="59" spans="1:10" s="9" customFormat="1" ht="14.25" customHeight="1" thickBot="1" x14ac:dyDescent="0.25">
      <c r="A59" s="349" t="s">
        <v>264</v>
      </c>
      <c r="B59" s="107" t="s">
        <v>254</v>
      </c>
      <c r="C59" s="350">
        <v>12</v>
      </c>
      <c r="D59" s="351" t="s">
        <v>26</v>
      </c>
      <c r="E59" s="309">
        <v>5500</v>
      </c>
      <c r="F59" s="310">
        <f t="shared" si="3"/>
        <v>66000</v>
      </c>
      <c r="G59" s="311">
        <v>1000</v>
      </c>
      <c r="H59" s="310">
        <f t="shared" si="4"/>
        <v>12000</v>
      </c>
      <c r="I59" s="311"/>
      <c r="J59" s="312">
        <f t="shared" si="5"/>
        <v>78000</v>
      </c>
    </row>
    <row r="60" spans="1:10" s="355" customFormat="1" ht="14.25" customHeight="1" thickBot="1" x14ac:dyDescent="0.25">
      <c r="A60" s="510" t="s">
        <v>28</v>
      </c>
      <c r="B60" s="511"/>
      <c r="C60" s="511"/>
      <c r="D60" s="511"/>
      <c r="E60" s="318"/>
      <c r="F60" s="319"/>
      <c r="G60" s="318"/>
      <c r="H60" s="319"/>
      <c r="I60" s="318"/>
      <c r="J60" s="320"/>
    </row>
    <row r="61" spans="1:10" s="9" customFormat="1" ht="14.25" customHeight="1" x14ac:dyDescent="0.2">
      <c r="A61" s="6">
        <v>6</v>
      </c>
      <c r="B61" s="321" t="s">
        <v>265</v>
      </c>
      <c r="C61" s="356"/>
      <c r="D61" s="356"/>
      <c r="E61" s="357"/>
      <c r="F61" s="357"/>
      <c r="G61" s="357"/>
      <c r="H61" s="357"/>
      <c r="I61" s="358"/>
      <c r="J61" s="359"/>
    </row>
    <row r="62" spans="1:10" s="9" customFormat="1" ht="14.25" customHeight="1" thickBot="1" x14ac:dyDescent="0.25">
      <c r="A62" s="306">
        <v>6.1</v>
      </c>
      <c r="B62" s="107" t="s">
        <v>266</v>
      </c>
      <c r="C62" s="340">
        <v>1</v>
      </c>
      <c r="D62" s="328" t="s">
        <v>29</v>
      </c>
      <c r="E62" s="309"/>
      <c r="F62" s="310">
        <f t="shared" ref="F62" si="6">E62*C62</f>
        <v>0</v>
      </c>
      <c r="G62" s="311">
        <v>15000</v>
      </c>
      <c r="H62" s="310">
        <f t="shared" ref="H62" si="7">G62*C62</f>
        <v>15000</v>
      </c>
      <c r="I62" s="311"/>
      <c r="J62" s="312">
        <f t="shared" ref="J62" si="8">H62+F62</f>
        <v>15000</v>
      </c>
    </row>
    <row r="63" spans="1:10" s="9" customFormat="1" ht="14.25" customHeight="1" thickBot="1" x14ac:dyDescent="0.25">
      <c r="A63" s="510" t="s">
        <v>28</v>
      </c>
      <c r="B63" s="511"/>
      <c r="C63" s="511"/>
      <c r="D63" s="511"/>
      <c r="E63" s="318"/>
      <c r="F63" s="319"/>
      <c r="G63" s="318"/>
      <c r="H63" s="319"/>
      <c r="I63" s="318"/>
      <c r="J63" s="320"/>
    </row>
    <row r="64" spans="1:10" s="9" customFormat="1" ht="14.25" customHeight="1" x14ac:dyDescent="0.2">
      <c r="A64" s="6">
        <v>7</v>
      </c>
      <c r="B64" s="321" t="s">
        <v>267</v>
      </c>
      <c r="C64" s="360"/>
      <c r="D64" s="361"/>
      <c r="E64" s="323"/>
      <c r="F64" s="323"/>
      <c r="G64" s="323"/>
      <c r="H64" s="323"/>
      <c r="I64" s="325"/>
      <c r="J64" s="332"/>
    </row>
    <row r="65" spans="1:10" s="9" customFormat="1" ht="14.25" customHeight="1" x14ac:dyDescent="0.2">
      <c r="A65" s="334">
        <v>7.1</v>
      </c>
      <c r="B65" s="362" t="s">
        <v>268</v>
      </c>
      <c r="C65" s="363"/>
      <c r="D65" s="364"/>
      <c r="E65" s="365"/>
      <c r="F65" s="365"/>
      <c r="G65" s="365"/>
      <c r="H65" s="365"/>
      <c r="I65" s="365"/>
      <c r="J65" s="366"/>
    </row>
    <row r="66" spans="1:10" s="9" customFormat="1" ht="14.25" customHeight="1" x14ac:dyDescent="0.2">
      <c r="A66" s="306" t="s">
        <v>269</v>
      </c>
      <c r="B66" s="107" t="s">
        <v>235</v>
      </c>
      <c r="C66" s="340" t="s">
        <v>134</v>
      </c>
      <c r="D66" s="328" t="s">
        <v>94</v>
      </c>
      <c r="E66" s="352"/>
      <c r="F66" s="353" t="s">
        <v>135</v>
      </c>
      <c r="G66" s="352"/>
      <c r="H66" s="353" t="s">
        <v>135</v>
      </c>
      <c r="I66" s="354"/>
      <c r="J66" s="353" t="s">
        <v>135</v>
      </c>
    </row>
    <row r="67" spans="1:10" s="9" customFormat="1" ht="14.25" customHeight="1" x14ac:dyDescent="0.2">
      <c r="A67" s="306" t="s">
        <v>270</v>
      </c>
      <c r="B67" s="107" t="s">
        <v>237</v>
      </c>
      <c r="C67" s="340" t="s">
        <v>134</v>
      </c>
      <c r="D67" s="328" t="s">
        <v>94</v>
      </c>
      <c r="E67" s="352"/>
      <c r="F67" s="353" t="s">
        <v>135</v>
      </c>
      <c r="G67" s="352"/>
      <c r="H67" s="353" t="s">
        <v>135</v>
      </c>
      <c r="I67" s="354"/>
      <c r="J67" s="353" t="s">
        <v>135</v>
      </c>
    </row>
    <row r="68" spans="1:10" s="9" customFormat="1" ht="14.25" customHeight="1" x14ac:dyDescent="0.2">
      <c r="A68" s="306" t="s">
        <v>271</v>
      </c>
      <c r="B68" s="107" t="s">
        <v>239</v>
      </c>
      <c r="C68" s="340" t="s">
        <v>134</v>
      </c>
      <c r="D68" s="328" t="s">
        <v>94</v>
      </c>
      <c r="E68" s="352"/>
      <c r="F68" s="353" t="s">
        <v>135</v>
      </c>
      <c r="G68" s="352"/>
      <c r="H68" s="353" t="s">
        <v>135</v>
      </c>
      <c r="I68" s="354"/>
      <c r="J68" s="353" t="s">
        <v>135</v>
      </c>
    </row>
    <row r="69" spans="1:10" s="9" customFormat="1" ht="14.25" customHeight="1" x14ac:dyDescent="0.2">
      <c r="A69" s="306" t="s">
        <v>272</v>
      </c>
      <c r="B69" s="107" t="s">
        <v>241</v>
      </c>
      <c r="C69" s="340" t="s">
        <v>134</v>
      </c>
      <c r="D69" s="328" t="s">
        <v>94</v>
      </c>
      <c r="E69" s="352"/>
      <c r="F69" s="353" t="s">
        <v>135</v>
      </c>
      <c r="G69" s="352"/>
      <c r="H69" s="353" t="s">
        <v>135</v>
      </c>
      <c r="I69" s="354"/>
      <c r="J69" s="353" t="s">
        <v>135</v>
      </c>
    </row>
    <row r="70" spans="1:10" s="9" customFormat="1" ht="14.25" customHeight="1" x14ac:dyDescent="0.2">
      <c r="A70" s="306" t="s">
        <v>273</v>
      </c>
      <c r="B70" s="107" t="s">
        <v>243</v>
      </c>
      <c r="C70" s="340" t="s">
        <v>134</v>
      </c>
      <c r="D70" s="328" t="s">
        <v>94</v>
      </c>
      <c r="E70" s="352"/>
      <c r="F70" s="353" t="s">
        <v>135</v>
      </c>
      <c r="G70" s="352"/>
      <c r="H70" s="353" t="s">
        <v>135</v>
      </c>
      <c r="I70" s="354"/>
      <c r="J70" s="353" t="s">
        <v>135</v>
      </c>
    </row>
    <row r="71" spans="1:10" s="9" customFormat="1" ht="14.25" customHeight="1" x14ac:dyDescent="0.2">
      <c r="A71" s="306" t="s">
        <v>274</v>
      </c>
      <c r="B71" s="107" t="s">
        <v>245</v>
      </c>
      <c r="C71" s="340" t="s">
        <v>134</v>
      </c>
      <c r="D71" s="328" t="s">
        <v>94</v>
      </c>
      <c r="E71" s="352"/>
      <c r="F71" s="353" t="s">
        <v>135</v>
      </c>
      <c r="G71" s="352"/>
      <c r="H71" s="353" t="s">
        <v>135</v>
      </c>
      <c r="I71" s="354"/>
      <c r="J71" s="353" t="s">
        <v>135</v>
      </c>
    </row>
    <row r="72" spans="1:10" s="9" customFormat="1" ht="14.25" customHeight="1" x14ac:dyDescent="0.2">
      <c r="A72" s="306" t="s">
        <v>275</v>
      </c>
      <c r="B72" s="107" t="s">
        <v>248</v>
      </c>
      <c r="C72" s="340" t="s">
        <v>134</v>
      </c>
      <c r="D72" s="328" t="s">
        <v>94</v>
      </c>
      <c r="E72" s="352"/>
      <c r="F72" s="353" t="s">
        <v>135</v>
      </c>
      <c r="G72" s="352"/>
      <c r="H72" s="353" t="s">
        <v>135</v>
      </c>
      <c r="I72" s="354"/>
      <c r="J72" s="353" t="s">
        <v>135</v>
      </c>
    </row>
    <row r="73" spans="1:10" s="9" customFormat="1" ht="14.25" customHeight="1" x14ac:dyDescent="0.2">
      <c r="A73" s="306" t="s">
        <v>276</v>
      </c>
      <c r="B73" s="107" t="s">
        <v>250</v>
      </c>
      <c r="C73" s="340">
        <f>C32</f>
        <v>4</v>
      </c>
      <c r="D73" s="328" t="s">
        <v>94</v>
      </c>
      <c r="E73" s="309">
        <v>600</v>
      </c>
      <c r="F73" s="310">
        <f t="shared" ref="F73:F76" si="9">E73*C73</f>
        <v>2400</v>
      </c>
      <c r="G73" s="311">
        <v>500</v>
      </c>
      <c r="H73" s="310">
        <f t="shared" ref="H73:H76" si="10">G73*C73</f>
        <v>2000</v>
      </c>
      <c r="I73" s="311"/>
      <c r="J73" s="312">
        <f t="shared" ref="J73:J76" si="11">H73+F73</f>
        <v>4400</v>
      </c>
    </row>
    <row r="74" spans="1:10" s="9" customFormat="1" ht="14.25" customHeight="1" x14ac:dyDescent="0.2">
      <c r="A74" s="306" t="s">
        <v>277</v>
      </c>
      <c r="B74" s="107" t="s">
        <v>252</v>
      </c>
      <c r="C74" s="340">
        <f>C33</f>
        <v>7</v>
      </c>
      <c r="D74" s="328" t="s">
        <v>94</v>
      </c>
      <c r="E74" s="309">
        <v>500</v>
      </c>
      <c r="F74" s="310">
        <f t="shared" si="9"/>
        <v>3500</v>
      </c>
      <c r="G74" s="311">
        <v>400</v>
      </c>
      <c r="H74" s="310">
        <f t="shared" si="10"/>
        <v>2800</v>
      </c>
      <c r="I74" s="311"/>
      <c r="J74" s="312">
        <f t="shared" si="11"/>
        <v>6300</v>
      </c>
    </row>
    <row r="75" spans="1:10" s="9" customFormat="1" ht="14.25" customHeight="1" x14ac:dyDescent="0.2">
      <c r="A75" s="306" t="s">
        <v>278</v>
      </c>
      <c r="B75" s="107" t="s">
        <v>254</v>
      </c>
      <c r="C75" s="340">
        <f>C34</f>
        <v>44</v>
      </c>
      <c r="D75" s="328" t="s">
        <v>94</v>
      </c>
      <c r="E75" s="309">
        <v>400</v>
      </c>
      <c r="F75" s="310">
        <f t="shared" si="9"/>
        <v>17600</v>
      </c>
      <c r="G75" s="311">
        <v>300</v>
      </c>
      <c r="H75" s="310">
        <f t="shared" si="10"/>
        <v>13200</v>
      </c>
      <c r="I75" s="311"/>
      <c r="J75" s="312">
        <f t="shared" si="11"/>
        <v>30800</v>
      </c>
    </row>
    <row r="76" spans="1:10" s="9" customFormat="1" ht="14.25" customHeight="1" x14ac:dyDescent="0.2">
      <c r="A76" s="306">
        <v>7.2</v>
      </c>
      <c r="B76" s="107" t="s">
        <v>279</v>
      </c>
      <c r="C76" s="340">
        <v>1</v>
      </c>
      <c r="D76" s="328" t="s">
        <v>29</v>
      </c>
      <c r="E76" s="309">
        <v>15000</v>
      </c>
      <c r="F76" s="310">
        <f t="shared" si="9"/>
        <v>15000</v>
      </c>
      <c r="G76" s="311">
        <v>5000</v>
      </c>
      <c r="H76" s="310">
        <f t="shared" si="10"/>
        <v>5000</v>
      </c>
      <c r="I76" s="311"/>
      <c r="J76" s="312">
        <f t="shared" si="11"/>
        <v>20000</v>
      </c>
    </row>
    <row r="77" spans="1:10" s="9" customFormat="1" ht="14.25" customHeight="1" thickBot="1" x14ac:dyDescent="0.25">
      <c r="A77" s="306">
        <v>7.3</v>
      </c>
      <c r="B77" s="107" t="s">
        <v>280</v>
      </c>
      <c r="C77" s="341" t="s">
        <v>134</v>
      </c>
      <c r="D77" s="328" t="s">
        <v>29</v>
      </c>
      <c r="E77" s="367">
        <v>40000</v>
      </c>
      <c r="F77" s="353" t="s">
        <v>135</v>
      </c>
      <c r="G77" s="311">
        <v>5000</v>
      </c>
      <c r="H77" s="353" t="s">
        <v>135</v>
      </c>
      <c r="I77" s="354"/>
      <c r="J77" s="353" t="s">
        <v>135</v>
      </c>
    </row>
    <row r="78" spans="1:10" s="9" customFormat="1" ht="14.25" customHeight="1" thickBot="1" x14ac:dyDescent="0.25">
      <c r="A78" s="510" t="s">
        <v>28</v>
      </c>
      <c r="B78" s="511"/>
      <c r="C78" s="511"/>
      <c r="D78" s="511"/>
      <c r="E78" s="318"/>
      <c r="F78" s="319"/>
      <c r="G78" s="318"/>
      <c r="H78" s="319"/>
      <c r="I78" s="318"/>
      <c r="J78" s="320"/>
    </row>
    <row r="79" spans="1:10" s="368" customFormat="1" ht="14.25" customHeight="1" x14ac:dyDescent="0.2">
      <c r="A79" s="6">
        <v>8</v>
      </c>
      <c r="B79" s="321" t="s">
        <v>281</v>
      </c>
      <c r="C79" s="330"/>
      <c r="D79" s="330"/>
      <c r="E79" s="330"/>
      <c r="F79" s="330"/>
      <c r="G79" s="330"/>
      <c r="H79" s="330"/>
      <c r="I79" s="331"/>
      <c r="J79" s="332"/>
    </row>
    <row r="80" spans="1:10" s="9" customFormat="1" ht="14.25" customHeight="1" thickBot="1" x14ac:dyDescent="0.25">
      <c r="A80" s="369">
        <v>8.1</v>
      </c>
      <c r="B80" s="117" t="s">
        <v>282</v>
      </c>
      <c r="C80" s="370">
        <v>1</v>
      </c>
      <c r="D80" s="371" t="s">
        <v>29</v>
      </c>
      <c r="E80" s="309">
        <v>45000</v>
      </c>
      <c r="F80" s="310">
        <f t="shared" ref="F80" si="12">E80*C80</f>
        <v>45000</v>
      </c>
      <c r="G80" s="311">
        <v>8000</v>
      </c>
      <c r="H80" s="310">
        <f t="shared" ref="H80" si="13">G80*C80</f>
        <v>8000</v>
      </c>
      <c r="I80" s="311"/>
      <c r="J80" s="312">
        <f t="shared" ref="J80" si="14">H80+F80</f>
        <v>53000</v>
      </c>
    </row>
    <row r="81" spans="1:10" s="9" customFormat="1" ht="14.25" customHeight="1" thickBot="1" x14ac:dyDescent="0.25">
      <c r="A81" s="510" t="s">
        <v>28</v>
      </c>
      <c r="B81" s="511"/>
      <c r="C81" s="511"/>
      <c r="D81" s="511"/>
      <c r="E81" s="318"/>
      <c r="F81" s="319"/>
      <c r="G81" s="318"/>
      <c r="H81" s="319"/>
      <c r="I81" s="318"/>
      <c r="J81" s="320"/>
    </row>
    <row r="82" spans="1:10" s="377" customFormat="1" ht="14.25" customHeight="1" x14ac:dyDescent="0.2">
      <c r="A82" s="372">
        <v>9</v>
      </c>
      <c r="B82" s="373" t="s">
        <v>4</v>
      </c>
      <c r="C82" s="374"/>
      <c r="D82" s="374"/>
      <c r="E82" s="374"/>
      <c r="F82" s="374"/>
      <c r="G82" s="374"/>
      <c r="H82" s="374"/>
      <c r="I82" s="375"/>
      <c r="J82" s="376"/>
    </row>
    <row r="83" spans="1:10" s="9" customFormat="1" ht="14.25" customHeight="1" x14ac:dyDescent="0.2">
      <c r="A83" s="306">
        <v>9.1</v>
      </c>
      <c r="B83" s="107" t="s">
        <v>283</v>
      </c>
      <c r="C83" s="378">
        <v>1</v>
      </c>
      <c r="D83" s="379" t="s">
        <v>29</v>
      </c>
      <c r="E83" s="309">
        <v>0</v>
      </c>
      <c r="F83" s="310">
        <f t="shared" ref="F83:F88" si="15">E83*C83</f>
        <v>0</v>
      </c>
      <c r="G83" s="311">
        <v>15000</v>
      </c>
      <c r="H83" s="310">
        <f t="shared" ref="H83:H88" si="16">G83*C83</f>
        <v>15000</v>
      </c>
      <c r="I83" s="311"/>
      <c r="J83" s="312">
        <f t="shared" ref="J83:J88" si="17">H83+F83</f>
        <v>15000</v>
      </c>
    </row>
    <row r="84" spans="1:10" s="9" customFormat="1" ht="14.25" customHeight="1" x14ac:dyDescent="0.2">
      <c r="A84" s="380">
        <v>9.1999999999999993</v>
      </c>
      <c r="B84" s="107" t="s">
        <v>30</v>
      </c>
      <c r="C84" s="378">
        <v>1</v>
      </c>
      <c r="D84" s="379" t="s">
        <v>29</v>
      </c>
      <c r="E84" s="309">
        <v>0</v>
      </c>
      <c r="F84" s="310">
        <f t="shared" si="15"/>
        <v>0</v>
      </c>
      <c r="G84" s="311">
        <v>8000</v>
      </c>
      <c r="H84" s="310">
        <f t="shared" si="16"/>
        <v>8000</v>
      </c>
      <c r="I84" s="311"/>
      <c r="J84" s="312">
        <f t="shared" si="17"/>
        <v>8000</v>
      </c>
    </row>
    <row r="85" spans="1:10" s="9" customFormat="1" ht="14.25" customHeight="1" x14ac:dyDescent="0.2">
      <c r="A85" s="306">
        <v>9.3000000000000007</v>
      </c>
      <c r="B85" s="107" t="s">
        <v>31</v>
      </c>
      <c r="C85" s="378">
        <v>1</v>
      </c>
      <c r="D85" s="379" t="s">
        <v>29</v>
      </c>
      <c r="E85" s="309">
        <v>0</v>
      </c>
      <c r="F85" s="310">
        <f t="shared" si="15"/>
        <v>0</v>
      </c>
      <c r="G85" s="311">
        <v>5000</v>
      </c>
      <c r="H85" s="310">
        <f t="shared" si="16"/>
        <v>5000</v>
      </c>
      <c r="I85" s="311"/>
      <c r="J85" s="312">
        <f t="shared" si="17"/>
        <v>5000</v>
      </c>
    </row>
    <row r="86" spans="1:10" s="9" customFormat="1" ht="25.5" customHeight="1" x14ac:dyDescent="0.2">
      <c r="A86" s="380">
        <v>9.4</v>
      </c>
      <c r="B86" s="313" t="s">
        <v>284</v>
      </c>
      <c r="C86" s="378">
        <v>1</v>
      </c>
      <c r="D86" s="379" t="s">
        <v>29</v>
      </c>
      <c r="E86" s="309">
        <v>15000</v>
      </c>
      <c r="F86" s="310">
        <f t="shared" si="15"/>
        <v>15000</v>
      </c>
      <c r="G86" s="311">
        <v>2000</v>
      </c>
      <c r="H86" s="310">
        <f t="shared" si="16"/>
        <v>2000</v>
      </c>
      <c r="I86" s="311"/>
      <c r="J86" s="312">
        <f t="shared" si="17"/>
        <v>17000</v>
      </c>
    </row>
    <row r="87" spans="1:10" s="9" customFormat="1" ht="14.25" customHeight="1" x14ac:dyDescent="0.2">
      <c r="A87" s="306">
        <v>9.5</v>
      </c>
      <c r="B87" s="107" t="s">
        <v>90</v>
      </c>
      <c r="C87" s="378">
        <v>1</v>
      </c>
      <c r="D87" s="379" t="s">
        <v>29</v>
      </c>
      <c r="E87" s="309">
        <v>7000</v>
      </c>
      <c r="F87" s="310">
        <f t="shared" si="15"/>
        <v>7000</v>
      </c>
      <c r="G87" s="311">
        <v>2000</v>
      </c>
      <c r="H87" s="310">
        <f t="shared" si="16"/>
        <v>2000</v>
      </c>
      <c r="I87" s="311"/>
      <c r="J87" s="312">
        <f t="shared" si="17"/>
        <v>9000</v>
      </c>
    </row>
    <row r="88" spans="1:10" s="9" customFormat="1" ht="25.5" customHeight="1" thickBot="1" x14ac:dyDescent="0.25">
      <c r="A88" s="380">
        <v>9.6</v>
      </c>
      <c r="B88" s="313" t="s">
        <v>285</v>
      </c>
      <c r="C88" s="378">
        <v>1</v>
      </c>
      <c r="D88" s="328" t="s">
        <v>29</v>
      </c>
      <c r="E88" s="309">
        <v>0</v>
      </c>
      <c r="F88" s="310">
        <f t="shared" si="15"/>
        <v>0</v>
      </c>
      <c r="G88" s="311">
        <v>15000</v>
      </c>
      <c r="H88" s="310">
        <f t="shared" si="16"/>
        <v>15000</v>
      </c>
      <c r="I88" s="311"/>
      <c r="J88" s="312">
        <f t="shared" si="17"/>
        <v>15000</v>
      </c>
    </row>
    <row r="89" spans="1:10" s="9" customFormat="1" ht="14.25" customHeight="1" thickBot="1" x14ac:dyDescent="0.25">
      <c r="A89" s="512" t="s">
        <v>28</v>
      </c>
      <c r="B89" s="513"/>
      <c r="C89" s="513"/>
      <c r="D89" s="513"/>
      <c r="E89" s="381"/>
      <c r="F89" s="382"/>
      <c r="G89" s="381"/>
      <c r="H89" s="382"/>
      <c r="I89" s="381"/>
      <c r="J89" s="383"/>
    </row>
    <row r="90" spans="1:10" s="9" customFormat="1" ht="14.25" customHeight="1" thickBot="1" x14ac:dyDescent="0.25">
      <c r="A90" s="512" t="s">
        <v>286</v>
      </c>
      <c r="B90" s="513"/>
      <c r="C90" s="513"/>
      <c r="D90" s="513"/>
      <c r="E90" s="384"/>
      <c r="F90" s="385">
        <f>SUM(F12:F89)</f>
        <v>500600</v>
      </c>
      <c r="G90" s="384"/>
      <c r="H90" s="385">
        <f>SUM(H12:H89)</f>
        <v>198000</v>
      </c>
      <c r="I90" s="384"/>
      <c r="J90" s="385">
        <f>SUM(J12:J89)</f>
        <v>698600</v>
      </c>
    </row>
    <row r="91" spans="1:10" s="368" customFormat="1" ht="12" x14ac:dyDescent="0.2">
      <c r="A91" s="386"/>
      <c r="C91" s="387"/>
      <c r="D91" s="387"/>
      <c r="E91" s="388"/>
      <c r="F91" s="388"/>
      <c r="G91" s="388"/>
      <c r="H91" s="389"/>
      <c r="I91" s="388"/>
    </row>
    <row r="92" spans="1:10" s="368" customFormat="1" ht="12" x14ac:dyDescent="0.2">
      <c r="A92" s="386"/>
      <c r="C92" s="387"/>
      <c r="D92" s="387"/>
      <c r="E92" s="388"/>
      <c r="F92" s="388"/>
      <c r="G92" s="388"/>
      <c r="H92" s="389"/>
      <c r="I92" s="388"/>
    </row>
    <row r="93" spans="1:10" s="368" customFormat="1" ht="12" x14ac:dyDescent="0.2">
      <c r="A93" s="386"/>
      <c r="C93" s="387"/>
      <c r="D93" s="387"/>
      <c r="E93" s="388"/>
      <c r="F93" s="388"/>
      <c r="G93" s="388"/>
      <c r="H93" s="389"/>
      <c r="I93" s="388"/>
    </row>
    <row r="94" spans="1:10" s="368" customFormat="1" ht="12" x14ac:dyDescent="0.2">
      <c r="A94" s="386"/>
      <c r="C94" s="387"/>
      <c r="D94" s="387"/>
      <c r="E94" s="388"/>
      <c r="F94" s="388"/>
      <c r="G94" s="388"/>
      <c r="H94" s="389"/>
      <c r="I94" s="388"/>
    </row>
    <row r="95" spans="1:10" s="368" customFormat="1" ht="12" x14ac:dyDescent="0.2">
      <c r="A95" s="386"/>
      <c r="C95" s="387"/>
      <c r="D95" s="387"/>
      <c r="E95" s="388"/>
      <c r="F95" s="388"/>
      <c r="G95" s="388"/>
      <c r="H95" s="389"/>
      <c r="I95" s="388"/>
    </row>
    <row r="96" spans="1:10" s="368" customFormat="1" ht="12" x14ac:dyDescent="0.2">
      <c r="A96" s="386"/>
      <c r="C96" s="387"/>
      <c r="D96" s="387"/>
      <c r="E96" s="388"/>
      <c r="F96" s="388"/>
      <c r="G96" s="388"/>
      <c r="H96" s="389"/>
      <c r="I96" s="388"/>
    </row>
    <row r="97" spans="1:9" s="368" customFormat="1" ht="12" x14ac:dyDescent="0.2">
      <c r="A97" s="386"/>
      <c r="C97" s="387"/>
      <c r="D97" s="387"/>
      <c r="E97" s="388"/>
      <c r="F97" s="388"/>
      <c r="G97" s="388"/>
      <c r="H97" s="389"/>
      <c r="I97" s="388"/>
    </row>
    <row r="98" spans="1:9" s="368" customFormat="1" ht="12" x14ac:dyDescent="0.2">
      <c r="A98" s="386"/>
      <c r="C98" s="387"/>
      <c r="D98" s="387"/>
      <c r="E98" s="388"/>
      <c r="F98" s="388"/>
      <c r="G98" s="388"/>
      <c r="H98" s="389"/>
      <c r="I98" s="388"/>
    </row>
    <row r="99" spans="1:9" s="368" customFormat="1" ht="12" x14ac:dyDescent="0.2">
      <c r="A99" s="386"/>
      <c r="C99" s="387"/>
      <c r="D99" s="387"/>
      <c r="E99" s="388"/>
      <c r="F99" s="388"/>
      <c r="G99" s="388"/>
      <c r="H99" s="389"/>
      <c r="I99" s="388"/>
    </row>
    <row r="100" spans="1:9" s="368" customFormat="1" ht="12" x14ac:dyDescent="0.2">
      <c r="A100" s="386"/>
      <c r="C100" s="387"/>
      <c r="D100" s="387"/>
      <c r="E100" s="388"/>
      <c r="F100" s="388"/>
      <c r="G100" s="388"/>
      <c r="H100" s="389"/>
      <c r="I100" s="388"/>
    </row>
    <row r="101" spans="1:9" s="368" customFormat="1" ht="12" x14ac:dyDescent="0.2">
      <c r="A101" s="386"/>
      <c r="C101" s="387"/>
      <c r="D101" s="387"/>
      <c r="E101" s="388"/>
      <c r="F101" s="388"/>
      <c r="G101" s="388"/>
      <c r="H101" s="389"/>
      <c r="I101" s="388"/>
    </row>
    <row r="102" spans="1:9" s="368" customFormat="1" ht="12" x14ac:dyDescent="0.2">
      <c r="A102" s="386"/>
      <c r="C102" s="387"/>
      <c r="D102" s="387"/>
      <c r="E102" s="388"/>
      <c r="F102" s="388"/>
      <c r="G102" s="388"/>
      <c r="H102" s="389"/>
      <c r="I102" s="388"/>
    </row>
    <row r="103" spans="1:9" s="368" customFormat="1" ht="12" x14ac:dyDescent="0.2">
      <c r="A103" s="386"/>
      <c r="C103" s="387"/>
      <c r="D103" s="387"/>
      <c r="E103" s="388"/>
      <c r="F103" s="388"/>
      <c r="G103" s="388"/>
      <c r="H103" s="389"/>
      <c r="I103" s="388"/>
    </row>
    <row r="104" spans="1:9" s="368" customFormat="1" ht="12" x14ac:dyDescent="0.2">
      <c r="A104" s="386"/>
      <c r="C104" s="387"/>
      <c r="D104" s="387"/>
      <c r="E104" s="388"/>
      <c r="F104" s="388"/>
      <c r="G104" s="388"/>
      <c r="H104" s="389"/>
      <c r="I104" s="388"/>
    </row>
    <row r="105" spans="1:9" s="368" customFormat="1" ht="12" x14ac:dyDescent="0.2">
      <c r="A105" s="386"/>
      <c r="C105" s="387"/>
      <c r="D105" s="387"/>
      <c r="E105" s="388"/>
      <c r="F105" s="388"/>
      <c r="G105" s="388"/>
      <c r="H105" s="389"/>
      <c r="I105" s="388"/>
    </row>
    <row r="106" spans="1:9" s="368" customFormat="1" ht="12" x14ac:dyDescent="0.2">
      <c r="A106" s="386"/>
      <c r="C106" s="387"/>
      <c r="D106" s="387"/>
      <c r="E106" s="388"/>
      <c r="F106" s="388"/>
      <c r="G106" s="388"/>
      <c r="H106" s="389"/>
      <c r="I106" s="388"/>
    </row>
    <row r="107" spans="1:9" s="368" customFormat="1" ht="12" x14ac:dyDescent="0.2">
      <c r="A107" s="386"/>
      <c r="C107" s="387"/>
      <c r="D107" s="387"/>
      <c r="E107" s="388"/>
      <c r="F107" s="388"/>
      <c r="G107" s="388"/>
      <c r="H107" s="389"/>
      <c r="I107" s="388"/>
    </row>
    <row r="108" spans="1:9" s="368" customFormat="1" ht="12" x14ac:dyDescent="0.2">
      <c r="A108" s="386"/>
      <c r="C108" s="387"/>
      <c r="D108" s="387"/>
      <c r="E108" s="388"/>
      <c r="F108" s="388"/>
      <c r="G108" s="388"/>
      <c r="H108" s="389"/>
      <c r="I108" s="388"/>
    </row>
    <row r="109" spans="1:9" s="368" customFormat="1" ht="12" x14ac:dyDescent="0.2">
      <c r="A109" s="386"/>
      <c r="C109" s="387"/>
      <c r="D109" s="387"/>
      <c r="E109" s="388"/>
      <c r="F109" s="388"/>
      <c r="G109" s="388"/>
      <c r="H109" s="389"/>
      <c r="I109" s="388"/>
    </row>
    <row r="110" spans="1:9" s="368" customFormat="1" ht="12" x14ac:dyDescent="0.2">
      <c r="A110" s="386"/>
      <c r="C110" s="387"/>
      <c r="D110" s="387"/>
      <c r="E110" s="388"/>
      <c r="F110" s="388"/>
      <c r="G110" s="388"/>
      <c r="H110" s="389"/>
      <c r="I110" s="388"/>
    </row>
    <row r="111" spans="1:9" s="368" customFormat="1" ht="12" x14ac:dyDescent="0.2">
      <c r="A111" s="386"/>
      <c r="C111" s="387"/>
      <c r="D111" s="387"/>
      <c r="E111" s="388"/>
      <c r="F111" s="388"/>
      <c r="G111" s="388"/>
      <c r="H111" s="389"/>
      <c r="I111" s="388"/>
    </row>
    <row r="112" spans="1:9" s="368" customFormat="1" ht="12" x14ac:dyDescent="0.2">
      <c r="A112" s="386"/>
      <c r="C112" s="387"/>
      <c r="D112" s="387"/>
      <c r="E112" s="388"/>
      <c r="F112" s="388"/>
      <c r="G112" s="388"/>
      <c r="H112" s="389"/>
      <c r="I112" s="388"/>
    </row>
    <row r="113" spans="1:9" s="368" customFormat="1" ht="12" x14ac:dyDescent="0.2">
      <c r="A113" s="386"/>
      <c r="C113" s="387"/>
      <c r="D113" s="387"/>
      <c r="E113" s="388"/>
      <c r="F113" s="388"/>
      <c r="G113" s="388"/>
      <c r="H113" s="389"/>
      <c r="I113" s="388"/>
    </row>
    <row r="114" spans="1:9" s="368" customFormat="1" ht="12" x14ac:dyDescent="0.2">
      <c r="A114" s="386"/>
      <c r="C114" s="387"/>
      <c r="D114" s="387"/>
      <c r="E114" s="388"/>
      <c r="F114" s="388"/>
      <c r="G114" s="388"/>
      <c r="H114" s="389"/>
      <c r="I114" s="388"/>
    </row>
    <row r="115" spans="1:9" s="368" customFormat="1" ht="12" x14ac:dyDescent="0.2">
      <c r="A115" s="386"/>
      <c r="C115" s="387"/>
      <c r="D115" s="387"/>
      <c r="E115" s="388"/>
      <c r="F115" s="388"/>
      <c r="G115" s="388"/>
      <c r="H115" s="389"/>
      <c r="I115" s="388"/>
    </row>
    <row r="116" spans="1:9" s="368" customFormat="1" ht="12" x14ac:dyDescent="0.2">
      <c r="A116" s="386"/>
      <c r="C116" s="387"/>
      <c r="D116" s="387"/>
      <c r="E116" s="388"/>
      <c r="F116" s="388"/>
      <c r="G116" s="388"/>
      <c r="H116" s="389"/>
      <c r="I116" s="388"/>
    </row>
    <row r="117" spans="1:9" s="368" customFormat="1" ht="12" x14ac:dyDescent="0.2">
      <c r="A117" s="386"/>
      <c r="C117" s="387"/>
      <c r="D117" s="387"/>
      <c r="E117" s="388"/>
      <c r="F117" s="388"/>
      <c r="G117" s="388"/>
      <c r="H117" s="389"/>
      <c r="I117" s="388"/>
    </row>
    <row r="118" spans="1:9" s="368" customFormat="1" ht="12" x14ac:dyDescent="0.2">
      <c r="A118" s="386"/>
      <c r="C118" s="387"/>
      <c r="D118" s="387"/>
      <c r="E118" s="388"/>
      <c r="F118" s="388"/>
      <c r="G118" s="388"/>
      <c r="H118" s="389"/>
      <c r="I118" s="388"/>
    </row>
    <row r="119" spans="1:9" s="368" customFormat="1" ht="12" x14ac:dyDescent="0.2">
      <c r="A119" s="386"/>
      <c r="C119" s="387"/>
      <c r="D119" s="387"/>
      <c r="E119" s="388"/>
      <c r="F119" s="388"/>
      <c r="G119" s="388"/>
      <c r="H119" s="389"/>
      <c r="I119" s="388"/>
    </row>
    <row r="120" spans="1:9" s="368" customFormat="1" ht="12" x14ac:dyDescent="0.2">
      <c r="A120" s="386"/>
      <c r="C120" s="387"/>
      <c r="D120" s="387"/>
      <c r="E120" s="388"/>
      <c r="F120" s="388"/>
      <c r="G120" s="388"/>
      <c r="H120" s="389"/>
      <c r="I120" s="388"/>
    </row>
    <row r="121" spans="1:9" s="368" customFormat="1" ht="12" x14ac:dyDescent="0.2">
      <c r="A121" s="386"/>
      <c r="C121" s="387"/>
      <c r="D121" s="387"/>
      <c r="E121" s="388"/>
      <c r="F121" s="388"/>
      <c r="G121" s="388"/>
      <c r="H121" s="389"/>
      <c r="I121" s="388"/>
    </row>
    <row r="122" spans="1:9" s="368" customFormat="1" ht="12" x14ac:dyDescent="0.2">
      <c r="A122" s="386"/>
      <c r="C122" s="387"/>
      <c r="D122" s="387"/>
      <c r="E122" s="388"/>
      <c r="F122" s="388"/>
      <c r="G122" s="388"/>
      <c r="H122" s="389"/>
      <c r="I122" s="388"/>
    </row>
    <row r="123" spans="1:9" s="368" customFormat="1" ht="12" x14ac:dyDescent="0.2">
      <c r="A123" s="386"/>
      <c r="C123" s="387"/>
      <c r="D123" s="387"/>
      <c r="E123" s="388"/>
      <c r="F123" s="388"/>
      <c r="G123" s="388"/>
      <c r="H123" s="389"/>
      <c r="I123" s="388"/>
    </row>
    <row r="124" spans="1:9" s="368" customFormat="1" ht="12" x14ac:dyDescent="0.2">
      <c r="A124" s="386"/>
      <c r="C124" s="387"/>
      <c r="D124" s="387"/>
      <c r="E124" s="388"/>
      <c r="F124" s="388"/>
      <c r="G124" s="388"/>
      <c r="H124" s="389"/>
      <c r="I124" s="388"/>
    </row>
    <row r="125" spans="1:9" s="368" customFormat="1" ht="12" x14ac:dyDescent="0.2">
      <c r="A125" s="386"/>
      <c r="C125" s="387"/>
      <c r="D125" s="387"/>
      <c r="E125" s="388"/>
      <c r="F125" s="388"/>
      <c r="G125" s="388"/>
      <c r="H125" s="389"/>
      <c r="I125" s="388"/>
    </row>
    <row r="126" spans="1:9" s="368" customFormat="1" ht="12" x14ac:dyDescent="0.2">
      <c r="A126" s="386"/>
      <c r="C126" s="387"/>
      <c r="D126" s="387"/>
      <c r="E126" s="388"/>
      <c r="F126" s="388"/>
      <c r="G126" s="388"/>
      <c r="H126" s="389"/>
      <c r="I126" s="388"/>
    </row>
    <row r="127" spans="1:9" s="368" customFormat="1" ht="12" x14ac:dyDescent="0.2">
      <c r="A127" s="386"/>
      <c r="C127" s="387"/>
      <c r="D127" s="387"/>
      <c r="E127" s="388"/>
      <c r="F127" s="388"/>
      <c r="G127" s="388"/>
      <c r="H127" s="389"/>
      <c r="I127" s="388"/>
    </row>
    <row r="128" spans="1:9" s="368" customFormat="1" ht="12" x14ac:dyDescent="0.2">
      <c r="A128" s="386"/>
      <c r="C128" s="387"/>
      <c r="D128" s="387"/>
      <c r="E128" s="388"/>
      <c r="F128" s="388"/>
      <c r="G128" s="388"/>
      <c r="H128" s="389"/>
      <c r="I128" s="388"/>
    </row>
    <row r="129" spans="1:9" s="368" customFormat="1" ht="12" x14ac:dyDescent="0.2">
      <c r="A129" s="386"/>
      <c r="C129" s="387"/>
      <c r="D129" s="387"/>
      <c r="E129" s="388"/>
      <c r="F129" s="388"/>
      <c r="G129" s="388"/>
      <c r="H129" s="389"/>
      <c r="I129" s="388"/>
    </row>
    <row r="130" spans="1:9" s="368" customFormat="1" ht="12" x14ac:dyDescent="0.2">
      <c r="A130" s="386"/>
      <c r="C130" s="387"/>
      <c r="D130" s="387"/>
      <c r="E130" s="388"/>
      <c r="F130" s="388"/>
      <c r="G130" s="388"/>
      <c r="H130" s="389"/>
      <c r="I130" s="388"/>
    </row>
    <row r="131" spans="1:9" s="368" customFormat="1" ht="12" x14ac:dyDescent="0.2">
      <c r="A131" s="386"/>
      <c r="C131" s="387"/>
      <c r="D131" s="387"/>
      <c r="E131" s="388"/>
      <c r="F131" s="388"/>
      <c r="G131" s="388"/>
      <c r="H131" s="389"/>
      <c r="I131" s="388"/>
    </row>
    <row r="132" spans="1:9" s="368" customFormat="1" ht="12" x14ac:dyDescent="0.2">
      <c r="A132" s="386"/>
      <c r="C132" s="387"/>
      <c r="D132" s="387"/>
      <c r="E132" s="388"/>
      <c r="F132" s="388"/>
      <c r="G132" s="388"/>
      <c r="H132" s="389"/>
      <c r="I132" s="388"/>
    </row>
    <row r="133" spans="1:9" s="368" customFormat="1" ht="12" x14ac:dyDescent="0.2">
      <c r="A133" s="386"/>
      <c r="C133" s="387"/>
      <c r="D133" s="387"/>
      <c r="E133" s="388"/>
      <c r="F133" s="388"/>
      <c r="G133" s="388"/>
      <c r="H133" s="389"/>
      <c r="I133" s="388"/>
    </row>
    <row r="134" spans="1:9" s="368" customFormat="1" ht="12" x14ac:dyDescent="0.2">
      <c r="A134" s="386"/>
      <c r="C134" s="387"/>
      <c r="D134" s="387"/>
      <c r="E134" s="388"/>
      <c r="F134" s="388"/>
      <c r="G134" s="388"/>
      <c r="H134" s="389"/>
      <c r="I134" s="388"/>
    </row>
    <row r="135" spans="1:9" s="368" customFormat="1" ht="12" x14ac:dyDescent="0.2">
      <c r="A135" s="386"/>
      <c r="C135" s="387"/>
      <c r="D135" s="387"/>
      <c r="E135" s="388"/>
      <c r="F135" s="388"/>
      <c r="G135" s="388"/>
      <c r="H135" s="389"/>
      <c r="I135" s="388"/>
    </row>
    <row r="136" spans="1:9" s="368" customFormat="1" ht="12" x14ac:dyDescent="0.2">
      <c r="A136" s="386"/>
      <c r="C136" s="387"/>
      <c r="D136" s="387"/>
      <c r="E136" s="388"/>
      <c r="F136" s="388"/>
      <c r="G136" s="388"/>
      <c r="H136" s="389"/>
      <c r="I136" s="388"/>
    </row>
    <row r="137" spans="1:9" s="368" customFormat="1" ht="12" x14ac:dyDescent="0.2">
      <c r="A137" s="386"/>
      <c r="C137" s="387"/>
      <c r="D137" s="387"/>
      <c r="E137" s="388"/>
      <c r="F137" s="388"/>
      <c r="G137" s="388"/>
      <c r="H137" s="389"/>
      <c r="I137" s="388"/>
    </row>
    <row r="138" spans="1:9" s="368" customFormat="1" ht="12" x14ac:dyDescent="0.2">
      <c r="A138" s="386"/>
      <c r="C138" s="387"/>
      <c r="D138" s="387"/>
      <c r="E138" s="388"/>
      <c r="F138" s="388"/>
      <c r="G138" s="388"/>
      <c r="H138" s="389"/>
      <c r="I138" s="388"/>
    </row>
    <row r="139" spans="1:9" s="368" customFormat="1" ht="12" x14ac:dyDescent="0.2">
      <c r="A139" s="386"/>
      <c r="C139" s="387"/>
      <c r="D139" s="387"/>
      <c r="E139" s="388"/>
      <c r="F139" s="388"/>
      <c r="G139" s="388"/>
      <c r="H139" s="389"/>
      <c r="I139" s="388"/>
    </row>
    <row r="140" spans="1:9" s="368" customFormat="1" ht="12" x14ac:dyDescent="0.2">
      <c r="A140" s="386"/>
      <c r="C140" s="387"/>
      <c r="D140" s="387"/>
      <c r="E140" s="388"/>
      <c r="F140" s="388"/>
      <c r="G140" s="388"/>
      <c r="H140" s="389"/>
      <c r="I140" s="388"/>
    </row>
    <row r="141" spans="1:9" s="368" customFormat="1" ht="12" x14ac:dyDescent="0.2">
      <c r="A141" s="386"/>
      <c r="C141" s="387"/>
      <c r="D141" s="387"/>
      <c r="E141" s="388"/>
      <c r="F141" s="388"/>
      <c r="G141" s="388"/>
      <c r="H141" s="389"/>
      <c r="I141" s="388"/>
    </row>
    <row r="142" spans="1:9" s="368" customFormat="1" ht="12" x14ac:dyDescent="0.2">
      <c r="A142" s="386"/>
      <c r="C142" s="387"/>
      <c r="D142" s="387"/>
      <c r="E142" s="388"/>
      <c r="F142" s="388"/>
      <c r="G142" s="388"/>
      <c r="H142" s="389"/>
      <c r="I142" s="388"/>
    </row>
    <row r="143" spans="1:9" s="368" customFormat="1" ht="12" x14ac:dyDescent="0.2">
      <c r="A143" s="386"/>
      <c r="C143" s="387"/>
      <c r="D143" s="387"/>
      <c r="E143" s="388"/>
      <c r="F143" s="388"/>
      <c r="G143" s="388"/>
      <c r="H143" s="389"/>
      <c r="I143" s="388"/>
    </row>
    <row r="144" spans="1:9" s="368" customFormat="1" ht="12" x14ac:dyDescent="0.2">
      <c r="A144" s="386"/>
      <c r="C144" s="387"/>
      <c r="D144" s="387"/>
      <c r="E144" s="388"/>
      <c r="F144" s="388"/>
      <c r="G144" s="388"/>
      <c r="H144" s="389"/>
      <c r="I144" s="388"/>
    </row>
    <row r="145" spans="1:9" s="368" customFormat="1" ht="12" x14ac:dyDescent="0.2">
      <c r="A145" s="386"/>
      <c r="C145" s="387"/>
      <c r="D145" s="387"/>
      <c r="E145" s="388"/>
      <c r="F145" s="388"/>
      <c r="G145" s="388"/>
      <c r="H145" s="389"/>
      <c r="I145" s="388"/>
    </row>
    <row r="146" spans="1:9" s="368" customFormat="1" ht="12" x14ac:dyDescent="0.2">
      <c r="A146" s="386"/>
      <c r="C146" s="387"/>
      <c r="D146" s="387"/>
      <c r="E146" s="388"/>
      <c r="F146" s="388"/>
      <c r="G146" s="388"/>
      <c r="H146" s="389"/>
      <c r="I146" s="388"/>
    </row>
    <row r="147" spans="1:9" s="368" customFormat="1" ht="12" x14ac:dyDescent="0.2">
      <c r="A147" s="386"/>
      <c r="C147" s="387"/>
      <c r="D147" s="387"/>
      <c r="E147" s="388"/>
      <c r="F147" s="388"/>
      <c r="G147" s="388"/>
      <c r="H147" s="389"/>
      <c r="I147" s="388"/>
    </row>
    <row r="148" spans="1:9" s="368" customFormat="1" ht="12" x14ac:dyDescent="0.2">
      <c r="A148" s="386"/>
      <c r="C148" s="387"/>
      <c r="D148" s="387"/>
      <c r="E148" s="388"/>
      <c r="F148" s="388"/>
      <c r="G148" s="388"/>
      <c r="H148" s="389"/>
      <c r="I148" s="388"/>
    </row>
    <row r="149" spans="1:9" s="368" customFormat="1" ht="12" x14ac:dyDescent="0.2">
      <c r="A149" s="386"/>
      <c r="C149" s="387"/>
      <c r="D149" s="387"/>
      <c r="E149" s="388"/>
      <c r="F149" s="388"/>
      <c r="G149" s="388"/>
      <c r="H149" s="389"/>
      <c r="I149" s="388"/>
    </row>
    <row r="150" spans="1:9" s="368" customFormat="1" ht="12" x14ac:dyDescent="0.2">
      <c r="A150" s="386"/>
      <c r="C150" s="387"/>
      <c r="D150" s="387"/>
      <c r="E150" s="388"/>
      <c r="F150" s="388"/>
      <c r="G150" s="388"/>
      <c r="H150" s="389"/>
      <c r="I150" s="388"/>
    </row>
    <row r="151" spans="1:9" s="368" customFormat="1" ht="12" x14ac:dyDescent="0.2">
      <c r="A151" s="386"/>
      <c r="C151" s="387"/>
      <c r="D151" s="387"/>
      <c r="E151" s="388"/>
      <c r="F151" s="388"/>
      <c r="G151" s="388"/>
      <c r="H151" s="389"/>
      <c r="I151" s="388"/>
    </row>
    <row r="152" spans="1:9" s="368" customFormat="1" ht="12" x14ac:dyDescent="0.2">
      <c r="A152" s="386"/>
      <c r="C152" s="387"/>
      <c r="D152" s="387"/>
      <c r="E152" s="388"/>
      <c r="F152" s="388"/>
      <c r="G152" s="388"/>
      <c r="H152" s="389"/>
      <c r="I152" s="388"/>
    </row>
    <row r="153" spans="1:9" s="368" customFormat="1" ht="12" x14ac:dyDescent="0.2">
      <c r="A153" s="386"/>
      <c r="C153" s="387"/>
      <c r="D153" s="387"/>
      <c r="E153" s="388"/>
      <c r="F153" s="388"/>
      <c r="G153" s="388"/>
      <c r="H153" s="389"/>
      <c r="I153" s="388"/>
    </row>
    <row r="154" spans="1:9" s="368" customFormat="1" ht="12" x14ac:dyDescent="0.2">
      <c r="A154" s="386"/>
      <c r="C154" s="387"/>
      <c r="D154" s="387"/>
      <c r="E154" s="388"/>
      <c r="F154" s="388"/>
      <c r="G154" s="388"/>
      <c r="H154" s="389"/>
      <c r="I154" s="388"/>
    </row>
    <row r="155" spans="1:9" s="368" customFormat="1" ht="12" x14ac:dyDescent="0.2">
      <c r="A155" s="386"/>
      <c r="C155" s="387"/>
      <c r="D155" s="387"/>
      <c r="E155" s="388"/>
      <c r="F155" s="388"/>
      <c r="G155" s="388"/>
      <c r="H155" s="389"/>
      <c r="I155" s="388"/>
    </row>
    <row r="156" spans="1:9" s="368" customFormat="1" ht="12" x14ac:dyDescent="0.2">
      <c r="A156" s="386"/>
      <c r="C156" s="387"/>
      <c r="D156" s="387"/>
      <c r="E156" s="388"/>
      <c r="F156" s="388"/>
      <c r="G156" s="388"/>
      <c r="H156" s="389"/>
      <c r="I156" s="388"/>
    </row>
    <row r="157" spans="1:9" s="368" customFormat="1" ht="12" x14ac:dyDescent="0.2">
      <c r="A157" s="386"/>
      <c r="C157" s="387"/>
      <c r="D157" s="387"/>
      <c r="E157" s="388"/>
      <c r="F157" s="388"/>
      <c r="G157" s="388"/>
      <c r="H157" s="389"/>
      <c r="I157" s="388"/>
    </row>
    <row r="158" spans="1:9" s="368" customFormat="1" ht="12" x14ac:dyDescent="0.2">
      <c r="A158" s="386"/>
      <c r="C158" s="387"/>
      <c r="D158" s="387"/>
      <c r="E158" s="388"/>
      <c r="F158" s="388"/>
      <c r="G158" s="388"/>
      <c r="H158" s="389"/>
      <c r="I158" s="388"/>
    </row>
    <row r="159" spans="1:9" s="368" customFormat="1" ht="12" x14ac:dyDescent="0.2">
      <c r="A159" s="386"/>
      <c r="C159" s="387"/>
      <c r="D159" s="387"/>
      <c r="E159" s="388"/>
      <c r="F159" s="388"/>
      <c r="G159" s="388"/>
      <c r="H159" s="389"/>
      <c r="I159" s="388"/>
    </row>
    <row r="160" spans="1:9" s="368" customFormat="1" ht="12" x14ac:dyDescent="0.2">
      <c r="A160" s="386"/>
      <c r="C160" s="387"/>
      <c r="D160" s="387"/>
      <c r="E160" s="388"/>
      <c r="F160" s="388"/>
      <c r="G160" s="388"/>
      <c r="H160" s="389"/>
      <c r="I160" s="388"/>
    </row>
    <row r="161" spans="1:10" s="368" customFormat="1" ht="12" x14ac:dyDescent="0.2">
      <c r="A161" s="386"/>
      <c r="C161" s="387"/>
      <c r="D161" s="387"/>
      <c r="E161" s="388"/>
      <c r="F161" s="388"/>
      <c r="G161" s="388"/>
      <c r="H161" s="389"/>
      <c r="I161" s="388"/>
    </row>
    <row r="162" spans="1:10" s="368" customFormat="1" ht="12" x14ac:dyDescent="0.2">
      <c r="A162" s="386"/>
      <c r="C162" s="387"/>
      <c r="D162" s="387"/>
      <c r="E162" s="388"/>
      <c r="F162" s="388"/>
      <c r="G162" s="388"/>
      <c r="H162" s="389"/>
      <c r="I162" s="388"/>
    </row>
    <row r="163" spans="1:10" s="368" customFormat="1" ht="12" x14ac:dyDescent="0.2">
      <c r="A163" s="386"/>
      <c r="C163" s="387"/>
      <c r="D163" s="387"/>
      <c r="E163" s="388"/>
      <c r="F163" s="388"/>
      <c r="G163" s="388"/>
      <c r="H163" s="389"/>
      <c r="I163" s="388"/>
    </row>
    <row r="164" spans="1:10" s="368" customFormat="1" ht="12" x14ac:dyDescent="0.2">
      <c r="A164" s="386"/>
      <c r="C164" s="387"/>
      <c r="D164" s="387"/>
      <c r="E164" s="388"/>
      <c r="F164" s="388"/>
      <c r="G164" s="388"/>
      <c r="H164" s="389"/>
      <c r="I164" s="388"/>
    </row>
    <row r="165" spans="1:10" s="368" customFormat="1" ht="12" x14ac:dyDescent="0.2">
      <c r="A165" s="386"/>
      <c r="C165" s="387"/>
      <c r="D165" s="387"/>
      <c r="E165" s="390"/>
      <c r="F165" s="390"/>
      <c r="G165" s="390"/>
      <c r="H165" s="389"/>
      <c r="I165" s="390"/>
    </row>
    <row r="166" spans="1:10" s="368" customFormat="1" ht="12" x14ac:dyDescent="0.2">
      <c r="A166" s="386"/>
      <c r="C166" s="387"/>
      <c r="D166" s="387"/>
      <c r="E166" s="390"/>
      <c r="F166" s="390"/>
      <c r="G166" s="390"/>
      <c r="H166" s="389"/>
      <c r="I166" s="390"/>
    </row>
    <row r="167" spans="1:10" s="368" customFormat="1" ht="12" x14ac:dyDescent="0.2">
      <c r="A167" s="386"/>
      <c r="C167" s="387"/>
      <c r="D167" s="387"/>
      <c r="E167" s="390"/>
      <c r="F167" s="390"/>
      <c r="G167" s="390"/>
      <c r="H167" s="389"/>
      <c r="I167" s="390"/>
    </row>
    <row r="168" spans="1:10" s="368" customFormat="1" ht="12" x14ac:dyDescent="0.2">
      <c r="A168" s="386"/>
      <c r="C168" s="387"/>
      <c r="D168" s="387"/>
      <c r="E168" s="390"/>
      <c r="F168" s="390"/>
      <c r="G168" s="390"/>
      <c r="H168" s="389"/>
      <c r="I168" s="390"/>
    </row>
    <row r="169" spans="1:10" x14ac:dyDescent="0.2">
      <c r="A169" s="386"/>
      <c r="B169" s="368"/>
      <c r="C169" s="387"/>
      <c r="D169" s="387"/>
      <c r="E169" s="390"/>
      <c r="F169" s="390"/>
      <c r="G169" s="390"/>
      <c r="H169" s="389"/>
      <c r="I169" s="390"/>
      <c r="J169" s="368"/>
    </row>
    <row r="170" spans="1:10" x14ac:dyDescent="0.2">
      <c r="A170" s="386"/>
      <c r="B170" s="368"/>
      <c r="C170" s="387"/>
      <c r="D170" s="387"/>
      <c r="E170" s="390"/>
      <c r="F170" s="390"/>
      <c r="G170" s="390"/>
      <c r="H170" s="389"/>
      <c r="I170" s="390"/>
      <c r="J170" s="368"/>
    </row>
    <row r="171" spans="1:10" x14ac:dyDescent="0.2">
      <c r="A171" s="386"/>
      <c r="B171" s="368"/>
      <c r="C171" s="387"/>
      <c r="D171" s="387"/>
      <c r="E171" s="390"/>
      <c r="F171" s="390"/>
      <c r="G171" s="390"/>
      <c r="H171" s="389"/>
      <c r="I171" s="390"/>
      <c r="J171" s="368"/>
    </row>
    <row r="172" spans="1:10" x14ac:dyDescent="0.2">
      <c r="A172" s="386"/>
      <c r="B172" s="368"/>
      <c r="C172" s="387"/>
      <c r="D172" s="387"/>
      <c r="E172" s="390"/>
      <c r="F172" s="390"/>
      <c r="G172" s="390"/>
      <c r="H172" s="389"/>
      <c r="I172" s="390"/>
      <c r="J172" s="368"/>
    </row>
    <row r="173" spans="1:10" x14ac:dyDescent="0.2">
      <c r="A173" s="386"/>
      <c r="B173" s="368"/>
      <c r="C173" s="387"/>
      <c r="D173" s="387"/>
      <c r="E173" s="390"/>
      <c r="F173" s="390"/>
      <c r="G173" s="390"/>
      <c r="H173" s="389"/>
      <c r="I173" s="390"/>
      <c r="J173" s="368"/>
    </row>
    <row r="174" spans="1:10" x14ac:dyDescent="0.2">
      <c r="A174" s="386"/>
      <c r="B174" s="368"/>
      <c r="C174" s="387"/>
      <c r="D174" s="387"/>
      <c r="E174" s="390"/>
      <c r="F174" s="390"/>
      <c r="G174" s="390"/>
      <c r="H174" s="389"/>
      <c r="I174" s="390"/>
      <c r="J174" s="368"/>
    </row>
    <row r="175" spans="1:10" x14ac:dyDescent="0.2">
      <c r="A175" s="386"/>
      <c r="B175" s="368"/>
      <c r="C175" s="387"/>
      <c r="D175" s="387"/>
      <c r="E175" s="390"/>
      <c r="F175" s="390"/>
      <c r="G175" s="390"/>
      <c r="H175" s="389"/>
      <c r="I175" s="390"/>
      <c r="J175" s="368"/>
    </row>
    <row r="176" spans="1:10" x14ac:dyDescent="0.2">
      <c r="A176" s="386"/>
      <c r="B176" s="368"/>
      <c r="C176" s="387"/>
      <c r="D176" s="387"/>
      <c r="E176" s="390"/>
      <c r="F176" s="390"/>
      <c r="G176" s="390"/>
      <c r="H176" s="389"/>
      <c r="I176" s="390"/>
      <c r="J176" s="368"/>
    </row>
    <row r="177" spans="1:10" x14ac:dyDescent="0.2">
      <c r="A177" s="386"/>
      <c r="B177" s="368"/>
      <c r="C177" s="387"/>
      <c r="D177" s="387"/>
      <c r="E177" s="390"/>
      <c r="F177" s="390"/>
      <c r="G177" s="390"/>
      <c r="H177" s="389"/>
      <c r="I177" s="390"/>
      <c r="J177" s="368"/>
    </row>
    <row r="178" spans="1:10" x14ac:dyDescent="0.2">
      <c r="A178" s="386"/>
      <c r="B178" s="368"/>
      <c r="C178" s="387"/>
      <c r="D178" s="387"/>
      <c r="E178" s="390"/>
      <c r="F178" s="390"/>
      <c r="G178" s="390"/>
      <c r="H178" s="389"/>
      <c r="I178" s="390"/>
      <c r="J178" s="368"/>
    </row>
    <row r="179" spans="1:10" x14ac:dyDescent="0.2">
      <c r="A179" s="386"/>
      <c r="B179" s="368"/>
      <c r="C179" s="387"/>
      <c r="D179" s="387"/>
      <c r="E179" s="390"/>
      <c r="F179" s="390"/>
      <c r="G179" s="390"/>
      <c r="H179" s="389"/>
      <c r="I179" s="390"/>
      <c r="J179" s="368"/>
    </row>
    <row r="180" spans="1:10" x14ac:dyDescent="0.2">
      <c r="A180" s="386"/>
      <c r="B180" s="368"/>
      <c r="C180" s="387"/>
      <c r="D180" s="387"/>
      <c r="E180" s="390"/>
      <c r="F180" s="390"/>
      <c r="G180" s="390"/>
      <c r="H180" s="389"/>
      <c r="I180" s="390"/>
      <c r="J180" s="368"/>
    </row>
    <row r="181" spans="1:10" x14ac:dyDescent="0.2">
      <c r="A181" s="386"/>
      <c r="B181" s="368"/>
      <c r="C181" s="387"/>
      <c r="D181" s="387"/>
      <c r="E181" s="390"/>
      <c r="F181" s="390"/>
      <c r="G181" s="390"/>
      <c r="H181" s="389"/>
      <c r="I181" s="390"/>
      <c r="J181" s="368"/>
    </row>
    <row r="182" spans="1:10" x14ac:dyDescent="0.2">
      <c r="A182" s="386"/>
      <c r="B182" s="368"/>
      <c r="C182" s="387"/>
      <c r="D182" s="387"/>
      <c r="E182" s="390"/>
      <c r="F182" s="390"/>
      <c r="G182" s="390"/>
      <c r="H182" s="389"/>
      <c r="I182" s="390"/>
      <c r="J182" s="368"/>
    </row>
    <row r="183" spans="1:10" x14ac:dyDescent="0.2">
      <c r="A183" s="386"/>
      <c r="B183" s="368"/>
      <c r="C183" s="387"/>
      <c r="D183" s="387"/>
      <c r="E183" s="390"/>
      <c r="F183" s="390"/>
      <c r="G183" s="390"/>
      <c r="H183" s="389"/>
      <c r="I183" s="390"/>
      <c r="J183" s="368"/>
    </row>
    <row r="184" spans="1:10" x14ac:dyDescent="0.2">
      <c r="A184" s="386"/>
      <c r="B184" s="368"/>
      <c r="C184" s="387"/>
      <c r="D184" s="387"/>
      <c r="E184" s="390"/>
      <c r="F184" s="390"/>
      <c r="G184" s="390"/>
      <c r="H184" s="389"/>
      <c r="I184" s="390"/>
      <c r="J184" s="368"/>
    </row>
    <row r="185" spans="1:10" x14ac:dyDescent="0.2">
      <c r="A185" s="386"/>
      <c r="B185" s="368"/>
      <c r="C185" s="387"/>
      <c r="D185" s="387"/>
      <c r="E185" s="390"/>
      <c r="F185" s="390"/>
      <c r="G185" s="390"/>
      <c r="H185" s="389"/>
      <c r="I185" s="390"/>
      <c r="J185" s="368"/>
    </row>
    <row r="186" spans="1:10" x14ac:dyDescent="0.2">
      <c r="A186" s="386"/>
      <c r="B186" s="368"/>
      <c r="C186" s="387"/>
      <c r="D186" s="387"/>
      <c r="E186" s="390"/>
      <c r="F186" s="390"/>
      <c r="G186" s="390"/>
      <c r="H186" s="389"/>
      <c r="I186" s="390"/>
      <c r="J186" s="368"/>
    </row>
    <row r="187" spans="1:10" x14ac:dyDescent="0.2">
      <c r="A187" s="386"/>
      <c r="B187" s="368"/>
      <c r="C187" s="387"/>
      <c r="D187" s="387"/>
      <c r="E187" s="390"/>
      <c r="F187" s="390"/>
      <c r="G187" s="390"/>
      <c r="H187" s="389"/>
      <c r="I187" s="390"/>
      <c r="J187" s="368"/>
    </row>
    <row r="188" spans="1:10" x14ac:dyDescent="0.2">
      <c r="A188" s="386"/>
      <c r="B188" s="368"/>
      <c r="C188" s="387"/>
      <c r="D188" s="387"/>
      <c r="E188" s="390"/>
      <c r="F188" s="390"/>
      <c r="G188" s="390"/>
      <c r="H188" s="389"/>
      <c r="I188" s="390"/>
      <c r="J188" s="368"/>
    </row>
  </sheetData>
  <mergeCells count="18">
    <mergeCell ref="A4:J4"/>
    <mergeCell ref="A7:A9"/>
    <mergeCell ref="B7:B9"/>
    <mergeCell ref="C7:C9"/>
    <mergeCell ref="D7:D9"/>
    <mergeCell ref="E7:F7"/>
    <mergeCell ref="G7:H7"/>
    <mergeCell ref="I7:J7"/>
    <mergeCell ref="A78:D78"/>
    <mergeCell ref="A81:D81"/>
    <mergeCell ref="A89:D89"/>
    <mergeCell ref="A90:D90"/>
    <mergeCell ref="A15:D15"/>
    <mergeCell ref="A18:D18"/>
    <mergeCell ref="A21:D21"/>
    <mergeCell ref="A35:D35"/>
    <mergeCell ref="A60:D60"/>
    <mergeCell ref="A63:D63"/>
  </mergeCells>
  <printOptions horizontalCentered="1"/>
  <pageMargins left="0.5" right="0.25" top="0.75" bottom="0.54" header="0.5" footer="0.12"/>
  <pageSetup paperSize="9" scale="95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SUMM</vt:lpstr>
      <vt:lpstr>HVAC</vt:lpstr>
      <vt:lpstr>Plumbing</vt:lpstr>
      <vt:lpstr>Fire</vt:lpstr>
      <vt:lpstr>Fire!Print_Area</vt:lpstr>
      <vt:lpstr>HVAC!Print_Area</vt:lpstr>
      <vt:lpstr>Plumbing!Print_Area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2023-06-20T09:50:49Z</cp:lastPrinted>
  <dcterms:created xsi:type="dcterms:W3CDTF">1996-06-15T06:21:35Z</dcterms:created>
  <dcterms:modified xsi:type="dcterms:W3CDTF">2023-09-02T09:27:22Z</dcterms:modified>
</cp:coreProperties>
</file>