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ioneer\Projects 2023\Dolmen City Family Area\"/>
    </mc:Choice>
  </mc:AlternateContent>
  <xr:revisionPtr revIDLastSave="0" documentId="13_ncr:1_{770D5156-884A-4EE1-8836-7C08F753C3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Fire!$A$1:$J$89</definedName>
    <definedName name="_xlnm.Print_Area" localSheetId="1">HVAC!$A$1:$L$87</definedName>
    <definedName name="_xlnm.Print_Area" localSheetId="3">Plumbing!$A$1:$K$97</definedName>
    <definedName name="_xlnm.Print_Area" localSheetId="0">SUMM!$A$1:$G$13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Fire!$1:$10</definedName>
    <definedName name="_xlnm.Print_Titles" localSheetId="1">HVAC!$1:$10</definedName>
    <definedName name="_xlnm.Print_Titles" localSheetId="3">Plumbing!$1:$10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G13" i="32" l="1"/>
  <c r="E13" i="32"/>
  <c r="E14" i="32"/>
  <c r="I95" i="35" l="1"/>
  <c r="G26" i="35"/>
  <c r="I63" i="35"/>
  <c r="G42" i="35"/>
  <c r="I24" i="35"/>
  <c r="I75" i="35"/>
  <c r="G82" i="35"/>
  <c r="I94" i="35"/>
  <c r="I15" i="35"/>
  <c r="G28" i="35"/>
  <c r="G86" i="35"/>
  <c r="I16" i="35"/>
  <c r="I28" i="35"/>
  <c r="I77" i="35"/>
  <c r="I87" i="35"/>
  <c r="G95" i="35"/>
  <c r="G29" i="35"/>
  <c r="G67" i="35"/>
  <c r="G87" i="35"/>
  <c r="I17" i="35"/>
  <c r="I29" i="35"/>
  <c r="I42" i="35"/>
  <c r="I53" i="35"/>
  <c r="I80" i="35"/>
  <c r="I88" i="35"/>
  <c r="G15" i="35"/>
  <c r="G30" i="35"/>
  <c r="G68" i="35"/>
  <c r="G88" i="35"/>
  <c r="I18" i="35"/>
  <c r="I30" i="35"/>
  <c r="I54" i="35"/>
  <c r="I81" i="35"/>
  <c r="I91" i="35"/>
  <c r="G16" i="35"/>
  <c r="G31" i="35"/>
  <c r="G53" i="35"/>
  <c r="G76" i="35"/>
  <c r="G91" i="35"/>
  <c r="I31" i="35"/>
  <c r="I56" i="35"/>
  <c r="I68" i="35"/>
  <c r="I82" i="35"/>
  <c r="I92" i="35"/>
  <c r="G17" i="35"/>
  <c r="G38" i="35"/>
  <c r="G54" i="35"/>
  <c r="G77" i="35"/>
  <c r="G92" i="35"/>
  <c r="I32" i="35"/>
  <c r="I60" i="35"/>
  <c r="I83" i="35"/>
  <c r="I93" i="35"/>
  <c r="G18" i="35"/>
  <c r="G56" i="35"/>
  <c r="G80" i="35"/>
  <c r="I33" i="35"/>
  <c r="I48" i="35"/>
  <c r="I61" i="35"/>
  <c r="I73" i="35"/>
  <c r="I84" i="35"/>
  <c r="G32" i="35"/>
  <c r="G60" i="35"/>
  <c r="G71" i="35"/>
  <c r="G83" i="35"/>
  <c r="G93" i="35"/>
  <c r="G23" i="35"/>
  <c r="G33" i="35"/>
  <c r="G48" i="35"/>
  <c r="G61" i="35"/>
  <c r="G73" i="35"/>
  <c r="G84" i="35"/>
  <c r="G94" i="35"/>
  <c r="G14" i="35"/>
  <c r="G24" i="35"/>
  <c r="G75" i="35"/>
  <c r="G85" i="35"/>
  <c r="H88" i="36"/>
  <c r="F88" i="36"/>
  <c r="H87" i="36"/>
  <c r="F87" i="36"/>
  <c r="H86" i="36"/>
  <c r="F86" i="36"/>
  <c r="H85" i="36"/>
  <c r="F85" i="36"/>
  <c r="H84" i="36"/>
  <c r="F84" i="36"/>
  <c r="H83" i="36"/>
  <c r="F83" i="36"/>
  <c r="H80" i="36"/>
  <c r="H81" i="36" s="1"/>
  <c r="F80" i="36"/>
  <c r="F81" i="36" s="1"/>
  <c r="H76" i="36"/>
  <c r="F76" i="36"/>
  <c r="C75" i="36"/>
  <c r="H75" i="36" s="1"/>
  <c r="C74" i="36"/>
  <c r="H74" i="36" s="1"/>
  <c r="C73" i="36"/>
  <c r="H73" i="36" s="1"/>
  <c r="H62" i="36"/>
  <c r="F62" i="36"/>
  <c r="F63" i="36" s="1"/>
  <c r="H59" i="36"/>
  <c r="F59" i="36"/>
  <c r="H58" i="36"/>
  <c r="F58" i="36"/>
  <c r="H57" i="36"/>
  <c r="F57" i="36"/>
  <c r="H34" i="36"/>
  <c r="F34" i="36"/>
  <c r="H33" i="36"/>
  <c r="F33" i="36"/>
  <c r="H32" i="36"/>
  <c r="F32" i="36"/>
  <c r="H20" i="36"/>
  <c r="F20" i="36"/>
  <c r="F21" i="36" s="1"/>
  <c r="C17" i="36"/>
  <c r="H17" i="36" s="1"/>
  <c r="H13" i="36"/>
  <c r="F13" i="36"/>
  <c r="H12" i="36"/>
  <c r="F12" i="36"/>
  <c r="F15" i="36" s="1"/>
  <c r="I86" i="35"/>
  <c r="I85" i="35"/>
  <c r="G81" i="35"/>
  <c r="I76" i="35"/>
  <c r="I71" i="35"/>
  <c r="I67" i="35"/>
  <c r="G63" i="35"/>
  <c r="D52" i="35"/>
  <c r="D51" i="35"/>
  <c r="I51" i="35" s="1"/>
  <c r="D45" i="35"/>
  <c r="I38" i="35"/>
  <c r="I26" i="35"/>
  <c r="I23" i="35"/>
  <c r="I14" i="35"/>
  <c r="F17" i="36" l="1"/>
  <c r="F18" i="36" s="1"/>
  <c r="F35" i="36"/>
  <c r="H35" i="36"/>
  <c r="J87" i="36"/>
  <c r="J86" i="36"/>
  <c r="F75" i="36"/>
  <c r="J75" i="36" s="1"/>
  <c r="J88" i="36"/>
  <c r="J76" i="36"/>
  <c r="J58" i="36"/>
  <c r="J59" i="36"/>
  <c r="F60" i="36"/>
  <c r="J34" i="36"/>
  <c r="F73" i="36"/>
  <c r="J73" i="36" s="1"/>
  <c r="J13" i="36"/>
  <c r="F74" i="36"/>
  <c r="J74" i="36" s="1"/>
  <c r="F89" i="36"/>
  <c r="J17" i="36"/>
  <c r="J18" i="36" s="1"/>
  <c r="H18" i="36"/>
  <c r="J33" i="36"/>
  <c r="J83" i="36"/>
  <c r="H89" i="36"/>
  <c r="H78" i="36"/>
  <c r="J85" i="36"/>
  <c r="J80" i="36"/>
  <c r="J81" i="36" s="1"/>
  <c r="J20" i="36"/>
  <c r="J21" i="36" s="1"/>
  <c r="H21" i="36"/>
  <c r="J62" i="36"/>
  <c r="J63" i="36" s="1"/>
  <c r="H63" i="36"/>
  <c r="J57" i="36"/>
  <c r="H60" i="36"/>
  <c r="J12" i="36"/>
  <c r="H15" i="36"/>
  <c r="J32" i="36"/>
  <c r="J84" i="36"/>
  <c r="K93" i="35"/>
  <c r="G45" i="35"/>
  <c r="K28" i="35"/>
  <c r="K53" i="35"/>
  <c r="K32" i="35"/>
  <c r="K14" i="35"/>
  <c r="K61" i="35"/>
  <c r="K83" i="35"/>
  <c r="I45" i="35"/>
  <c r="I57" i="35" s="1"/>
  <c r="K71" i="35"/>
  <c r="K87" i="35"/>
  <c r="K18" i="35"/>
  <c r="K77" i="35"/>
  <c r="K94" i="35"/>
  <c r="G96" i="35"/>
  <c r="K84" i="35"/>
  <c r="K88" i="35"/>
  <c r="K81" i="35"/>
  <c r="K85" i="35"/>
  <c r="K75" i="35"/>
  <c r="K76" i="35"/>
  <c r="K68" i="35"/>
  <c r="K48" i="35"/>
  <c r="K23" i="35"/>
  <c r="K15" i="35"/>
  <c r="G78" i="35"/>
  <c r="K67" i="35"/>
  <c r="K80" i="35"/>
  <c r="I89" i="35"/>
  <c r="K16" i="35"/>
  <c r="K82" i="35"/>
  <c r="K24" i="35"/>
  <c r="K33" i="35"/>
  <c r="K86" i="35"/>
  <c r="G34" i="35"/>
  <c r="K30" i="35"/>
  <c r="K26" i="35"/>
  <c r="G89" i="35"/>
  <c r="K31" i="35"/>
  <c r="K42" i="35"/>
  <c r="K60" i="35"/>
  <c r="I78" i="35"/>
  <c r="K29" i="35"/>
  <c r="K91" i="35"/>
  <c r="I96" i="35"/>
  <c r="K54" i="35"/>
  <c r="K95" i="35"/>
  <c r="K17" i="35"/>
  <c r="K63" i="35"/>
  <c r="K92" i="35"/>
  <c r="I34" i="35"/>
  <c r="K38" i="35"/>
  <c r="K56" i="35"/>
  <c r="K73" i="35"/>
  <c r="G51" i="35"/>
  <c r="K51" i="35" s="1"/>
  <c r="J60" i="36" l="1"/>
  <c r="J35" i="36"/>
  <c r="J15" i="36"/>
  <c r="J78" i="36"/>
  <c r="H90" i="36"/>
  <c r="D8" i="32" s="1"/>
  <c r="J89" i="36"/>
  <c r="F78" i="36"/>
  <c r="F90" i="36" s="1"/>
  <c r="C8" i="32" s="1"/>
  <c r="K45" i="35"/>
  <c r="K57" i="35" s="1"/>
  <c r="K34" i="35"/>
  <c r="I97" i="35"/>
  <c r="D10" i="32" s="1"/>
  <c r="K96" i="35"/>
  <c r="K89" i="35"/>
  <c r="G57" i="35"/>
  <c r="G97" i="35" s="1"/>
  <c r="C10" i="32" s="1"/>
  <c r="K78" i="35"/>
  <c r="J90" i="36" l="1"/>
  <c r="E8" i="32"/>
  <c r="K97" i="35"/>
  <c r="E10" i="32"/>
  <c r="J86" i="33"/>
  <c r="H86" i="33"/>
  <c r="J85" i="33"/>
  <c r="H85" i="33"/>
  <c r="J84" i="33"/>
  <c r="H84" i="33"/>
  <c r="J83" i="33"/>
  <c r="H83" i="33"/>
  <c r="J80" i="33"/>
  <c r="H80" i="33"/>
  <c r="J79" i="33"/>
  <c r="J81" i="33" s="1"/>
  <c r="H79" i="33"/>
  <c r="H81" i="33" s="1"/>
  <c r="J76" i="33"/>
  <c r="H76" i="33"/>
  <c r="J75" i="33"/>
  <c r="H75" i="33"/>
  <c r="J74" i="33"/>
  <c r="H74" i="33"/>
  <c r="J71" i="33"/>
  <c r="J72" i="33" s="1"/>
  <c r="H71" i="33"/>
  <c r="H72" i="33" s="1"/>
  <c r="J68" i="33"/>
  <c r="H68" i="33"/>
  <c r="J67" i="33"/>
  <c r="H67" i="33"/>
  <c r="J66" i="33"/>
  <c r="H66" i="33"/>
  <c r="J65" i="33"/>
  <c r="H65" i="33"/>
  <c r="J62" i="33"/>
  <c r="H62" i="33"/>
  <c r="J61" i="33"/>
  <c r="H61" i="33"/>
  <c r="J58" i="33"/>
  <c r="H58" i="33"/>
  <c r="J56" i="33"/>
  <c r="H56" i="33"/>
  <c r="J55" i="33"/>
  <c r="H55" i="33"/>
  <c r="J54" i="33"/>
  <c r="H54" i="33"/>
  <c r="J53" i="33"/>
  <c r="H53" i="33"/>
  <c r="J52" i="33"/>
  <c r="H52" i="33"/>
  <c r="J51" i="33"/>
  <c r="H51" i="33"/>
  <c r="J50" i="33"/>
  <c r="H50" i="33"/>
  <c r="J49" i="33"/>
  <c r="H49" i="33"/>
  <c r="J47" i="33"/>
  <c r="H47" i="33"/>
  <c r="J46" i="33"/>
  <c r="H46" i="33"/>
  <c r="J45" i="33"/>
  <c r="H45" i="33"/>
  <c r="J43" i="33"/>
  <c r="H43" i="33"/>
  <c r="J42" i="33"/>
  <c r="H42" i="33"/>
  <c r="L42" i="33" s="1"/>
  <c r="J41" i="33"/>
  <c r="H41" i="33"/>
  <c r="J40" i="33"/>
  <c r="H40" i="33"/>
  <c r="J39" i="33"/>
  <c r="H39" i="33"/>
  <c r="J38" i="33"/>
  <c r="H38" i="33"/>
  <c r="L38" i="33" s="1"/>
  <c r="J37" i="33"/>
  <c r="H37" i="33"/>
  <c r="J29" i="33"/>
  <c r="H29" i="33"/>
  <c r="J28" i="33"/>
  <c r="H28" i="33"/>
  <c r="J25" i="33"/>
  <c r="H25" i="33"/>
  <c r="J24" i="33"/>
  <c r="H24" i="33"/>
  <c r="J23" i="33"/>
  <c r="H23" i="33"/>
  <c r="J22" i="33"/>
  <c r="H22" i="33"/>
  <c r="J21" i="33"/>
  <c r="H21" i="33"/>
  <c r="J20" i="33"/>
  <c r="H20" i="33"/>
  <c r="J19" i="33"/>
  <c r="H19" i="33"/>
  <c r="J18" i="33"/>
  <c r="H18" i="33"/>
  <c r="J15" i="33"/>
  <c r="H15" i="33"/>
  <c r="J14" i="33"/>
  <c r="H14" i="33"/>
  <c r="J13" i="33"/>
  <c r="L20" i="33" l="1"/>
  <c r="J16" i="33"/>
  <c r="L43" i="33"/>
  <c r="L24" i="33"/>
  <c r="J59" i="33"/>
  <c r="J26" i="33"/>
  <c r="J30" i="33"/>
  <c r="H77" i="33"/>
  <c r="L62" i="33"/>
  <c r="L54" i="33"/>
  <c r="L41" i="33"/>
  <c r="L65" i="33"/>
  <c r="H69" i="33"/>
  <c r="L61" i="33"/>
  <c r="H63" i="33"/>
  <c r="L75" i="33"/>
  <c r="H87" i="33"/>
  <c r="L23" i="33"/>
  <c r="L52" i="33"/>
  <c r="J63" i="33"/>
  <c r="J87" i="33"/>
  <c r="J69" i="33"/>
  <c r="J77" i="33"/>
  <c r="H26" i="33"/>
  <c r="H30" i="33"/>
  <c r="H59" i="33"/>
  <c r="L51" i="33"/>
  <c r="L29" i="33"/>
  <c r="L28" i="33"/>
  <c r="L21" i="33"/>
  <c r="L86" i="33"/>
  <c r="L85" i="33"/>
  <c r="L84" i="33"/>
  <c r="L83" i="33"/>
  <c r="L80" i="33"/>
  <c r="L79" i="33"/>
  <c r="L76" i="33"/>
  <c r="L74" i="33"/>
  <c r="L71" i="33"/>
  <c r="L72" i="33" s="1"/>
  <c r="L68" i="33"/>
  <c r="L67" i="33"/>
  <c r="L66" i="33"/>
  <c r="L58" i="33"/>
  <c r="L55" i="33"/>
  <c r="L56" i="33"/>
  <c r="L53" i="33"/>
  <c r="L50" i="33"/>
  <c r="L49" i="33"/>
  <c r="L46" i="33"/>
  <c r="L47" i="33"/>
  <c r="L45" i="33"/>
  <c r="L39" i="33"/>
  <c r="L40" i="33"/>
  <c r="L37" i="33"/>
  <c r="L25" i="33"/>
  <c r="L22" i="33"/>
  <c r="L19" i="33"/>
  <c r="L18" i="33"/>
  <c r="L15" i="33"/>
  <c r="L14" i="33"/>
  <c r="E32" i="33"/>
  <c r="E33" i="33"/>
  <c r="L63" i="33" l="1"/>
  <c r="L87" i="33"/>
  <c r="J33" i="33"/>
  <c r="H33" i="33"/>
  <c r="L77" i="33"/>
  <c r="L59" i="33"/>
  <c r="L30" i="33"/>
  <c r="J32" i="33"/>
  <c r="H32" i="33"/>
  <c r="L26" i="33"/>
  <c r="L81" i="33"/>
  <c r="L69" i="33"/>
  <c r="H34" i="33" l="1"/>
  <c r="L33" i="33"/>
  <c r="J34" i="33"/>
  <c r="J88" i="33" s="1"/>
  <c r="D6" i="32" s="1"/>
  <c r="L32" i="33"/>
  <c r="H13" i="33"/>
  <c r="L13" i="33" s="1"/>
  <c r="L16" i="33" s="1"/>
  <c r="H16" i="33" l="1"/>
  <c r="H88" i="33" s="1"/>
  <c r="C6" i="32" s="1"/>
  <c r="E6" i="32" s="1"/>
  <c r="L34" i="33"/>
  <c r="L88" i="33" s="1"/>
</calcChain>
</file>

<file path=xl/sharedStrings.xml><?xml version="1.0" encoding="utf-8"?>
<sst xmlns="http://schemas.openxmlformats.org/spreadsheetml/2006/main" count="814" uniqueCount="298">
  <si>
    <t>RATE</t>
  </si>
  <si>
    <t>UNIT</t>
  </si>
  <si>
    <t>ITEM NO.</t>
  </si>
  <si>
    <t>DESCRIPTION</t>
  </si>
  <si>
    <t>MISCELLANEOUS</t>
  </si>
  <si>
    <t>BILL OF QUANTITIES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</si>
  <si>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</si>
  <si>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</si>
  <si>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</si>
  <si>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</si>
  <si>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</si>
  <si>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</si>
  <si>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</si>
  <si>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</si>
  <si>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</si>
  <si>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</si>
  <si>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ESTIMATED QUANTITY</t>
  </si>
  <si>
    <t>MATERIAL</t>
  </si>
  <si>
    <t>INSTALLATION</t>
  </si>
  <si>
    <t>TOTAL</t>
  </si>
  <si>
    <t>AMOUNT</t>
  </si>
  <si>
    <t>(Rs.)</t>
  </si>
  <si>
    <t>(3) x (5)</t>
  </si>
  <si>
    <t>(3) x (7)</t>
  </si>
  <si>
    <t>(5) + (7)</t>
  </si>
  <si>
    <t>(6) + (8)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</si>
  <si>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</si>
  <si>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</si>
  <si>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</si>
  <si>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</si>
  <si>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</si>
  <si>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</si>
  <si>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</si>
  <si>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</si>
  <si>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</si>
  <si>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</si>
  <si>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</si>
  <si>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</si>
  <si>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</si>
  <si>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</si>
  <si>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</si>
  <si>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</si>
  <si>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</si>
  <si>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</si>
  <si>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</si>
  <si>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</si>
  <si>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</si>
  <si>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</si>
  <si>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</si>
  <si>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</si>
  <si>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</si>
  <si>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</si>
  <si>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</si>
  <si>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</si>
  <si>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</si>
  <si>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</si>
  <si>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</si>
  <si>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</si>
  <si>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</si>
  <si>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</si>
  <si>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</si>
  <si>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</si>
  <si>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</si>
  <si>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</si>
  <si>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</si>
  <si>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</si>
  <si>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</si>
  <si>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</si>
  <si>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</si>
  <si>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</si>
  <si>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</si>
  <si>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</si>
  <si>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</si>
  <si>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 xml:space="preserve"> BILL OF QUANTITIES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</si>
  <si>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</si>
  <si>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</si>
  <si>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</si>
  <si>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</si>
  <si>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</si>
  <si>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</si>
  <si>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</si>
  <si>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</si>
  <si>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</si>
  <si>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</si>
  <si>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</si>
  <si>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</si>
  <si>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</si>
  <si>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</si>
  <si>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</si>
  <si>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</si>
  <si>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</si>
  <si>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</si>
  <si>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</si>
  <si>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</si>
  <si>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</si>
  <si>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</si>
  <si>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</si>
  <si>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</si>
  <si>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</si>
  <si>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</si>
  <si>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</si>
  <si>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</si>
  <si>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</si>
  <si>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</si>
  <si>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</si>
  <si>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</si>
  <si>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</si>
  <si>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</si>
  <si>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</si>
  <si>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</si>
  <si>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</si>
  <si>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</si>
  <si>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</si>
  <si>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</si>
  <si>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</si>
  <si>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</si>
  <si>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</si>
  <si>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</si>
  <si>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</si>
  <si>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</si>
  <si>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</si>
  <si>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</si>
  <si>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</si>
  <si>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</si>
  <si>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</si>
  <si>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</si>
  <si>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</si>
  <si>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</si>
  <si>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 xml:space="preserve">DESCRIPTION            </t>
  </si>
  <si>
    <t xml:space="preserve">INSTALLATION </t>
  </si>
  <si>
    <t xml:space="preserve">TOTAL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</si>
  <si>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</si>
  <si>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</si>
  <si>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</si>
  <si>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</si>
  <si>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</si>
  <si>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</si>
  <si>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</si>
  <si>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</si>
  <si>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</si>
  <si>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</si>
  <si>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</si>
  <si>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</si>
  <si>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</si>
  <si>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</si>
  <si>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</si>
  <si>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</si>
  <si>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</si>
  <si>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</si>
  <si>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</si>
  <si>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</si>
  <si>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</si>
  <si>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</si>
  <si>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</si>
  <si>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</si>
  <si>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</si>
  <si>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</si>
  <si>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</si>
  <si>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</si>
  <si>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</si>
  <si>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</si>
  <si>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</si>
  <si>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</si>
  <si>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</si>
  <si>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</si>
  <si>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</si>
  <si>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</si>
  <si>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</si>
  <si>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</si>
  <si>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</si>
  <si>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</si>
  <si>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</si>
  <si>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</si>
  <si>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</si>
  <si>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</si>
  <si>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</si>
  <si>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</si>
  <si>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</si>
  <si>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</si>
  <si>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</si>
  <si>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</si>
  <si>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</si>
  <si>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</si>
  <si>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</si>
  <si>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</si>
  <si>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</si>
  <si>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</si>
  <si>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</si>
  <si>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</si>
  <si>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</si>
  <si>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</si>
  <si>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</si>
  <si>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</si>
  <si>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</si>
  <si>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</si>
  <si>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</si>
  <si>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</si>
  <si>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</si>
  <si>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</si>
  <si>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</si>
  <si>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</si>
  <si>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</si>
  <si>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</si>
  <si>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</si>
  <si>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</si>
  <si>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</si>
  <si>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</si>
  <si>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</si>
  <si>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</si>
  <si>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</si>
  <si>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</si>
  <si>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</si>
  <si>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</si>
  <si>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</si>
  <si>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</si>
  <si>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</si>
  <si>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</si>
  <si>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</si>
  <si>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</si>
  <si>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</si>
  <si>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</si>
  <si>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</si>
  <si>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</si>
  <si>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</si>
  <si>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</si>
  <si>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</si>
  <si>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</si>
  <si>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</si>
  <si>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</si>
  <si>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</si>
  <si>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</si>
  <si>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</si>
  <si>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</si>
  <si>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</si>
  <si>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</si>
  <si>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</si>
  <si>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</si>
  <si>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</si>
  <si>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</si>
  <si>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</si>
  <si>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</si>
  <si>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</si>
  <si>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</si>
  <si>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</si>
  <si>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</si>
  <si>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</si>
  <si>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</si>
  <si>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</si>
  <si>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</si>
  <si>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</si>
  <si>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</si>
  <si>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</si>
  <si>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</si>
  <si>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</si>
  <si>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</si>
  <si>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</si>
  <si>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</si>
  <si>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</si>
  <si>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</si>
  <si>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</si>
  <si>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</si>
  <si>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</si>
  <si>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</si>
  <si>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</si>
  <si>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</si>
  <si>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</si>
  <si>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</si>
  <si>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</si>
  <si>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</si>
  <si>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</si>
  <si>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</si>
  <si>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</si>
  <si>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</si>
  <si>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</si>
  <si>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</si>
  <si>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</si>
  <si>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</si>
  <si>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</si>
  <si>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</si>
  <si>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</si>
  <si>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</si>
  <si>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</si>
  <si>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</si>
  <si>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</si>
  <si>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</si>
  <si>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</si>
  <si>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</si>
  <si>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</si>
  <si>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r>
      <rPr>
        <b/>
        <sz val="9"/>
        <rFont val="Arial"/>
        <family val="2"/>
      </rPr>
      <t>SUMMARY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OF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COST</t>
    </r>
  </si>
  <si>
    <t xml:space="preserve">HVAC </t>
  </si>
  <si>
    <t>Fire Fighting</t>
  </si>
  <si>
    <t>Plumbing</t>
  </si>
  <si>
    <t>Material</t>
  </si>
  <si>
    <t>Labour</t>
  </si>
  <si>
    <t>Total Amount</t>
  </si>
  <si>
    <t>PES
Rebated Amount</t>
  </si>
  <si>
    <t>PES
Original Amount</t>
  </si>
  <si>
    <t>Voice for Plumbing BOQ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</si>
</sst>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#,##0.0_);[Red]\(#,##0.0\)"/>
    <numFmt numFmtId="167" formatCode="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"/>
      <color rgb="FF0000FF"/>
      <name val="Arial Black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8"/>
      <color indexed="12"/>
      <name val="Arial Black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6" fontId="5" fillId="0" borderId="0" applyNumberFormat="0" applyAlignment="0">
      <alignment horizontal="left"/>
    </xf>
    <xf numFmtId="0" fontId="5" fillId="0" borderId="0" applyNumberFormat="0" applyAlignment="0"/>
    <xf numFmtId="166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0" fontId="4" fillId="0" borderId="0"/>
    <xf numFmtId="164" fontId="29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7" fillId="0" borderId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8" fillId="0" borderId="0"/>
    <xf numFmtId="9" fontId="57" fillId="0" borderId="0" applyFont="0" applyFill="0" applyBorder="0" applyAlignment="0" applyProtection="0"/>
    <xf numFmtId="0" fontId="58" fillId="0" borderId="0" applyNumberFormat="0" applyFill="0" applyBorder="0" applyAlignment="0" applyProtection="0"/>
  </cellStyleXfs>
  <cellXfs count="525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6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18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right" vertical="center"/>
    </xf>
    <xf numFmtId="0" fontId="17" fillId="2" borderId="5" xfId="0" quotePrefix="1" applyFont="1" applyFill="1" applyBorder="1" applyAlignment="1">
      <alignment horizontal="center" vertical="center"/>
    </xf>
    <xf numFmtId="0" fontId="17" fillId="2" borderId="38" xfId="0" quotePrefix="1" applyFont="1" applyFill="1" applyBorder="1" applyAlignment="1">
      <alignment horizontal="center" vertical="center"/>
    </xf>
    <xf numFmtId="0" fontId="17" fillId="2" borderId="39" xfId="0" quotePrefix="1" applyFont="1" applyFill="1" applyBorder="1" applyAlignment="1">
      <alignment horizontal="center" vertical="center"/>
    </xf>
    <xf numFmtId="0" fontId="18" fillId="0" borderId="0" xfId="33" applyFont="1" applyAlignment="1">
      <alignment horizontal="center" vertical="center"/>
    </xf>
    <xf numFmtId="0" fontId="18" fillId="0" borderId="0" xfId="33" applyFont="1" applyAlignment="1">
      <alignment vertical="center"/>
    </xf>
    <xf numFmtId="0" fontId="17" fillId="2" borderId="6" xfId="15" applyFont="1" applyFill="1" applyBorder="1">
      <alignment horizontal="center" vertical="center" wrapText="1"/>
    </xf>
    <xf numFmtId="0" fontId="17" fillId="2" borderId="25" xfId="15" quotePrefix="1" applyFont="1" applyFill="1" applyBorder="1">
      <alignment horizontal="center" vertical="center" wrapText="1"/>
    </xf>
    <xf numFmtId="0" fontId="17" fillId="2" borderId="27" xfId="15" quotePrefix="1" applyFont="1" applyFill="1" applyBorder="1">
      <alignment horizontal="center" vertical="center" wrapText="1"/>
    </xf>
    <xf numFmtId="0" fontId="17" fillId="2" borderId="17" xfId="15" applyFont="1" applyFill="1" applyBorder="1" applyAlignment="1">
      <alignment vertical="center"/>
    </xf>
    <xf numFmtId="0" fontId="17" fillId="2" borderId="10" xfId="15" applyFont="1" applyFill="1" applyBorder="1" applyAlignment="1">
      <alignment vertical="center"/>
    </xf>
    <xf numFmtId="0" fontId="17" fillId="2" borderId="44" xfId="15" applyFont="1" applyFill="1" applyBorder="1" applyAlignment="1">
      <alignment vertical="center"/>
    </xf>
    <xf numFmtId="0" fontId="17" fillId="2" borderId="6" xfId="15" quotePrefix="1" applyFont="1" applyFill="1" applyBorder="1">
      <alignment horizontal="center" vertical="center" wrapText="1"/>
    </xf>
    <xf numFmtId="0" fontId="17" fillId="2" borderId="23" xfId="15" quotePrefix="1" applyFont="1" applyFill="1" applyBorder="1">
      <alignment horizontal="center" vertical="center" wrapText="1"/>
    </xf>
    <xf numFmtId="164" fontId="12" fillId="0" borderId="3" xfId="7" applyNumberFormat="1" applyFont="1" applyBorder="1" applyAlignment="1">
      <alignment horizontal="center" vertical="center"/>
    </xf>
    <xf numFmtId="0" fontId="12" fillId="0" borderId="14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3" fillId="0" borderId="4" xfId="1" applyNumberFormat="1" applyFont="1" applyFill="1" applyBorder="1" applyAlignment="1">
      <alignment horizontal="right" vertical="center"/>
    </xf>
    <xf numFmtId="0" fontId="13" fillId="0" borderId="21" xfId="7" applyFont="1" applyBorder="1" applyAlignment="1">
      <alignment vertical="center"/>
    </xf>
    <xf numFmtId="38" fontId="15" fillId="0" borderId="9" xfId="34" applyFont="1" applyFill="1" applyBorder="1" applyAlignment="1">
      <alignment horizontal="right" vertical="center"/>
    </xf>
    <xf numFmtId="3" fontId="15" fillId="0" borderId="29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1" fillId="0" borderId="21" xfId="9" applyNumberFormat="1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21" xfId="0" applyFont="1" applyBorder="1" applyAlignment="1">
      <alignment horizontal="right" vertical="center"/>
    </xf>
    <xf numFmtId="0" fontId="22" fillId="0" borderId="30" xfId="0" applyFont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14" fillId="0" borderId="21" xfId="14" applyFont="1" applyBorder="1" applyAlignment="1">
      <alignment horizontal="center" vertical="center"/>
    </xf>
    <xf numFmtId="0" fontId="13" fillId="0" borderId="21" xfId="14" applyFont="1" applyBorder="1" applyAlignment="1">
      <alignment horizontal="right" vertical="center"/>
    </xf>
    <xf numFmtId="38" fontId="13" fillId="0" borderId="21" xfId="1" applyNumberFormat="1" applyFont="1" applyFill="1" applyBorder="1" applyAlignment="1">
      <alignment horizontal="right" vertical="center"/>
    </xf>
    <xf numFmtId="3" fontId="13" fillId="0" borderId="21" xfId="34" applyNumberFormat="1" applyFont="1" applyFill="1" applyBorder="1" applyAlignment="1">
      <alignment horizontal="right" vertical="center"/>
    </xf>
    <xf numFmtId="166" fontId="14" fillId="0" borderId="3" xfId="11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0" fontId="13" fillId="0" borderId="21" xfId="7" applyFont="1" applyBorder="1" applyAlignment="1">
      <alignment horizontal="left" vertical="center"/>
    </xf>
    <xf numFmtId="166" fontId="14" fillId="0" borderId="3" xfId="11" applyFont="1" applyBorder="1" applyAlignment="1">
      <alignment horizontal="center" vertical="center" wrapText="1"/>
    </xf>
    <xf numFmtId="0" fontId="13" fillId="0" borderId="48" xfId="7" applyFont="1" applyBorder="1" applyAlignment="1">
      <alignment horizontal="left" vertical="center"/>
    </xf>
    <xf numFmtId="0" fontId="14" fillId="0" borderId="31" xfId="14" applyFont="1" applyBorder="1" applyAlignment="1">
      <alignment horizontal="center" vertical="center"/>
    </xf>
    <xf numFmtId="0" fontId="14" fillId="0" borderId="21" xfId="7" applyFont="1" applyBorder="1" applyAlignment="1">
      <alignment horizontal="left" vertical="center"/>
    </xf>
    <xf numFmtId="0" fontId="14" fillId="0" borderId="48" xfId="7" applyFont="1" applyBorder="1" applyAlignment="1">
      <alignment horizontal="left" vertical="center"/>
    </xf>
    <xf numFmtId="0" fontId="13" fillId="0" borderId="31" xfId="14" applyFont="1" applyBorder="1" applyAlignment="1">
      <alignment horizontal="center" vertical="center"/>
    </xf>
    <xf numFmtId="166" fontId="14" fillId="0" borderId="23" xfId="11" applyFont="1" applyBorder="1" applyAlignment="1">
      <alignment horizontal="center" vertical="center" wrapText="1"/>
    </xf>
    <xf numFmtId="0" fontId="13" fillId="0" borderId="50" xfId="14" applyFont="1" applyBorder="1" applyAlignment="1">
      <alignment horizontal="center" vertical="center"/>
    </xf>
    <xf numFmtId="0" fontId="16" fillId="0" borderId="14" xfId="7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3" fontId="13" fillId="0" borderId="21" xfId="14" applyNumberFormat="1" applyFont="1" applyBorder="1" applyAlignment="1">
      <alignment horizontal="right" vertical="center"/>
    </xf>
    <xf numFmtId="3" fontId="13" fillId="0" borderId="22" xfId="34" applyNumberFormat="1" applyFont="1" applyFill="1" applyBorder="1" applyAlignment="1">
      <alignment horizontal="right" vertical="center"/>
    </xf>
    <xf numFmtId="0" fontId="14" fillId="0" borderId="51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20" fillId="0" borderId="21" xfId="7" applyFont="1" applyBorder="1" applyAlignment="1">
      <alignment horizontal="left" vertical="center"/>
    </xf>
    <xf numFmtId="38" fontId="14" fillId="0" borderId="21" xfId="34" applyFont="1" applyFill="1" applyBorder="1" applyAlignment="1">
      <alignment horizontal="right" vertical="center"/>
    </xf>
    <xf numFmtId="0" fontId="14" fillId="4" borderId="0" xfId="0" applyFont="1" applyFill="1" applyAlignment="1">
      <alignment vertical="center"/>
    </xf>
    <xf numFmtId="0" fontId="14" fillId="0" borderId="21" xfId="9" applyNumberFormat="1" applyFont="1" applyBorder="1" applyAlignment="1">
      <alignment horizontal="left" vertical="center"/>
    </xf>
    <xf numFmtId="166" fontId="13" fillId="0" borderId="3" xfId="11" applyFont="1" applyBorder="1" applyAlignment="1">
      <alignment horizontal="center" vertical="center"/>
    </xf>
    <xf numFmtId="0" fontId="13" fillId="0" borderId="48" xfId="7" applyFont="1" applyBorder="1" applyAlignment="1">
      <alignment vertical="center"/>
    </xf>
    <xf numFmtId="38" fontId="15" fillId="0" borderId="35" xfId="34" applyFont="1" applyFill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Continuous" vertical="center"/>
    </xf>
    <xf numFmtId="0" fontId="14" fillId="0" borderId="28" xfId="7" applyFont="1" applyBorder="1" applyAlignment="1">
      <alignment horizontal="left" vertical="center"/>
    </xf>
    <xf numFmtId="0" fontId="14" fillId="0" borderId="26" xfId="7" applyFont="1" applyBorder="1" applyAlignment="1">
      <alignment horizontal="left" vertical="center"/>
    </xf>
    <xf numFmtId="0" fontId="14" fillId="0" borderId="45" xfId="7" applyFont="1" applyBorder="1" applyAlignment="1">
      <alignment horizontal="left" vertical="center"/>
    </xf>
    <xf numFmtId="3" fontId="14" fillId="0" borderId="21" xfId="14" applyNumberFormat="1" applyFont="1" applyBorder="1" applyAlignment="1">
      <alignment horizontal="right" vertical="center"/>
    </xf>
    <xf numFmtId="0" fontId="13" fillId="0" borderId="0" xfId="14" applyFont="1" applyBorder="1" applyAlignment="1">
      <alignment horizontal="right" vertical="center"/>
    </xf>
    <xf numFmtId="3" fontId="14" fillId="0" borderId="21" xfId="34" applyNumberFormat="1" applyFont="1" applyFill="1" applyBorder="1" applyAlignment="1">
      <alignment horizontal="right" vertical="center"/>
    </xf>
    <xf numFmtId="0" fontId="13" fillId="0" borderId="53" xfId="14" applyFont="1" applyBorder="1" applyAlignment="1">
      <alignment horizontal="right" vertical="center"/>
    </xf>
    <xf numFmtId="0" fontId="13" fillId="0" borderId="21" xfId="14" applyFont="1" applyBorder="1" applyAlignment="1">
      <alignment horizontal="center" vertical="center"/>
    </xf>
    <xf numFmtId="166" fontId="13" fillId="0" borderId="3" xfId="11" applyFont="1" applyBorder="1" applyAlignment="1">
      <alignment horizontal="center" vertical="center" wrapText="1"/>
    </xf>
    <xf numFmtId="0" fontId="14" fillId="0" borderId="24" xfId="7" applyFont="1" applyBorder="1" applyAlignment="1">
      <alignment horizontal="left" vertical="center"/>
    </xf>
    <xf numFmtId="0" fontId="14" fillId="0" borderId="32" xfId="7" applyFont="1" applyBorder="1" applyAlignment="1">
      <alignment horizontal="left" vertical="center"/>
    </xf>
    <xf numFmtId="0" fontId="14" fillId="0" borderId="40" xfId="7" applyFont="1" applyBorder="1" applyAlignment="1">
      <alignment horizontal="left" vertical="center"/>
    </xf>
    <xf numFmtId="0" fontId="14" fillId="0" borderId="50" xfId="14" applyFont="1" applyBorder="1" applyAlignment="1">
      <alignment horizontal="center" vertical="center"/>
    </xf>
    <xf numFmtId="0" fontId="22" fillId="0" borderId="26" xfId="0" applyFont="1" applyBorder="1" applyAlignment="1">
      <alignment horizontal="right" vertical="center"/>
    </xf>
    <xf numFmtId="166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31" xfId="14" applyNumberFormat="1" applyFont="1" applyBorder="1" applyAlignment="1">
      <alignment horizontal="center" vertical="center"/>
    </xf>
    <xf numFmtId="164" fontId="12" fillId="0" borderId="56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55" xfId="0" applyFont="1" applyBorder="1" applyAlignment="1">
      <alignment vertical="center"/>
    </xf>
    <xf numFmtId="0" fontId="14" fillId="3" borderId="14" xfId="7" quotePrefix="1" applyFont="1" applyFill="1" applyBorder="1" applyAlignment="1">
      <alignment horizontal="left" vertical="center"/>
    </xf>
    <xf numFmtId="0" fontId="14" fillId="3" borderId="14" xfId="7" applyFont="1" applyFill="1" applyBorder="1" applyAlignment="1">
      <alignment vertical="center"/>
    </xf>
    <xf numFmtId="0" fontId="13" fillId="3" borderId="14" xfId="7" applyFont="1" applyFill="1" applyBorder="1" applyAlignment="1">
      <alignment vertical="center"/>
    </xf>
    <xf numFmtId="166" fontId="25" fillId="0" borderId="20" xfId="9" quotePrefix="1" applyNumberFormat="1" applyFont="1" applyBorder="1" applyAlignment="1">
      <alignment horizontal="center" vertical="center"/>
    </xf>
    <xf numFmtId="0" fontId="25" fillId="0" borderId="14" xfId="9" applyNumberFormat="1" applyFont="1" applyBorder="1" applyAlignment="1">
      <alignment horizontal="left" vertical="center"/>
    </xf>
    <xf numFmtId="166" fontId="16" fillId="0" borderId="3" xfId="11" applyFont="1" applyBorder="1" applyAlignment="1">
      <alignment horizontal="center" vertical="center"/>
    </xf>
    <xf numFmtId="0" fontId="16" fillId="0" borderId="14" xfId="7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4" fillId="0" borderId="21" xfId="14" quotePrefix="1" applyFont="1" applyBorder="1" applyAlignment="1">
      <alignment horizontal="center" vertical="center"/>
    </xf>
    <xf numFmtId="38" fontId="13" fillId="0" borderId="22" xfId="1" applyNumberFormat="1" applyFont="1" applyFill="1" applyBorder="1" applyAlignment="1">
      <alignment horizontal="right" vertical="center"/>
    </xf>
    <xf numFmtId="0" fontId="14" fillId="0" borderId="21" xfId="0" applyFont="1" applyBorder="1" applyAlignment="1">
      <alignment vertical="center"/>
    </xf>
    <xf numFmtId="0" fontId="14" fillId="0" borderId="13" xfId="7" applyFont="1" applyBorder="1" applyAlignment="1">
      <alignment horizontal="right" vertical="center"/>
    </xf>
    <xf numFmtId="0" fontId="14" fillId="3" borderId="8" xfId="14" applyFont="1" applyFill="1" applyBorder="1" applyAlignment="1">
      <alignment horizontal="center" vertical="center"/>
    </xf>
    <xf numFmtId="0" fontId="13" fillId="3" borderId="8" xfId="14" applyFont="1" applyFill="1" applyBorder="1" applyAlignment="1">
      <alignment horizontal="center" vertical="center"/>
    </xf>
    <xf numFmtId="0" fontId="14" fillId="3" borderId="14" xfId="7" applyFont="1" applyFill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3" borderId="24" xfId="7" applyFont="1" applyFill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0" fontId="13" fillId="3" borderId="58" xfId="14" applyFont="1" applyFill="1" applyBorder="1" applyAlignment="1">
      <alignment horizontal="center" vertical="center"/>
    </xf>
    <xf numFmtId="0" fontId="17" fillId="2" borderId="59" xfId="15" quotePrefix="1" applyFont="1" applyFill="1" applyBorder="1">
      <alignment horizontal="center" vertical="center" wrapText="1"/>
    </xf>
    <xf numFmtId="38" fontId="15" fillId="0" borderId="34" xfId="34" applyFont="1" applyFill="1" applyBorder="1" applyAlignment="1">
      <alignment horizontal="right" vertical="center"/>
    </xf>
    <xf numFmtId="38" fontId="15" fillId="0" borderId="21" xfId="34" applyFont="1" applyFill="1" applyBorder="1" applyAlignment="1">
      <alignment horizontal="right" vertical="center"/>
    </xf>
    <xf numFmtId="38" fontId="15" fillId="0" borderId="32" xfId="34" applyFont="1" applyFill="1" applyBorder="1" applyAlignment="1">
      <alignment horizontal="right" vertical="center"/>
    </xf>
    <xf numFmtId="0" fontId="17" fillId="2" borderId="23" xfId="15" applyFont="1" applyFill="1" applyBorder="1">
      <alignment horizontal="center" vertical="center" wrapText="1"/>
    </xf>
    <xf numFmtId="164" fontId="13" fillId="0" borderId="31" xfId="14" applyNumberFormat="1" applyFont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3" fillId="0" borderId="48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4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6" fillId="0" borderId="36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7" fillId="3" borderId="0" xfId="40" applyFont="1" applyFill="1" applyAlignment="1">
      <alignment horizontal="center" vertical="center"/>
    </xf>
    <xf numFmtId="0" fontId="27" fillId="3" borderId="0" xfId="40" applyFont="1" applyFill="1" applyAlignment="1">
      <alignment vertical="center"/>
    </xf>
    <xf numFmtId="38" fontId="27" fillId="3" borderId="0" xfId="1" applyNumberFormat="1" applyFont="1" applyFill="1" applyAlignment="1">
      <alignment vertical="center"/>
    </xf>
    <xf numFmtId="0" fontId="28" fillId="2" borderId="60" xfId="40" quotePrefix="1" applyFont="1" applyFill="1" applyBorder="1" applyAlignment="1">
      <alignment horizontal="center" vertical="center"/>
    </xf>
    <xf numFmtId="0" fontId="28" fillId="4" borderId="61" xfId="40" quotePrefix="1" applyFont="1" applyFill="1" applyBorder="1" applyAlignment="1">
      <alignment horizontal="center" vertical="center"/>
    </xf>
    <xf numFmtId="0" fontId="28" fillId="2" borderId="62" xfId="40" quotePrefix="1" applyFont="1" applyFill="1" applyBorder="1" applyAlignment="1">
      <alignment horizontal="center" vertical="center"/>
    </xf>
    <xf numFmtId="38" fontId="28" fillId="2" borderId="60" xfId="1" quotePrefix="1" applyNumberFormat="1" applyFont="1" applyFill="1" applyBorder="1" applyAlignment="1">
      <alignment horizontal="center" vertical="center"/>
    </xf>
    <xf numFmtId="38" fontId="28" fillId="2" borderId="63" xfId="1" quotePrefix="1" applyNumberFormat="1" applyFont="1" applyFill="1" applyBorder="1" applyAlignment="1">
      <alignment horizontal="center" vertical="center"/>
    </xf>
    <xf numFmtId="38" fontId="28" fillId="2" borderId="64" xfId="1" quotePrefix="1" applyNumberFormat="1" applyFont="1" applyFill="1" applyBorder="1" applyAlignment="1">
      <alignment horizontal="center" vertical="center"/>
    </xf>
    <xf numFmtId="0" fontId="19" fillId="0" borderId="0" xfId="41" applyFont="1" applyAlignment="1">
      <alignment vertical="center"/>
    </xf>
    <xf numFmtId="38" fontId="28" fillId="2" borderId="65" xfId="1" applyNumberFormat="1" applyFont="1" applyFill="1" applyBorder="1" applyAlignment="1">
      <alignment horizontal="center" vertical="center" wrapText="1"/>
    </xf>
    <xf numFmtId="38" fontId="28" fillId="2" borderId="68" xfId="1" applyNumberFormat="1" applyFont="1" applyFill="1" applyBorder="1" applyAlignment="1">
      <alignment horizontal="center" vertical="center" wrapText="1"/>
    </xf>
    <xf numFmtId="38" fontId="28" fillId="2" borderId="67" xfId="1" applyNumberFormat="1" applyFont="1" applyFill="1" applyBorder="1" applyAlignment="1">
      <alignment horizontal="center" vertical="center" wrapText="1"/>
    </xf>
    <xf numFmtId="38" fontId="28" fillId="2" borderId="74" xfId="1" applyNumberFormat="1" applyFont="1" applyFill="1" applyBorder="1" applyAlignment="1">
      <alignment horizontal="center" vertical="center" wrapText="1"/>
    </xf>
    <xf numFmtId="38" fontId="28" fillId="2" borderId="75" xfId="1" applyNumberFormat="1" applyFont="1" applyFill="1" applyBorder="1" applyAlignment="1">
      <alignment horizontal="center" vertical="center" wrapText="1"/>
    </xf>
    <xf numFmtId="38" fontId="28" fillId="2" borderId="76" xfId="1" applyNumberFormat="1" applyFont="1" applyFill="1" applyBorder="1" applyAlignment="1">
      <alignment horizontal="center" vertical="center" wrapText="1"/>
    </xf>
    <xf numFmtId="38" fontId="28" fillId="2" borderId="80" xfId="1" applyNumberFormat="1" applyFont="1" applyFill="1" applyBorder="1" applyAlignment="1">
      <alignment horizontal="center" vertical="center" wrapText="1"/>
    </xf>
    <xf numFmtId="38" fontId="28" fillId="2" borderId="81" xfId="1" quotePrefix="1" applyNumberFormat="1" applyFont="1" applyFill="1" applyBorder="1" applyAlignment="1">
      <alignment horizontal="center" vertical="center" wrapText="1"/>
    </xf>
    <xf numFmtId="38" fontId="28" fillId="2" borderId="82" xfId="1" quotePrefix="1" applyNumberFormat="1" applyFont="1" applyFill="1" applyBorder="1" applyAlignment="1">
      <alignment horizontal="center" vertical="center" wrapText="1"/>
    </xf>
    <xf numFmtId="0" fontId="19" fillId="0" borderId="0" xfId="40" applyFont="1" applyAlignment="1">
      <alignment vertical="center"/>
    </xf>
    <xf numFmtId="164" fontId="30" fillId="0" borderId="80" xfId="42" applyFont="1" applyBorder="1" applyAlignment="1">
      <alignment horizontal="center" vertical="center"/>
    </xf>
    <xf numFmtId="164" fontId="30" fillId="0" borderId="83" xfId="42" applyFont="1" applyBorder="1" applyAlignment="1">
      <alignment horizontal="left" vertical="center"/>
    </xf>
    <xf numFmtId="0" fontId="19" fillId="0" borderId="84" xfId="40" applyFont="1" applyBorder="1" applyAlignment="1">
      <alignment horizontal="center" vertical="center"/>
    </xf>
    <xf numFmtId="0" fontId="19" fillId="0" borderId="84" xfId="40" applyFont="1" applyBorder="1" applyAlignment="1">
      <alignment vertical="center"/>
    </xf>
    <xf numFmtId="38" fontId="19" fillId="0" borderId="84" xfId="1" applyNumberFormat="1" applyFont="1" applyFill="1" applyBorder="1" applyAlignment="1">
      <alignment horizontal="right" vertical="center"/>
    </xf>
    <xf numFmtId="38" fontId="19" fillId="0" borderId="70" xfId="1" applyNumberFormat="1" applyFont="1" applyFill="1" applyBorder="1" applyAlignment="1">
      <alignment horizontal="right" vertical="center"/>
    </xf>
    <xf numFmtId="0" fontId="16" fillId="0" borderId="80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4" fontId="13" fillId="0" borderId="69" xfId="42" applyFont="1" applyBorder="1" applyAlignment="1">
      <alignment horizontal="center" vertical="center"/>
    </xf>
    <xf numFmtId="0" fontId="14" fillId="0" borderId="85" xfId="8" applyFont="1" applyBorder="1" applyAlignment="1">
      <alignment horizontal="left" vertical="center"/>
    </xf>
    <xf numFmtId="0" fontId="13" fillId="0" borderId="82" xfId="43" applyFont="1" applyBorder="1" applyAlignment="1">
      <alignment horizontal="center" vertical="center"/>
    </xf>
    <xf numFmtId="1" fontId="13" fillId="0" borderId="86" xfId="43" applyNumberFormat="1" applyFont="1" applyBorder="1" applyAlignment="1">
      <alignment horizontal="center" vertical="center"/>
    </xf>
    <xf numFmtId="0" fontId="13" fillId="0" borderId="83" xfId="43" applyFont="1" applyBorder="1" applyAlignment="1">
      <alignment horizontal="center" vertical="center"/>
    </xf>
    <xf numFmtId="3" fontId="13" fillId="0" borderId="80" xfId="1" applyNumberFormat="1" applyFont="1" applyFill="1" applyBorder="1" applyAlignment="1">
      <alignment horizontal="right" vertical="center"/>
    </xf>
    <xf numFmtId="3" fontId="13" fillId="0" borderId="81" xfId="1" applyNumberFormat="1" applyFont="1" applyFill="1" applyBorder="1" applyAlignment="1">
      <alignment horizontal="right" vertical="center"/>
    </xf>
    <xf numFmtId="3" fontId="13" fillId="0" borderId="82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81" xfId="1" applyNumberFormat="1" applyFont="1" applyFill="1" applyBorder="1" applyAlignment="1">
      <alignment horizontal="right" vertical="center"/>
    </xf>
    <xf numFmtId="38" fontId="13" fillId="0" borderId="82" xfId="1" applyNumberFormat="1" applyFont="1" applyFill="1" applyBorder="1" applyAlignment="1">
      <alignment horizontal="right" vertical="center"/>
    </xf>
    <xf numFmtId="0" fontId="13" fillId="0" borderId="85" xfId="8" applyFont="1" applyBorder="1" applyAlignment="1">
      <alignment horizontal="left" vertical="center"/>
    </xf>
    <xf numFmtId="164" fontId="16" fillId="0" borderId="80" xfId="42" applyFont="1" applyBorder="1" applyAlignment="1">
      <alignment horizontal="center" vertical="center"/>
    </xf>
    <xf numFmtId="0" fontId="16" fillId="0" borderId="83" xfId="8" applyFont="1" applyBorder="1" applyAlignment="1">
      <alignment horizontal="left" vertical="center"/>
    </xf>
    <xf numFmtId="0" fontId="13" fillId="0" borderId="84" xfId="40" applyFont="1" applyBorder="1" applyAlignment="1">
      <alignment horizontal="center" vertical="center"/>
    </xf>
    <xf numFmtId="0" fontId="13" fillId="0" borderId="84" xfId="40" applyFont="1" applyBorder="1" applyAlignment="1">
      <alignment vertical="center"/>
    </xf>
    <xf numFmtId="38" fontId="13" fillId="0" borderId="84" xfId="1" applyNumberFormat="1" applyFont="1" applyFill="1" applyBorder="1" applyAlignment="1">
      <alignment horizontal="right" vertical="center"/>
    </xf>
    <xf numFmtId="38" fontId="13" fillId="0" borderId="70" xfId="1" applyNumberFormat="1" applyFont="1" applyFill="1" applyBorder="1" applyAlignment="1">
      <alignment horizontal="right" vertical="center"/>
    </xf>
    <xf numFmtId="0" fontId="31" fillId="0" borderId="82" xfId="43" applyFont="1" applyBorder="1" applyAlignment="1">
      <alignment horizontal="center" vertical="center"/>
    </xf>
    <xf numFmtId="1" fontId="31" fillId="0" borderId="86" xfId="43" applyNumberFormat="1" applyFont="1" applyBorder="1" applyAlignment="1">
      <alignment horizontal="center" vertical="center"/>
    </xf>
    <xf numFmtId="0" fontId="31" fillId="0" borderId="83" xfId="43" applyFont="1" applyBorder="1" applyAlignment="1">
      <alignment horizontal="center" vertical="center"/>
    </xf>
    <xf numFmtId="0" fontId="32" fillId="0" borderId="0" xfId="40" applyFont="1" applyAlignment="1">
      <alignment vertical="center"/>
    </xf>
    <xf numFmtId="0" fontId="13" fillId="0" borderId="84" xfId="40" applyFont="1" applyBorder="1" applyAlignment="1">
      <alignment horizontal="left" vertical="center"/>
    </xf>
    <xf numFmtId="0" fontId="13" fillId="0" borderId="84" xfId="40" applyFont="1" applyBorder="1" applyAlignment="1">
      <alignment horizontal="right" vertical="center"/>
    </xf>
    <xf numFmtId="3" fontId="13" fillId="0" borderId="70" xfId="40" applyNumberFormat="1" applyFont="1" applyBorder="1" applyAlignment="1">
      <alignment horizontal="right" vertical="center"/>
    </xf>
    <xf numFmtId="38" fontId="13" fillId="0" borderId="82" xfId="44" applyFont="1" applyFill="1" applyBorder="1" applyAlignment="1">
      <alignment vertical="center"/>
    </xf>
    <xf numFmtId="38" fontId="13" fillId="0" borderId="82" xfId="44" applyFont="1" applyFill="1" applyBorder="1" applyAlignment="1">
      <alignment horizontal="center" vertical="center"/>
    </xf>
    <xf numFmtId="167" fontId="13" fillId="0" borderId="69" xfId="8" applyNumberFormat="1" applyFont="1" applyBorder="1" applyAlignment="1">
      <alignment horizontal="center" vertical="center"/>
    </xf>
    <xf numFmtId="0" fontId="13" fillId="0" borderId="86" xfId="43" applyFont="1" applyBorder="1" applyAlignment="1">
      <alignment horizontal="center" vertical="center"/>
    </xf>
    <xf numFmtId="164" fontId="13" fillId="0" borderId="69" xfId="15" applyNumberFormat="1" applyFont="1" applyBorder="1">
      <alignment horizontal="center" vertical="center" wrapText="1"/>
    </xf>
    <xf numFmtId="3" fontId="14" fillId="0" borderId="86" xfId="40" applyNumberFormat="1" applyFont="1" applyBorder="1" applyAlignment="1">
      <alignment horizontal="center" vertical="center"/>
    </xf>
    <xf numFmtId="3" fontId="13" fillId="0" borderId="83" xfId="43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9" xfId="1" applyNumberFormat="1" applyFont="1" applyFill="1" applyBorder="1" applyAlignment="1">
      <alignment vertical="center"/>
    </xf>
    <xf numFmtId="38" fontId="16" fillId="0" borderId="76" xfId="1" applyNumberFormat="1" applyFont="1" applyFill="1" applyBorder="1" applyAlignment="1">
      <alignment vertical="center"/>
    </xf>
    <xf numFmtId="0" fontId="33" fillId="0" borderId="84" xfId="40" applyFont="1" applyBorder="1" applyAlignment="1">
      <alignment horizontal="center" vertical="center"/>
    </xf>
    <xf numFmtId="0" fontId="33" fillId="0" borderId="84" xfId="40" applyFont="1" applyBorder="1" applyAlignment="1">
      <alignment vertical="center"/>
    </xf>
    <xf numFmtId="0" fontId="33" fillId="0" borderId="84" xfId="40" applyFont="1" applyBorder="1" applyAlignment="1">
      <alignment horizontal="right" vertical="center"/>
    </xf>
    <xf numFmtId="38" fontId="33" fillId="0" borderId="84" xfId="1" applyNumberFormat="1" applyFont="1" applyFill="1" applyBorder="1" applyAlignment="1">
      <alignment horizontal="right" vertical="center"/>
    </xf>
    <xf numFmtId="38" fontId="34" fillId="0" borderId="87" xfId="1" applyNumberFormat="1" applyFont="1" applyFill="1" applyBorder="1" applyAlignment="1">
      <alignment horizontal="right" vertical="center"/>
    </xf>
    <xf numFmtId="0" fontId="35" fillId="0" borderId="0" xfId="40" applyFont="1" applyAlignment="1">
      <alignment vertical="center"/>
    </xf>
    <xf numFmtId="167" fontId="16" fillId="0" borderId="80" xfId="8" applyNumberFormat="1" applyFont="1" applyBorder="1" applyAlignment="1">
      <alignment horizontal="center" vertical="center"/>
    </xf>
    <xf numFmtId="4" fontId="16" fillId="0" borderId="83" xfId="8" applyNumberFormat="1" applyFont="1" applyBorder="1" applyAlignment="1">
      <alignment horizontal="left" vertical="center"/>
    </xf>
    <xf numFmtId="0" fontId="31" fillId="0" borderId="84" xfId="40" applyFont="1" applyBorder="1" applyAlignment="1">
      <alignment horizontal="center" vertical="center"/>
    </xf>
    <xf numFmtId="0" fontId="31" fillId="0" borderId="84" xfId="40" applyFont="1" applyBorder="1" applyAlignment="1">
      <alignment vertical="center"/>
    </xf>
    <xf numFmtId="38" fontId="31" fillId="0" borderId="84" xfId="1" applyNumberFormat="1" applyFont="1" applyFill="1" applyBorder="1" applyAlignment="1">
      <alignment horizontal="right" vertical="center"/>
    </xf>
    <xf numFmtId="38" fontId="31" fillId="0" borderId="70" xfId="1" applyNumberFormat="1" applyFont="1" applyFill="1" applyBorder="1" applyAlignment="1">
      <alignment horizontal="right" vertical="center"/>
    </xf>
    <xf numFmtId="0" fontId="36" fillId="0" borderId="0" xfId="40" applyFont="1" applyAlignment="1">
      <alignment vertical="center"/>
    </xf>
    <xf numFmtId="0" fontId="31" fillId="0" borderId="86" xfId="43" applyFont="1" applyBorder="1" applyAlignment="1">
      <alignment horizontal="center" vertical="center"/>
    </xf>
    <xf numFmtId="0" fontId="31" fillId="0" borderId="84" xfId="8" applyFont="1" applyBorder="1" applyAlignment="1">
      <alignment vertical="center"/>
    </xf>
    <xf numFmtId="0" fontId="31" fillId="0" borderId="84" xfId="43" applyFont="1" applyBorder="1" applyAlignment="1">
      <alignment horizontal="center" vertical="center"/>
    </xf>
    <xf numFmtId="4" fontId="16" fillId="0" borderId="80" xfId="8" applyNumberFormat="1" applyFont="1" applyBorder="1" applyAlignment="1">
      <alignment horizontal="center" vertical="center"/>
    </xf>
    <xf numFmtId="0" fontId="16" fillId="5" borderId="83" xfId="8" applyFont="1" applyFill="1" applyBorder="1" applyAlignment="1">
      <alignment horizontal="left" vertical="center"/>
    </xf>
    <xf numFmtId="0" fontId="31" fillId="0" borderId="84" xfId="40" applyFont="1" applyBorder="1" applyAlignment="1">
      <alignment horizontal="right" vertical="center"/>
    </xf>
    <xf numFmtId="38" fontId="31" fillId="0" borderId="70" xfId="1" applyNumberFormat="1" applyFont="1" applyFill="1" applyBorder="1" applyAlignment="1">
      <alignment vertical="center"/>
    </xf>
    <xf numFmtId="167" fontId="37" fillId="0" borderId="80" xfId="8" applyNumberFormat="1" applyFont="1" applyBorder="1" applyAlignment="1">
      <alignment horizontal="center" vertical="center"/>
    </xf>
    <xf numFmtId="4" fontId="37" fillId="0" borderId="83" xfId="8" applyNumberFormat="1" applyFont="1" applyBorder="1" applyAlignment="1">
      <alignment horizontal="left" vertical="center"/>
    </xf>
    <xf numFmtId="4" fontId="38" fillId="0" borderId="84" xfId="8" applyNumberFormat="1" applyFont="1" applyBorder="1" applyAlignment="1">
      <alignment vertical="center"/>
    </xf>
    <xf numFmtId="38" fontId="38" fillId="0" borderId="84" xfId="1" applyNumberFormat="1" applyFont="1" applyFill="1" applyBorder="1" applyAlignment="1">
      <alignment vertical="center"/>
    </xf>
    <xf numFmtId="38" fontId="38" fillId="0" borderId="70" xfId="1" applyNumberFormat="1" applyFont="1" applyFill="1" applyBorder="1" applyAlignment="1">
      <alignment vertical="center"/>
    </xf>
    <xf numFmtId="0" fontId="39" fillId="0" borderId="0" xfId="40" applyFont="1" applyAlignment="1">
      <alignment horizontal="left" vertical="center"/>
    </xf>
    <xf numFmtId="164" fontId="40" fillId="0" borderId="69" xfId="42" applyFont="1" applyBorder="1" applyAlignment="1">
      <alignment horizontal="center" vertical="center"/>
    </xf>
    <xf numFmtId="0" fontId="41" fillId="0" borderId="82" xfId="43" applyFont="1" applyBorder="1" applyAlignment="1">
      <alignment horizontal="center" vertical="center"/>
    </xf>
    <xf numFmtId="0" fontId="41" fillId="0" borderId="86" xfId="43" applyFont="1" applyBorder="1" applyAlignment="1">
      <alignment horizontal="center" vertical="center"/>
    </xf>
    <xf numFmtId="0" fontId="39" fillId="0" borderId="0" xfId="40" applyFont="1" applyAlignment="1">
      <alignment vertical="center"/>
    </xf>
    <xf numFmtId="0" fontId="42" fillId="0" borderId="0" xfId="40" applyFont="1" applyAlignment="1">
      <alignment vertical="center"/>
    </xf>
    <xf numFmtId="167" fontId="31" fillId="0" borderId="69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83" xfId="44" applyFont="1" applyFill="1" applyBorder="1" applyAlignment="1">
      <alignment vertical="center"/>
    </xf>
    <xf numFmtId="4" fontId="13" fillId="0" borderId="84" xfId="40" applyNumberFormat="1" applyFont="1" applyBorder="1" applyAlignment="1">
      <alignment horizontal="left" vertical="center"/>
    </xf>
    <xf numFmtId="4" fontId="13" fillId="0" borderId="84" xfId="40" applyNumberFormat="1" applyFont="1" applyBorder="1" applyAlignment="1">
      <alignment horizontal="center" vertical="center"/>
    </xf>
    <xf numFmtId="4" fontId="13" fillId="0" borderId="84" xfId="40" applyNumberFormat="1" applyFont="1" applyBorder="1" applyAlignment="1">
      <alignment vertical="center"/>
    </xf>
    <xf numFmtId="4" fontId="13" fillId="0" borderId="80" xfId="8" applyNumberFormat="1" applyFont="1" applyBorder="1" applyAlignment="1">
      <alignment horizontal="center" vertical="center"/>
    </xf>
    <xf numFmtId="38" fontId="13" fillId="0" borderId="84" xfId="44" applyFont="1" applyFill="1" applyBorder="1" applyAlignment="1">
      <alignment vertical="center"/>
    </xf>
    <xf numFmtId="3" fontId="13" fillId="0" borderId="86" xfId="43" applyNumberFormat="1" applyFont="1" applyBorder="1" applyAlignment="1">
      <alignment horizontal="center" vertical="center"/>
    </xf>
    <xf numFmtId="4" fontId="13" fillId="0" borderId="86" xfId="43" applyNumberFormat="1" applyFont="1" applyBorder="1" applyAlignment="1">
      <alignment horizontal="center" vertical="center"/>
    </xf>
    <xf numFmtId="167" fontId="13" fillId="0" borderId="80" xfId="8" applyNumberFormat="1" applyFont="1" applyBorder="1" applyAlignment="1">
      <alignment horizontal="center" vertical="center"/>
    </xf>
    <xf numFmtId="166" fontId="12" fillId="0" borderId="88" xfId="11" applyFont="1" applyBorder="1" applyAlignment="1">
      <alignment horizontal="center" vertical="center"/>
    </xf>
    <xf numFmtId="0" fontId="12" fillId="0" borderId="14" xfId="8" applyFont="1" applyBorder="1" applyAlignment="1">
      <alignment horizontal="left" vertical="center"/>
    </xf>
    <xf numFmtId="0" fontId="43" fillId="0" borderId="21" xfId="8" applyFont="1" applyBorder="1" applyAlignment="1">
      <alignment horizontal="left" vertical="center"/>
    </xf>
    <xf numFmtId="0" fontId="43" fillId="0" borderId="21" xfId="43" applyFont="1" applyBorder="1" applyAlignment="1">
      <alignment horizontal="center" vertical="center"/>
    </xf>
    <xf numFmtId="0" fontId="13" fillId="0" borderId="21" xfId="43" applyFont="1" applyBorder="1" applyAlignment="1">
      <alignment horizontal="center" vertical="center"/>
    </xf>
    <xf numFmtId="38" fontId="13" fillId="0" borderId="89" xfId="1" applyNumberFormat="1" applyFont="1" applyFill="1" applyBorder="1" applyAlignment="1">
      <alignment horizontal="right" vertical="center"/>
    </xf>
    <xf numFmtId="166" fontId="13" fillId="0" borderId="88" xfId="11" applyFont="1" applyBorder="1" applyAlignment="1">
      <alignment horizontal="center" vertical="center" wrapText="1"/>
    </xf>
    <xf numFmtId="0" fontId="13" fillId="0" borderId="31" xfId="43" applyFont="1" applyBorder="1" applyAlignment="1">
      <alignment horizontal="center" vertical="center"/>
    </xf>
    <xf numFmtId="0" fontId="13" fillId="0" borderId="14" xfId="8" applyFont="1" applyBorder="1" applyAlignment="1">
      <alignment horizontal="left" vertical="center"/>
    </xf>
    <xf numFmtId="0" fontId="13" fillId="0" borderId="48" xfId="8" applyFont="1" applyBorder="1" applyAlignment="1">
      <alignment horizontal="left" vertical="center"/>
    </xf>
    <xf numFmtId="0" fontId="13" fillId="0" borderId="84" xfId="43" applyFont="1" applyBorder="1" applyAlignment="1">
      <alignment horizontal="center" vertical="center"/>
    </xf>
    <xf numFmtId="0" fontId="13" fillId="0" borderId="81" xfId="43" applyFont="1" applyBorder="1" applyAlignment="1">
      <alignment horizontal="center" vertical="center"/>
    </xf>
    <xf numFmtId="164" fontId="30" fillId="0" borderId="74" xfId="42" applyFont="1" applyBorder="1" applyAlignment="1">
      <alignment horizontal="center" vertical="center"/>
    </xf>
    <xf numFmtId="164" fontId="30" fillId="0" borderId="77" xfId="42" applyFont="1" applyBorder="1" applyAlignment="1">
      <alignment horizontal="left" vertical="center"/>
    </xf>
    <xf numFmtId="0" fontId="19" fillId="0" borderId="1" xfId="40" applyFont="1" applyBorder="1" applyAlignment="1">
      <alignment horizontal="center" vertical="center"/>
    </xf>
    <xf numFmtId="0" fontId="19" fillId="0" borderId="1" xfId="40" applyFont="1" applyBorder="1" applyAlignment="1">
      <alignment vertical="center"/>
    </xf>
    <xf numFmtId="38" fontId="19" fillId="0" borderId="1" xfId="1" applyNumberFormat="1" applyFont="1" applyFill="1" applyBorder="1" applyAlignment="1">
      <alignment horizontal="right" vertical="center"/>
    </xf>
    <xf numFmtId="166" fontId="13" fillId="0" borderId="90" xfId="11" applyFont="1" applyBorder="1" applyAlignment="1" applyProtection="1">
      <alignment horizontal="center" vertical="center"/>
      <protection locked="0"/>
    </xf>
    <xf numFmtId="0" fontId="13" fillId="0" borderId="83" xfId="8" applyFont="1" applyBorder="1" applyAlignment="1">
      <alignment vertical="center"/>
    </xf>
    <xf numFmtId="0" fontId="13" fillId="0" borderId="82" xfId="8" applyFont="1" applyBorder="1" applyAlignment="1">
      <alignment vertical="center"/>
    </xf>
    <xf numFmtId="38" fontId="16" fillId="0" borderId="94" xfId="1" applyNumberFormat="1" applyFont="1" applyFill="1" applyBorder="1" applyAlignment="1">
      <alignment vertical="center"/>
    </xf>
    <xf numFmtId="38" fontId="16" fillId="0" borderId="95" xfId="1" applyNumberFormat="1" applyFont="1" applyFill="1" applyBorder="1" applyAlignment="1">
      <alignment vertical="center"/>
    </xf>
    <xf numFmtId="0" fontId="44" fillId="0" borderId="0" xfId="40" applyFont="1" applyAlignment="1">
      <alignment horizontal="center" vertical="center"/>
    </xf>
    <xf numFmtId="0" fontId="44" fillId="0" borderId="0" xfId="40" applyFont="1" applyAlignment="1">
      <alignment vertical="center"/>
    </xf>
    <xf numFmtId="0" fontId="44" fillId="0" borderId="0" xfId="40" applyFont="1" applyAlignment="1">
      <alignment horizontal="centerContinuous" vertical="center"/>
    </xf>
    <xf numFmtId="38" fontId="44" fillId="0" borderId="0" xfId="1" applyNumberFormat="1" applyFont="1" applyAlignment="1">
      <alignment horizontal="right" vertical="center"/>
    </xf>
    <xf numFmtId="38" fontId="44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8" xfId="0" applyFont="1" applyBorder="1" applyAlignment="1">
      <alignment vertical="center"/>
    </xf>
    <xf numFmtId="0" fontId="28" fillId="4" borderId="5" xfId="0" quotePrefix="1" applyFont="1" applyFill="1" applyBorder="1" applyAlignment="1">
      <alignment horizontal="center" vertical="center"/>
    </xf>
    <xf numFmtId="0" fontId="28" fillId="4" borderId="19" xfId="0" quotePrefix="1" applyFont="1" applyFill="1" applyBorder="1" applyAlignment="1">
      <alignment horizontal="center" vertical="center"/>
    </xf>
    <xf numFmtId="0" fontId="28" fillId="4" borderId="96" xfId="0" quotePrefix="1" applyFont="1" applyFill="1" applyBorder="1" applyAlignment="1">
      <alignment horizontal="center" vertical="center"/>
    </xf>
    <xf numFmtId="0" fontId="28" fillId="4" borderId="97" xfId="0" quotePrefix="1" applyFont="1" applyFill="1" applyBorder="1" applyAlignment="1">
      <alignment horizontal="center" vertical="center"/>
    </xf>
    <xf numFmtId="4" fontId="28" fillId="4" borderId="98" xfId="0" quotePrefix="1" applyNumberFormat="1" applyFont="1" applyFill="1" applyBorder="1" applyAlignment="1">
      <alignment horizontal="center" vertical="center"/>
    </xf>
    <xf numFmtId="4" fontId="28" fillId="4" borderId="97" xfId="0" quotePrefix="1" applyNumberFormat="1" applyFont="1" applyFill="1" applyBorder="1" applyAlignment="1">
      <alignment horizontal="center" vertical="center"/>
    </xf>
    <xf numFmtId="4" fontId="28" fillId="4" borderId="99" xfId="0" quotePrefix="1" applyNumberFormat="1" applyFont="1" applyFill="1" applyBorder="1" applyAlignment="1">
      <alignment horizontal="center" vertical="center"/>
    </xf>
    <xf numFmtId="4" fontId="28" fillId="4" borderId="7" xfId="0" quotePrefix="1" applyNumberFormat="1" applyFont="1" applyFill="1" applyBorder="1" applyAlignment="1">
      <alignment horizontal="center" vertical="center"/>
    </xf>
    <xf numFmtId="4" fontId="28" fillId="4" borderId="100" xfId="0" quotePrefix="1" applyNumberFormat="1" applyFont="1" applyFill="1" applyBorder="1" applyAlignment="1">
      <alignment horizontal="center" vertical="center"/>
    </xf>
    <xf numFmtId="0" fontId="45" fillId="0" borderId="0" xfId="33" applyFont="1" applyAlignment="1">
      <alignment vertical="center"/>
    </xf>
    <xf numFmtId="4" fontId="28" fillId="4" borderId="23" xfId="15" applyNumberFormat="1" applyFont="1" applyFill="1" applyBorder="1">
      <alignment horizontal="center" vertical="center" wrapText="1"/>
    </xf>
    <xf numFmtId="4" fontId="28" fillId="4" borderId="24" xfId="15" applyNumberFormat="1" applyFont="1" applyFill="1" applyBorder="1">
      <alignment horizontal="center" vertical="center" wrapText="1"/>
    </xf>
    <xf numFmtId="4" fontId="28" fillId="4" borderId="6" xfId="15" applyNumberFormat="1" applyFont="1" applyFill="1" applyBorder="1">
      <alignment horizontal="center" vertical="center" wrapText="1"/>
    </xf>
    <xf numFmtId="4" fontId="28" fillId="4" borderId="25" xfId="15" quotePrefix="1" applyNumberFormat="1" applyFont="1" applyFill="1" applyBorder="1">
      <alignment horizontal="center" vertical="center" wrapText="1"/>
    </xf>
    <xf numFmtId="4" fontId="28" fillId="4" borderId="28" xfId="15" quotePrefix="1" applyNumberFormat="1" applyFont="1" applyFill="1" applyBorder="1">
      <alignment horizontal="center" vertical="center" wrapText="1"/>
    </xf>
    <xf numFmtId="4" fontId="28" fillId="4" borderId="27" xfId="15" quotePrefix="1" applyNumberFormat="1" applyFont="1" applyFill="1" applyBorder="1">
      <alignment horizontal="center" vertical="center" wrapText="1"/>
    </xf>
    <xf numFmtId="0" fontId="28" fillId="4" borderId="3" xfId="15" applyFont="1" applyFill="1" applyBorder="1" applyAlignment="1">
      <alignment horizontal="left" vertical="center" wrapText="1"/>
    </xf>
    <xf numFmtId="0" fontId="28" fillId="4" borderId="21" xfId="0" applyFont="1" applyFill="1" applyBorder="1" applyAlignment="1">
      <alignment vertical="center"/>
    </xf>
    <xf numFmtId="0" fontId="28" fillId="4" borderId="8" xfId="15" applyFont="1" applyFill="1" applyBorder="1">
      <alignment horizontal="center" vertical="center" wrapText="1"/>
    </xf>
    <xf numFmtId="0" fontId="28" fillId="4" borderId="14" xfId="15" applyFont="1" applyFill="1" applyBorder="1">
      <alignment horizontal="center" vertical="center" wrapText="1"/>
    </xf>
    <xf numFmtId="4" fontId="28" fillId="4" borderId="3" xfId="15" applyNumberFormat="1" applyFont="1" applyFill="1" applyBorder="1">
      <alignment horizontal="center" vertical="center" wrapText="1"/>
    </xf>
    <xf numFmtId="4" fontId="28" fillId="4" borderId="14" xfId="15" quotePrefix="1" applyNumberFormat="1" applyFont="1" applyFill="1" applyBorder="1">
      <alignment horizontal="center" vertical="center" wrapText="1"/>
    </xf>
    <xf numFmtId="4" fontId="28" fillId="4" borderId="20" xfId="15" quotePrefix="1" applyNumberFormat="1" applyFont="1" applyFill="1" applyBorder="1">
      <alignment horizontal="center" vertical="center" wrapText="1"/>
    </xf>
    <xf numFmtId="4" fontId="28" fillId="4" borderId="4" xfId="15" quotePrefix="1" applyNumberFormat="1" applyFont="1" applyFill="1" applyBorder="1">
      <alignment horizontal="center" vertical="center" wrapText="1"/>
    </xf>
    <xf numFmtId="4" fontId="28" fillId="4" borderId="21" xfId="15" quotePrefix="1" applyNumberFormat="1" applyFont="1" applyFill="1" applyBorder="1">
      <alignment horizontal="center" vertical="center" wrapText="1"/>
    </xf>
    <xf numFmtId="4" fontId="12" fillId="0" borderId="14" xfId="0" applyNumberFormat="1" applyFont="1" applyBorder="1" applyAlignment="1">
      <alignment vertical="center"/>
    </xf>
    <xf numFmtId="4" fontId="12" fillId="0" borderId="21" xfId="0" applyNumberFormat="1" applyFont="1" applyBorder="1" applyAlignment="1">
      <alignment vertical="center"/>
    </xf>
    <xf numFmtId="4" fontId="12" fillId="0" borderId="26" xfId="0" applyNumberFormat="1" applyFont="1" applyBorder="1" applyAlignment="1">
      <alignment vertical="center"/>
    </xf>
    <xf numFmtId="4" fontId="12" fillId="0" borderId="30" xfId="0" applyNumberFormat="1" applyFont="1" applyBorder="1" applyAlignment="1">
      <alignment vertical="center"/>
    </xf>
    <xf numFmtId="166" fontId="13" fillId="0" borderId="3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102" xfId="1" applyNumberFormat="1" applyFont="1" applyBorder="1" applyAlignment="1">
      <alignment vertical="center"/>
    </xf>
    <xf numFmtId="38" fontId="15" fillId="0" borderId="4" xfId="1" applyNumberFormat="1" applyFont="1" applyBorder="1" applyAlignment="1">
      <alignment vertical="center"/>
    </xf>
    <xf numFmtId="38" fontId="15" fillId="0" borderId="13" xfId="1" applyNumberFormat="1" applyFont="1" applyBorder="1" applyAlignment="1">
      <alignment vertical="center"/>
    </xf>
    <xf numFmtId="38" fontId="16" fillId="0" borderId="4" xfId="1" applyNumberFormat="1" applyFont="1" applyFill="1" applyBorder="1" applyAlignment="1">
      <alignment horizontal="right" vertical="center"/>
    </xf>
    <xf numFmtId="0" fontId="13" fillId="0" borderId="21" xfId="0" applyFont="1" applyBorder="1" applyAlignment="1">
      <alignment horizontal="left" vertical="center" wrapText="1"/>
    </xf>
    <xf numFmtId="0" fontId="14" fillId="0" borderId="27" xfId="8" applyFont="1" applyBorder="1" applyAlignment="1">
      <alignment horizontal="center" vertical="center"/>
    </xf>
    <xf numFmtId="0" fontId="14" fillId="0" borderId="6" xfId="8" applyFont="1" applyBorder="1" applyAlignment="1">
      <alignment horizontal="right" vertical="center"/>
    </xf>
    <xf numFmtId="0" fontId="15" fillId="0" borderId="13" xfId="8" applyFont="1" applyBorder="1" applyAlignment="1">
      <alignment vertical="center"/>
    </xf>
    <xf numFmtId="0" fontId="15" fillId="0" borderId="26" xfId="8" applyFont="1" applyBorder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46" fillId="0" borderId="21" xfId="0" applyFont="1" applyBorder="1" applyAlignment="1">
      <alignment horizontal="center" vertical="center"/>
    </xf>
    <xf numFmtId="38" fontId="46" fillId="0" borderId="21" xfId="1" applyNumberFormat="1" applyFont="1" applyFill="1" applyBorder="1" applyAlignment="1">
      <alignment horizontal="right" vertical="center"/>
    </xf>
    <xf numFmtId="38" fontId="46" fillId="0" borderId="21" xfId="0" applyNumberFormat="1" applyFont="1" applyBorder="1" applyAlignment="1">
      <alignment horizontal="right" vertical="center"/>
    </xf>
    <xf numFmtId="38" fontId="46" fillId="0" borderId="26" xfId="1" applyNumberFormat="1" applyFont="1" applyFill="1" applyBorder="1" applyAlignment="1">
      <alignment horizontal="right" vertical="center"/>
    </xf>
    <xf numFmtId="38" fontId="46" fillId="0" borderId="30" xfId="1" applyNumberFormat="1" applyFont="1" applyFill="1" applyBorder="1" applyAlignment="1">
      <alignment horizontal="right" vertical="center"/>
    </xf>
    <xf numFmtId="0" fontId="13" fillId="0" borderId="8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21" xfId="8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6" xfId="0" applyBorder="1" applyAlignment="1">
      <alignment vertical="center"/>
    </xf>
    <xf numFmtId="0" fontId="46" fillId="0" borderId="30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166" fontId="16" fillId="0" borderId="3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/>
    </xf>
    <xf numFmtId="38" fontId="13" fillId="0" borderId="21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41" fontId="13" fillId="0" borderId="21" xfId="1" applyNumberFormat="1" applyFont="1" applyFill="1" applyBorder="1" applyAlignment="1">
      <alignment horizontal="right" vertical="center"/>
    </xf>
    <xf numFmtId="41" fontId="13" fillId="0" borderId="22" xfId="1" applyNumberFormat="1" applyFont="1" applyFill="1" applyBorder="1" applyAlignment="1">
      <alignment horizontal="right" vertical="center"/>
    </xf>
    <xf numFmtId="38" fontId="13" fillId="0" borderId="8" xfId="0" applyNumberFormat="1" applyFont="1" applyBorder="1" applyAlignment="1">
      <alignment horizontal="center" vertical="center"/>
    </xf>
    <xf numFmtId="38" fontId="13" fillId="0" borderId="8" xfId="1" applyNumberFormat="1" applyFont="1" applyFill="1" applyBorder="1" applyAlignment="1">
      <alignment horizontal="center" vertical="center"/>
    </xf>
    <xf numFmtId="0" fontId="15" fillId="0" borderId="4" xfId="8" applyFont="1" applyBorder="1" applyAlignment="1">
      <alignment vertical="center"/>
    </xf>
    <xf numFmtId="38" fontId="16" fillId="0" borderId="4" xfId="2" applyFont="1" applyFill="1" applyBorder="1" applyAlignment="1">
      <alignment horizontal="right" vertical="center"/>
    </xf>
    <xf numFmtId="0" fontId="16" fillId="0" borderId="14" xfId="8" applyFont="1" applyBorder="1" applyAlignment="1">
      <alignment horizontal="left" vertical="center"/>
    </xf>
    <xf numFmtId="3" fontId="16" fillId="0" borderId="21" xfId="14" applyNumberFormat="1" applyFont="1" applyBorder="1" applyAlignment="1">
      <alignment horizontal="center" vertical="center"/>
    </xf>
    <xf numFmtId="0" fontId="16" fillId="0" borderId="21" xfId="14" applyFont="1" applyBorder="1" applyAlignment="1">
      <alignment horizontal="center" vertical="center"/>
    </xf>
    <xf numFmtId="38" fontId="16" fillId="0" borderId="21" xfId="1" applyNumberFormat="1" applyFont="1" applyFill="1" applyBorder="1" applyAlignment="1">
      <alignment horizontal="right" vertical="center"/>
    </xf>
    <xf numFmtId="38" fontId="16" fillId="0" borderId="22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8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41" fontId="13" fillId="0" borderId="4" xfId="1" applyNumberFormat="1" applyFont="1" applyFill="1" applyBorder="1" applyAlignment="1">
      <alignment horizontal="right" vertical="center"/>
    </xf>
    <xf numFmtId="41" fontId="13" fillId="0" borderId="13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38" fontId="3" fillId="0" borderId="21" xfId="1" applyNumberFormat="1" applyFont="1" applyBorder="1" applyAlignment="1">
      <alignment vertical="center"/>
    </xf>
    <xf numFmtId="38" fontId="3" fillId="0" borderId="26" xfId="1" applyNumberFormat="1" applyFont="1" applyBorder="1" applyAlignment="1">
      <alignment vertical="center"/>
    </xf>
    <xf numFmtId="38" fontId="46" fillId="0" borderId="30" xfId="1" applyNumberFormat="1" applyFont="1" applyBorder="1" applyAlignment="1">
      <alignment vertical="center"/>
    </xf>
    <xf numFmtId="0" fontId="46" fillId="0" borderId="21" xfId="0" quotePrefix="1" applyFont="1" applyBorder="1" applyAlignment="1">
      <alignment horizontal="center" vertical="center"/>
    </xf>
    <xf numFmtId="0" fontId="46" fillId="0" borderId="21" xfId="0" applyFont="1" applyBorder="1" applyAlignment="1">
      <alignment horizontal="centerContinuous" vertical="center"/>
    </xf>
    <xf numFmtId="0" fontId="16" fillId="0" borderId="14" xfId="0" applyFont="1" applyBorder="1" applyAlignment="1">
      <alignment vertical="center"/>
    </xf>
    <xf numFmtId="38" fontId="16" fillId="0" borderId="21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38" fontId="15" fillId="0" borderId="21" xfId="1" applyNumberFormat="1" applyFont="1" applyFill="1" applyBorder="1" applyAlignment="1">
      <alignment horizontal="right" vertical="center"/>
    </xf>
    <xf numFmtId="0" fontId="16" fillId="0" borderId="22" xfId="0" applyFont="1" applyBorder="1" applyAlignment="1">
      <alignment vertical="center"/>
    </xf>
    <xf numFmtId="0" fontId="46" fillId="0" borderId="0" xfId="0" applyFont="1" applyAlignment="1">
      <alignment vertical="center"/>
    </xf>
    <xf numFmtId="166" fontId="13" fillId="0" borderId="23" xfId="0" applyNumberFormat="1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66" fontId="12" fillId="3" borderId="3" xfId="0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left" vertical="center"/>
    </xf>
    <xf numFmtId="0" fontId="0" fillId="3" borderId="21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46" fillId="3" borderId="30" xfId="0" applyFont="1" applyFill="1" applyBorder="1" applyAlignment="1">
      <alignment vertical="center"/>
    </xf>
    <xf numFmtId="0" fontId="46" fillId="3" borderId="0" xfId="0" applyFont="1" applyFill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6" fontId="13" fillId="3" borderId="3" xfId="0" applyNumberFormat="1" applyFont="1" applyFill="1" applyBorder="1" applyAlignment="1">
      <alignment horizontal="center" vertical="center"/>
    </xf>
    <xf numFmtId="38" fontId="15" fillId="0" borderId="18" xfId="1" applyNumberFormat="1" applyFont="1" applyBorder="1" applyAlignment="1">
      <alignment vertical="center"/>
    </xf>
    <xf numFmtId="38" fontId="15" fillId="0" borderId="35" xfId="1" applyNumberFormat="1" applyFont="1" applyBorder="1" applyAlignment="1">
      <alignment vertical="center"/>
    </xf>
    <xf numFmtId="0" fontId="15" fillId="0" borderId="18" xfId="8" applyFont="1" applyBorder="1" applyAlignment="1">
      <alignment vertical="center"/>
    </xf>
    <xf numFmtId="38" fontId="43" fillId="5" borderId="36" xfId="2" applyFont="1" applyFill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Continuous" vertical="center"/>
    </xf>
    <xf numFmtId="38" fontId="46" fillId="0" borderId="0" xfId="1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horizontal="right" vertical="center"/>
    </xf>
    <xf numFmtId="38" fontId="46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38" fontId="4" fillId="0" borderId="0" xfId="0" applyNumberFormat="1" applyFont="1" applyAlignment="1">
      <alignment horizontal="right" vertical="center"/>
    </xf>
    <xf numFmtId="0" fontId="49" fillId="0" borderId="103" xfId="45" applyFont="1" applyBorder="1" applyAlignment="1">
      <alignment horizontal="left" wrapText="1"/>
    </xf>
    <xf numFmtId="1" fontId="49" fillId="0" borderId="103" xfId="45" applyNumberFormat="1" applyFont="1" applyBorder="1" applyAlignment="1">
      <alignment horizontal="center" vertical="center" shrinkToFit="1"/>
    </xf>
    <xf numFmtId="165" fontId="49" fillId="0" borderId="103" xfId="46" applyNumberFormat="1" applyFont="1" applyFill="1" applyBorder="1" applyAlignment="1">
      <alignment horizontal="left" wrapText="1"/>
    </xf>
    <xf numFmtId="165" fontId="49" fillId="0" borderId="103" xfId="46" applyNumberFormat="1" applyFont="1" applyFill="1" applyBorder="1" applyAlignment="1">
      <alignment horizontal="left" vertical="center" wrapText="1"/>
    </xf>
    <xf numFmtId="165" fontId="53" fillId="0" borderId="0" xfId="46" applyNumberFormat="1" applyFont="1" applyFill="1" applyBorder="1" applyAlignment="1">
      <alignment horizontal="right" vertical="center"/>
    </xf>
    <xf numFmtId="165" fontId="53" fillId="0" borderId="0" xfId="46" applyNumberFormat="1" applyFont="1" applyFill="1" applyBorder="1" applyAlignment="1">
      <alignment horizontal="right" vertical="center" wrapText="1"/>
    </xf>
    <xf numFmtId="0" fontId="52" fillId="6" borderId="86" xfId="45" applyFont="1" applyFill="1" applyBorder="1" applyAlignment="1">
      <alignment horizontal="center" vertical="center" wrapText="1"/>
    </xf>
    <xf numFmtId="0" fontId="49" fillId="6" borderId="86" xfId="45" applyFont="1" applyFill="1" applyBorder="1" applyAlignment="1">
      <alignment horizontal="center" vertical="center" wrapText="1"/>
    </xf>
    <xf numFmtId="165" fontId="52" fillId="6" borderId="86" xfId="46" applyNumberFormat="1" applyFont="1" applyFill="1" applyBorder="1" applyAlignment="1">
      <alignment horizontal="center" vertical="center" wrapText="1"/>
    </xf>
    <xf numFmtId="0" fontId="49" fillId="0" borderId="105" xfId="45" applyFont="1" applyBorder="1" applyAlignment="1">
      <alignment horizontal="left" wrapText="1"/>
    </xf>
    <xf numFmtId="0" fontId="49" fillId="0" borderId="106" xfId="45" applyFont="1" applyBorder="1" applyAlignment="1">
      <alignment horizontal="left" wrapText="1"/>
    </xf>
    <xf numFmtId="165" fontId="49" fillId="0" borderId="105" xfId="46" applyNumberFormat="1" applyFont="1" applyFill="1" applyBorder="1" applyAlignment="1">
      <alignment horizontal="left" wrapText="1"/>
    </xf>
    <xf numFmtId="0" fontId="4" fillId="0" borderId="104" xfId="45" applyFont="1" applyBorder="1" applyAlignment="1">
      <alignment vertical="center" wrapText="1"/>
    </xf>
    <xf numFmtId="0" fontId="49" fillId="0" borderId="104" xfId="45" applyFont="1" applyBorder="1" applyAlignment="1">
      <alignment horizontal="left" wrapText="1"/>
    </xf>
    <xf numFmtId="0" fontId="49" fillId="0" borderId="109" xfId="45" applyFont="1" applyBorder="1" applyAlignment="1">
      <alignment wrapText="1"/>
    </xf>
    <xf numFmtId="0" fontId="49" fillId="0" borderId="108" xfId="45" applyFont="1" applyBorder="1" applyAlignment="1">
      <alignment wrapText="1"/>
    </xf>
    <xf numFmtId="165" fontId="49" fillId="0" borderId="110" xfId="46" applyNumberFormat="1" applyFont="1" applyFill="1" applyBorder="1" applyAlignment="1">
      <alignment wrapText="1"/>
    </xf>
    <xf numFmtId="0" fontId="4" fillId="0" borderId="0" xfId="45" applyFont="1" applyAlignment="1">
      <alignment horizontal="left" vertical="center" wrapText="1"/>
    </xf>
    <xf numFmtId="3" fontId="4" fillId="0" borderId="104" xfId="45" applyNumberFormat="1" applyFont="1" applyBorder="1" applyAlignment="1">
      <alignment vertical="center" wrapText="1"/>
    </xf>
    <xf numFmtId="38" fontId="4" fillId="0" borderId="104" xfId="45" applyNumberFormat="1" applyFont="1" applyBorder="1" applyAlignment="1">
      <alignment vertical="center" wrapText="1"/>
    </xf>
    <xf numFmtId="0" fontId="55" fillId="7" borderId="107" xfId="45" applyFont="1" applyFill="1" applyBorder="1" applyAlignment="1">
      <alignment vertical="center" wrapText="1"/>
    </xf>
    <xf numFmtId="0" fontId="50" fillId="7" borderId="111" xfId="45" applyFont="1" applyFill="1" applyBorder="1" applyAlignment="1">
      <alignment horizontal="center" vertical="center" wrapText="1"/>
    </xf>
    <xf numFmtId="0" fontId="51" fillId="7" borderId="111" xfId="45" applyFont="1" applyFill="1" applyBorder="1" applyAlignment="1">
      <alignment horizontal="center" vertical="center" wrapText="1"/>
    </xf>
    <xf numFmtId="165" fontId="50" fillId="7" borderId="112" xfId="46" applyNumberFormat="1" applyFont="1" applyFill="1" applyBorder="1" applyAlignment="1">
      <alignment horizontal="left" vertical="center" wrapText="1"/>
    </xf>
    <xf numFmtId="0" fontId="56" fillId="0" borderId="0" xfId="0" applyFont="1" applyAlignment="1">
      <alignment vertical="center"/>
    </xf>
    <xf numFmtId="38" fontId="15" fillId="0" borderId="9" xfId="8" applyNumberFormat="1" applyFont="1" applyBorder="1" applyAlignment="1">
      <alignment vertical="center"/>
    </xf>
    <xf numFmtId="41" fontId="15" fillId="0" borderId="9" xfId="8" applyNumberFormat="1" applyFont="1" applyBorder="1" applyAlignment="1">
      <alignment vertical="center"/>
    </xf>
    <xf numFmtId="165" fontId="49" fillId="0" borderId="0" xfId="46" applyNumberFormat="1" applyFont="1" applyFill="1" applyBorder="1" applyAlignment="1">
      <alignment horizontal="left" wrapText="1"/>
    </xf>
    <xf numFmtId="165" fontId="49" fillId="0" borderId="0" xfId="46" applyNumberFormat="1" applyFont="1" applyFill="1" applyBorder="1" applyAlignment="1">
      <alignment horizontal="left" vertical="center" wrapText="1"/>
    </xf>
    <xf numFmtId="165" fontId="49" fillId="0" borderId="0" xfId="46" applyNumberFormat="1" applyFont="1" applyFill="1" applyBorder="1" applyAlignment="1">
      <alignment wrapText="1"/>
    </xf>
    <xf numFmtId="10" fontId="12" fillId="0" borderId="0" xfId="49" applyNumberFormat="1" applyFont="1" applyAlignment="1">
      <alignment vertical="center"/>
    </xf>
    <xf numFmtId="0" fontId="54" fillId="0" borderId="0" xfId="45" applyFont="1" applyAlignment="1">
      <alignment horizontal="center" vertical="center"/>
    </xf>
    <xf numFmtId="165" fontId="52" fillId="0" borderId="0" xfId="46" applyNumberFormat="1" applyFont="1" applyFill="1" applyBorder="1" applyAlignment="1">
      <alignment horizontal="center" vertical="center" wrapText="1"/>
    </xf>
    <xf numFmtId="165" fontId="50" fillId="0" borderId="0" xfId="46" applyNumberFormat="1" applyFont="1" applyFill="1" applyBorder="1" applyAlignment="1">
      <alignment horizontal="left" vertical="center" wrapText="1"/>
    </xf>
    <xf numFmtId="10" fontId="8" fillId="0" borderId="0" xfId="49" applyNumberFormat="1" applyFont="1" applyAlignment="1">
      <alignment vertical="center"/>
    </xf>
    <xf numFmtId="9" fontId="49" fillId="0" borderId="103" xfId="49" applyFont="1" applyFill="1" applyBorder="1" applyAlignment="1">
      <alignment horizontal="center" vertical="center" wrapText="1"/>
    </xf>
    <xf numFmtId="43" fontId="12" fillId="0" borderId="0" xfId="0" applyNumberFormat="1" applyFont="1" applyAlignment="1">
      <alignment vertical="center"/>
    </xf>
    <xf numFmtId="0" fontId="50" fillId="0" borderId="0" xfId="45" applyFont="1" applyAlignment="1">
      <alignment horizontal="left" vertical="center" wrapText="1"/>
    </xf>
    <xf numFmtId="0" fontId="4" fillId="0" borderId="0" xfId="45" applyFont="1" applyAlignment="1">
      <alignment horizontal="left" vertical="center" wrapText="1"/>
    </xf>
    <xf numFmtId="0" fontId="54" fillId="0" borderId="0" xfId="45" applyFont="1" applyAlignment="1">
      <alignment horizontal="center" vertical="center"/>
    </xf>
    <xf numFmtId="38" fontId="15" fillId="0" borderId="33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52" xfId="34" applyFont="1" applyFill="1" applyBorder="1" applyAlignment="1">
      <alignment horizontal="right" vertical="center"/>
    </xf>
    <xf numFmtId="0" fontId="17" fillId="2" borderId="14" xfId="15" applyFont="1" applyFill="1" applyBorder="1" applyAlignment="1">
      <alignment horizontal="center" vertical="center"/>
    </xf>
    <xf numFmtId="0" fontId="17" fillId="2" borderId="21" xfId="15" applyFont="1" applyFill="1" applyBorder="1" applyAlignment="1">
      <alignment horizontal="center" vertical="center"/>
    </xf>
    <xf numFmtId="0" fontId="17" fillId="2" borderId="48" xfId="15" applyFont="1" applyFill="1" applyBorder="1" applyAlignment="1">
      <alignment horizontal="center" vertical="center"/>
    </xf>
    <xf numFmtId="38" fontId="15" fillId="0" borderId="20" xfId="34" applyFont="1" applyFill="1" applyBorder="1" applyAlignment="1">
      <alignment horizontal="right" vertical="center"/>
    </xf>
    <xf numFmtId="38" fontId="15" fillId="0" borderId="21" xfId="34" applyFont="1" applyFill="1" applyBorder="1" applyAlignment="1">
      <alignment horizontal="right" vertical="center"/>
    </xf>
    <xf numFmtId="38" fontId="15" fillId="0" borderId="22" xfId="34" applyFont="1" applyFill="1" applyBorder="1" applyAlignment="1">
      <alignment horizontal="right" vertical="center"/>
    </xf>
    <xf numFmtId="38" fontId="15" fillId="0" borderId="49" xfId="34" applyFont="1" applyFill="1" applyBorder="1" applyAlignment="1">
      <alignment horizontal="right" vertical="center"/>
    </xf>
    <xf numFmtId="38" fontId="15" fillId="0" borderId="32" xfId="34" applyFont="1" applyFill="1" applyBorder="1" applyAlignment="1">
      <alignment horizontal="right" vertical="center"/>
    </xf>
    <xf numFmtId="38" fontId="15" fillId="0" borderId="54" xfId="34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2" borderId="37" xfId="0" quotePrefix="1" applyFont="1" applyFill="1" applyBorder="1" applyAlignment="1">
      <alignment horizontal="center" vertical="center"/>
    </xf>
    <xf numFmtId="0" fontId="17" fillId="2" borderId="19" xfId="0" quotePrefix="1" applyFont="1" applyFill="1" applyBorder="1" applyAlignment="1">
      <alignment horizontal="center" vertical="center"/>
    </xf>
    <xf numFmtId="0" fontId="17" fillId="2" borderId="12" xfId="0" quotePrefix="1" applyFont="1" applyFill="1" applyBorder="1" applyAlignment="1">
      <alignment horizontal="center" vertical="center"/>
    </xf>
    <xf numFmtId="0" fontId="17" fillId="2" borderId="23" xfId="15" applyFont="1" applyFill="1" applyBorder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7" fillId="2" borderId="24" xfId="15" applyFont="1" applyFill="1" applyBorder="1" applyAlignment="1">
      <alignment horizontal="center" vertical="center"/>
    </xf>
    <xf numFmtId="0" fontId="17" fillId="2" borderId="32" xfId="15" applyFont="1" applyFill="1" applyBorder="1" applyAlignment="1">
      <alignment horizontal="center" vertical="center"/>
    </xf>
    <xf numFmtId="0" fontId="17" fillId="2" borderId="40" xfId="15" applyFont="1" applyFill="1" applyBorder="1" applyAlignment="1">
      <alignment horizontal="center" vertical="center"/>
    </xf>
    <xf numFmtId="0" fontId="17" fillId="2" borderId="42" xfId="15" applyFont="1" applyFill="1" applyBorder="1" applyAlignment="1">
      <alignment horizontal="center" vertical="center"/>
    </xf>
    <xf numFmtId="0" fontId="17" fillId="2" borderId="0" xfId="15" applyFont="1" applyFill="1" applyAlignment="1">
      <alignment horizontal="center" vertical="center"/>
    </xf>
    <xf numFmtId="0" fontId="17" fillId="2" borderId="43" xfId="15" applyFont="1" applyFill="1" applyBorder="1" applyAlignment="1">
      <alignment horizontal="center" vertical="center"/>
    </xf>
    <xf numFmtId="0" fontId="17" fillId="2" borderId="28" xfId="15" applyFont="1" applyFill="1" applyBorder="1" applyAlignment="1">
      <alignment horizontal="center" vertical="center"/>
    </xf>
    <xf numFmtId="0" fontId="17" fillId="2" borderId="26" xfId="15" applyFont="1" applyFill="1" applyBorder="1" applyAlignment="1">
      <alignment horizontal="center" vertical="center"/>
    </xf>
    <xf numFmtId="0" fontId="17" fillId="2" borderId="45" xfId="15" applyFont="1" applyFill="1" applyBorder="1" applyAlignment="1">
      <alignment horizontal="center" vertical="center"/>
    </xf>
    <xf numFmtId="0" fontId="17" fillId="2" borderId="11" xfId="15" applyFont="1" applyFill="1" applyBorder="1">
      <alignment horizontal="center" vertical="center" wrapText="1"/>
    </xf>
    <xf numFmtId="0" fontId="17" fillId="2" borderId="10" xfId="15" applyFont="1" applyFill="1" applyBorder="1">
      <alignment horizontal="center" vertical="center" wrapText="1"/>
    </xf>
    <xf numFmtId="0" fontId="17" fillId="2" borderId="46" xfId="15" applyFont="1" applyFill="1" applyBorder="1">
      <alignment horizontal="center" vertical="center" wrapText="1"/>
    </xf>
    <xf numFmtId="0" fontId="17" fillId="2" borderId="41" xfId="15" applyFont="1" applyFill="1" applyBorder="1" applyAlignment="1">
      <alignment horizontal="center" vertical="center"/>
    </xf>
    <xf numFmtId="0" fontId="17" fillId="2" borderId="44" xfId="15" applyFont="1" applyFill="1" applyBorder="1" applyAlignment="1">
      <alignment horizontal="center" vertical="center"/>
    </xf>
    <xf numFmtId="0" fontId="17" fillId="2" borderId="47" xfId="15" applyFont="1" applyFill="1" applyBorder="1" applyAlignment="1">
      <alignment horizontal="center" vertical="center"/>
    </xf>
    <xf numFmtId="0" fontId="17" fillId="2" borderId="20" xfId="15" applyFont="1" applyFill="1" applyBorder="1">
      <alignment horizontal="center" vertical="center" wrapText="1"/>
    </xf>
    <xf numFmtId="0" fontId="17" fillId="2" borderId="22" xfId="15" applyFont="1" applyFill="1" applyBorder="1">
      <alignment horizontal="center" vertical="center" wrapText="1"/>
    </xf>
    <xf numFmtId="0" fontId="15" fillId="0" borderId="20" xfId="8" applyFont="1" applyBorder="1" applyAlignment="1">
      <alignment horizontal="right" vertical="center"/>
    </xf>
    <xf numFmtId="0" fontId="15" fillId="0" borderId="21" xfId="8" applyFont="1" applyBorder="1" applyAlignment="1">
      <alignment horizontal="right" vertical="center"/>
    </xf>
    <xf numFmtId="0" fontId="15" fillId="0" borderId="33" xfId="8" applyFont="1" applyBorder="1" applyAlignment="1">
      <alignment horizontal="right" vertical="center"/>
    </xf>
    <xf numFmtId="0" fontId="15" fillId="0" borderId="34" xfId="8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8" fillId="4" borderId="17" xfId="15" applyFont="1" applyFill="1" applyBorder="1">
      <alignment horizontal="center" vertical="center" wrapText="1"/>
    </xf>
    <xf numFmtId="0" fontId="28" fillId="4" borderId="25" xfId="15" applyFont="1" applyFill="1" applyBorder="1">
      <alignment horizontal="center" vertical="center" wrapText="1"/>
    </xf>
    <xf numFmtId="0" fontId="28" fillId="4" borderId="0" xfId="15" applyFont="1" applyFill="1">
      <alignment horizontal="center" vertical="center" wrapText="1"/>
    </xf>
    <xf numFmtId="0" fontId="28" fillId="4" borderId="26" xfId="15" applyFont="1" applyFill="1" applyBorder="1">
      <alignment horizontal="center" vertical="center" wrapText="1"/>
    </xf>
    <xf numFmtId="0" fontId="28" fillId="4" borderId="58" xfId="15" applyFont="1" applyFill="1" applyBorder="1">
      <alignment horizontal="center" vertical="center" wrapText="1"/>
    </xf>
    <xf numFmtId="0" fontId="28" fillId="4" borderId="15" xfId="15" applyFont="1" applyFill="1" applyBorder="1">
      <alignment horizontal="center" vertical="center" wrapText="1"/>
    </xf>
    <xf numFmtId="0" fontId="28" fillId="4" borderId="101" xfId="15" applyFont="1" applyFill="1" applyBorder="1">
      <alignment horizontal="center" vertical="center" wrapText="1"/>
    </xf>
    <xf numFmtId="0" fontId="28" fillId="4" borderId="6" xfId="15" applyFont="1" applyFill="1" applyBorder="1">
      <alignment horizontal="center" vertical="center" wrapText="1"/>
    </xf>
    <xf numFmtId="0" fontId="28" fillId="4" borderId="16" xfId="15" applyFont="1" applyFill="1" applyBorder="1">
      <alignment horizontal="center" vertical="center" wrapText="1"/>
    </xf>
    <xf numFmtId="0" fontId="28" fillId="4" borderId="27" xfId="15" applyFont="1" applyFill="1" applyBorder="1">
      <alignment horizontal="center" vertical="center" wrapText="1"/>
    </xf>
    <xf numFmtId="4" fontId="28" fillId="4" borderId="20" xfId="15" applyNumberFormat="1" applyFont="1" applyFill="1" applyBorder="1">
      <alignment horizontal="center" vertical="center" wrapText="1"/>
    </xf>
    <xf numFmtId="4" fontId="28" fillId="4" borderId="21" xfId="15" applyNumberFormat="1" applyFont="1" applyFill="1" applyBorder="1">
      <alignment horizontal="center" vertical="center" wrapText="1"/>
    </xf>
    <xf numFmtId="4" fontId="28" fillId="4" borderId="22" xfId="15" applyNumberFormat="1" applyFont="1" applyFill="1" applyBorder="1">
      <alignment horizontal="center" vertical="center" wrapText="1"/>
    </xf>
    <xf numFmtId="0" fontId="16" fillId="0" borderId="69" xfId="40" applyFont="1" applyBorder="1" applyAlignment="1">
      <alignment horizontal="right" vertical="center"/>
    </xf>
    <xf numFmtId="0" fontId="16" fillId="0" borderId="84" xfId="40" applyFont="1" applyBorder="1" applyAlignment="1">
      <alignment horizontal="right" vertical="center"/>
    </xf>
    <xf numFmtId="0" fontId="16" fillId="0" borderId="70" xfId="40" applyFont="1" applyBorder="1" applyAlignment="1">
      <alignment horizontal="right" vertical="center"/>
    </xf>
    <xf numFmtId="0" fontId="13" fillId="0" borderId="83" xfId="8" applyFont="1" applyBorder="1" applyAlignment="1">
      <alignment vertical="center" wrapText="1"/>
    </xf>
    <xf numFmtId="0" fontId="13" fillId="0" borderId="82" xfId="8" applyFont="1" applyBorder="1" applyAlignment="1">
      <alignment vertical="center" wrapText="1"/>
    </xf>
    <xf numFmtId="0" fontId="16" fillId="0" borderId="91" xfId="40" applyFont="1" applyBorder="1" applyAlignment="1">
      <alignment horizontal="right" vertical="center"/>
    </xf>
    <xf numFmtId="0" fontId="16" fillId="0" borderId="92" xfId="40" applyFont="1" applyBorder="1" applyAlignment="1">
      <alignment horizontal="right" vertical="center"/>
    </xf>
    <xf numFmtId="0" fontId="16" fillId="0" borderId="93" xfId="40" applyFont="1" applyBorder="1" applyAlignment="1">
      <alignment horizontal="right" vertical="center"/>
    </xf>
    <xf numFmtId="0" fontId="13" fillId="0" borderId="14" xfId="8" applyFont="1" applyBorder="1" applyAlignment="1">
      <alignment horizontal="left" vertical="center" wrapText="1"/>
    </xf>
    <xf numFmtId="0" fontId="13" fillId="0" borderId="48" xfId="8" applyFont="1" applyBorder="1" applyAlignment="1">
      <alignment horizontal="left" vertical="center" wrapText="1"/>
    </xf>
    <xf numFmtId="4" fontId="16" fillId="0" borderId="83" xfId="8" applyNumberFormat="1" applyFont="1" applyBorder="1" applyAlignment="1">
      <alignment horizontal="left" vertical="center" wrapText="1"/>
    </xf>
    <xf numFmtId="4" fontId="16" fillId="0" borderId="84" xfId="8" applyNumberFormat="1" applyFont="1" applyBorder="1" applyAlignment="1">
      <alignment horizontal="left" vertical="center" wrapText="1"/>
    </xf>
    <xf numFmtId="4" fontId="16" fillId="0" borderId="70" xfId="8" applyNumberFormat="1" applyFont="1" applyBorder="1" applyAlignment="1">
      <alignment horizontal="left" vertical="center" wrapText="1"/>
    </xf>
    <xf numFmtId="0" fontId="13" fillId="0" borderId="83" xfId="8" applyFont="1" applyBorder="1" applyAlignment="1">
      <alignment horizontal="left" vertical="center" wrapText="1"/>
    </xf>
    <xf numFmtId="0" fontId="13" fillId="0" borderId="82" xfId="8" applyFont="1" applyBorder="1" applyAlignment="1">
      <alignment horizontal="left" vertical="center" wrapText="1"/>
    </xf>
    <xf numFmtId="0" fontId="16" fillId="0" borderId="83" xfId="8" applyFont="1" applyBorder="1" applyAlignment="1">
      <alignment horizontal="left" vertical="center" wrapText="1"/>
    </xf>
    <xf numFmtId="0" fontId="16" fillId="0" borderId="84" xfId="8" applyFont="1" applyBorder="1" applyAlignment="1">
      <alignment horizontal="left" vertical="center" wrapText="1"/>
    </xf>
    <xf numFmtId="0" fontId="16" fillId="0" borderId="70" xfId="8" applyFont="1" applyBorder="1" applyAlignment="1">
      <alignment horizontal="left" vertical="center" wrapText="1"/>
    </xf>
    <xf numFmtId="38" fontId="13" fillId="0" borderId="83" xfId="44" applyFont="1" applyFill="1" applyBorder="1" applyAlignment="1">
      <alignment horizontal="left" vertical="center" wrapText="1"/>
    </xf>
    <xf numFmtId="38" fontId="13" fillId="0" borderId="82" xfId="44" applyFont="1" applyFill="1" applyBorder="1" applyAlignment="1">
      <alignment horizontal="left" vertical="center" wrapText="1"/>
    </xf>
    <xf numFmtId="0" fontId="14" fillId="0" borderId="85" xfId="8" applyFont="1" applyBorder="1" applyAlignment="1">
      <alignment horizontal="left" vertical="center" wrapText="1"/>
    </xf>
    <xf numFmtId="0" fontId="14" fillId="0" borderId="82" xfId="8" applyFont="1" applyBorder="1" applyAlignment="1">
      <alignment horizontal="left" vertical="center" wrapText="1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0" fontId="28" fillId="4" borderId="61" xfId="40" quotePrefix="1" applyFont="1" applyFill="1" applyBorder="1" applyAlignment="1">
      <alignment horizontal="center" vertical="center"/>
    </xf>
    <xf numFmtId="0" fontId="17" fillId="2" borderId="65" xfId="15" applyFont="1" applyFill="1" applyBorder="1">
      <alignment horizontal="center" vertical="center" wrapText="1"/>
    </xf>
    <xf numFmtId="0" fontId="17" fillId="2" borderId="71" xfId="15" applyFont="1" applyFill="1" applyBorder="1">
      <alignment horizontal="center" vertical="center" wrapText="1"/>
    </xf>
    <xf numFmtId="0" fontId="17" fillId="2" borderId="74" xfId="15" applyFont="1" applyFill="1" applyBorder="1">
      <alignment horizontal="center" vertical="center" wrapText="1"/>
    </xf>
    <xf numFmtId="0" fontId="28" fillId="2" borderId="66" xfId="15" applyFont="1" applyFill="1" applyBorder="1" applyAlignment="1">
      <alignment horizontal="center" vertical="center"/>
    </xf>
    <xf numFmtId="0" fontId="28" fillId="2" borderId="67" xfId="15" applyFont="1" applyFill="1" applyBorder="1" applyAlignment="1">
      <alignment horizontal="center" vertical="center"/>
    </xf>
    <xf numFmtId="0" fontId="28" fillId="2" borderId="72" xfId="15" applyFont="1" applyFill="1" applyBorder="1" applyAlignment="1">
      <alignment horizontal="center" vertical="center"/>
    </xf>
    <xf numFmtId="0" fontId="28" fillId="2" borderId="43" xfId="15" applyFont="1" applyFill="1" applyBorder="1" applyAlignment="1">
      <alignment horizontal="center" vertical="center"/>
    </xf>
    <xf numFmtId="0" fontId="28" fillId="2" borderId="77" xfId="15" applyFont="1" applyFill="1" applyBorder="1" applyAlignment="1">
      <alignment horizontal="center" vertical="center"/>
    </xf>
    <xf numFmtId="0" fontId="28" fillId="2" borderId="75" xfId="15" applyFont="1" applyFill="1" applyBorder="1" applyAlignment="1">
      <alignment horizontal="center" vertical="center"/>
    </xf>
    <xf numFmtId="0" fontId="28" fillId="2" borderId="11" xfId="15" applyFont="1" applyFill="1" applyBorder="1">
      <alignment horizontal="center" vertical="center" wrapText="1"/>
    </xf>
    <xf numFmtId="0" fontId="28" fillId="2" borderId="10" xfId="15" applyFont="1" applyFill="1" applyBorder="1">
      <alignment horizontal="center" vertical="center" wrapText="1"/>
    </xf>
    <xf numFmtId="0" fontId="28" fillId="4" borderId="78" xfId="15" applyFont="1" applyFill="1" applyBorder="1">
      <alignment horizontal="center" vertical="center" wrapText="1"/>
    </xf>
    <xf numFmtId="0" fontId="28" fillId="2" borderId="68" xfId="15" applyFont="1" applyFill="1" applyBorder="1" applyAlignment="1">
      <alignment horizontal="center" vertical="center"/>
    </xf>
    <xf numFmtId="0" fontId="28" fillId="2" borderId="73" xfId="15" applyFont="1" applyFill="1" applyBorder="1" applyAlignment="1">
      <alignment horizontal="center" vertical="center"/>
    </xf>
    <xf numFmtId="0" fontId="28" fillId="2" borderId="79" xfId="15" applyFont="1" applyFill="1" applyBorder="1" applyAlignment="1">
      <alignment horizontal="center" vertical="center"/>
    </xf>
    <xf numFmtId="38" fontId="28" fillId="2" borderId="69" xfId="1" applyNumberFormat="1" applyFont="1" applyFill="1" applyBorder="1" applyAlignment="1">
      <alignment horizontal="center" vertical="center" wrapText="1"/>
    </xf>
    <xf numFmtId="38" fontId="28" fillId="2" borderId="70" xfId="1" applyNumberFormat="1" applyFont="1" applyFill="1" applyBorder="1" applyAlignment="1">
      <alignment horizontal="center" vertical="center" wrapText="1"/>
    </xf>
    <xf numFmtId="0" fontId="59" fillId="0" borderId="0" xfId="50" applyFont="1" applyAlignment="1">
      <alignment vertical="center"/>
    </xf>
  </cellXfs>
  <cellStyles count="51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4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7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6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2" xr:uid="{DA2FC434-C491-4DC0-B889-004E329441C8}"/>
    <cellStyle name="Hyperlink" xfId="50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8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5" xr:uid="{A24B6390-B95C-418B-9A20-4639AF663F91}"/>
    <cellStyle name="Normal_Sheet1 2" xfId="33" xr:uid="{00000000-0005-0000-0000-000024000000}"/>
    <cellStyle name="Normal_Sheet1_1176-Gernal BOQ for Plumbing &amp; fire" xfId="41" xr:uid="{19FD1A54-3E10-4FA6-A6DB-E967FCEC3CD5}"/>
    <cellStyle name="Percent" xfId="49" builtinId="5"/>
    <cellStyle name="Percent 2" xfId="20" xr:uid="{00000000-0005-0000-0000-000025000000}"/>
    <cellStyle name="Qty Unit" xfId="14" xr:uid="{00000000-0005-0000-0000-000026000000}"/>
    <cellStyle name="Qty Unit 2" xfId="43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2</xdr:row>
      <xdr:rowOff>152400</xdr:rowOff>
    </xdr:from>
    <xdr:to>
      <xdr:col>19</xdr:col>
      <xdr:colOff>380801</xdr:colOff>
      <xdr:row>24</xdr:row>
      <xdr:rowOff>86018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C0598-3463-4B1E-8846-C76DA69FB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609600"/>
          <a:ext cx="6324401" cy="47913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CLIENT ADDRESS DATA BASE"/>
      <sheetName val="MONTHLY BASIS-2008"/>
      <sheetName val="LIST OF JOBS"/>
      <sheetName val="OASIS GOLF &amp; COUNTRY CLUB"/>
      <sheetName val="SENT BILLS"/>
      <sheetName val="CLINT ADDRESSES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50"/>
      <sheetName val="Section 16010"/>
      <sheetName val="Section 16010-b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hatsApp%20Ptt%202023-09-02%20at%2012.55.06%20PM.og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showGridLines="0" tabSelected="1" zoomScaleNormal="100" zoomScaleSheetLayoutView="75" workbookViewId="0">
      <selection activeCell="J9" sqref="J9"/>
    </sheetView>
  </sheetViews>
  <sheetFormatPr defaultRowHeight="15" x14ac:dyDescent="0.2"/>
  <cols>
    <col min="1" max="1" width="7.42578125" style="2" customWidth="1"/>
    <col min="2" max="2" width="38.42578125" style="1" customWidth="1"/>
    <col min="3" max="3" width="13" style="1" customWidth="1"/>
    <col min="4" max="4" width="13.140625" style="1" customWidth="1"/>
    <col min="5" max="5" width="15.7109375" style="7" bestFit="1" customWidth="1"/>
    <col min="6" max="6" width="1.7109375" style="7" customWidth="1"/>
    <col min="7" max="7" width="15.7109375" style="7" bestFit="1" customWidth="1"/>
    <col min="8" max="16384" width="9.140625" style="1"/>
  </cols>
  <sheetData>
    <row r="1" spans="1:9" ht="20.25" x14ac:dyDescent="0.2">
      <c r="A1" s="427" t="s">
        <v>96</v>
      </c>
      <c r="B1" s="427"/>
      <c r="C1" s="427"/>
      <c r="D1" s="427"/>
      <c r="E1" s="427"/>
      <c r="F1" s="419"/>
      <c r="G1" s="419"/>
      <c r="I1" s="524" t="s">
        <v>297</v>
      </c>
    </row>
    <row r="2" spans="1:9" ht="15.75" x14ac:dyDescent="0.2">
      <c r="A2" s="425"/>
      <c r="B2" s="426"/>
      <c r="C2" s="405"/>
      <c r="D2" s="405"/>
      <c r="E2" s="392"/>
      <c r="F2" s="392"/>
      <c r="G2" s="392"/>
    </row>
    <row r="3" spans="1:9" ht="15.75" x14ac:dyDescent="0.2">
      <c r="A3" s="425"/>
      <c r="B3" s="426"/>
      <c r="C3" s="405"/>
      <c r="D3" s="405"/>
      <c r="E3" s="393"/>
      <c r="F3" s="393"/>
      <c r="G3" s="393"/>
    </row>
    <row r="4" spans="1:9" ht="24" x14ac:dyDescent="0.2">
      <c r="A4" s="394" t="s">
        <v>287</v>
      </c>
      <c r="B4" s="395" t="s">
        <v>288</v>
      </c>
      <c r="C4" s="396" t="s">
        <v>292</v>
      </c>
      <c r="D4" s="396" t="s">
        <v>293</v>
      </c>
      <c r="E4" s="396" t="s">
        <v>295</v>
      </c>
      <c r="F4" s="420"/>
      <c r="G4" s="396" t="s">
        <v>296</v>
      </c>
    </row>
    <row r="5" spans="1:9" x14ac:dyDescent="0.2">
      <c r="A5" s="397"/>
      <c r="B5" s="398"/>
      <c r="C5" s="398"/>
      <c r="D5" s="398"/>
      <c r="E5" s="399"/>
      <c r="F5" s="415"/>
      <c r="G5" s="399"/>
    </row>
    <row r="6" spans="1:9" x14ac:dyDescent="0.2">
      <c r="A6" s="389">
        <v>1</v>
      </c>
      <c r="B6" s="400" t="s">
        <v>289</v>
      </c>
      <c r="C6" s="406">
        <f>HVAC!H88</f>
        <v>1659649.5</v>
      </c>
      <c r="D6" s="406">
        <f>HVAC!J88</f>
        <v>639360</v>
      </c>
      <c r="E6" s="391">
        <f>D6+C6</f>
        <v>2299009.5</v>
      </c>
      <c r="F6" s="416"/>
      <c r="G6" s="391">
        <v>2299009.5</v>
      </c>
    </row>
    <row r="7" spans="1:9" x14ac:dyDescent="0.2">
      <c r="A7" s="388"/>
      <c r="B7" s="401"/>
      <c r="C7" s="401"/>
      <c r="D7" s="401"/>
      <c r="E7" s="390"/>
      <c r="F7" s="415"/>
      <c r="G7" s="390"/>
    </row>
    <row r="8" spans="1:9" x14ac:dyDescent="0.2">
      <c r="A8" s="389">
        <v>2</v>
      </c>
      <c r="B8" s="400" t="s">
        <v>290</v>
      </c>
      <c r="C8" s="407">
        <f>Fire!F90</f>
        <v>500600</v>
      </c>
      <c r="D8" s="407">
        <f>Fire!H90</f>
        <v>198000</v>
      </c>
      <c r="E8" s="391">
        <f>D8+C8</f>
        <v>698600</v>
      </c>
      <c r="F8" s="416"/>
      <c r="G8" s="391">
        <v>698600</v>
      </c>
    </row>
    <row r="9" spans="1:9" x14ac:dyDescent="0.2">
      <c r="A9" s="388"/>
      <c r="B9" s="401"/>
      <c r="C9" s="401"/>
      <c r="D9" s="401"/>
      <c r="E9" s="391"/>
      <c r="F9" s="416"/>
      <c r="G9" s="391"/>
    </row>
    <row r="10" spans="1:9" x14ac:dyDescent="0.2">
      <c r="A10" s="389">
        <v>3</v>
      </c>
      <c r="B10" s="400" t="s">
        <v>291</v>
      </c>
      <c r="C10" s="407">
        <f>Plumbing!G97</f>
        <v>2403937.5</v>
      </c>
      <c r="D10" s="407">
        <f>Plumbing!I97</f>
        <v>354315.5</v>
      </c>
      <c r="E10" s="391">
        <f>D10+C10</f>
        <v>2758253</v>
      </c>
      <c r="F10" s="416"/>
      <c r="G10" s="391">
        <v>3338206</v>
      </c>
    </row>
    <row r="11" spans="1:9" x14ac:dyDescent="0.2">
      <c r="A11" s="388"/>
      <c r="B11" s="401"/>
      <c r="C11" s="401"/>
      <c r="D11" s="401"/>
      <c r="E11" s="391"/>
      <c r="F11" s="416"/>
      <c r="G11" s="423"/>
    </row>
    <row r="12" spans="1:9" ht="52.5" customHeight="1" thickBot="1" x14ac:dyDescent="0.25">
      <c r="A12" s="402"/>
      <c r="B12" s="403"/>
      <c r="C12" s="403"/>
      <c r="D12" s="403"/>
      <c r="E12" s="404"/>
      <c r="F12" s="417"/>
      <c r="G12" s="404"/>
    </row>
    <row r="13" spans="1:9" s="412" customFormat="1" ht="20.25" thickBot="1" x14ac:dyDescent="0.25">
      <c r="A13" s="408"/>
      <c r="B13" s="409" t="s">
        <v>294</v>
      </c>
      <c r="C13" s="410"/>
      <c r="D13" s="410"/>
      <c r="E13" s="411">
        <f>E10+E8+E6</f>
        <v>5755862.5</v>
      </c>
      <c r="F13" s="421"/>
      <c r="G13" s="411">
        <f>G10+G8+G6</f>
        <v>6335815.5</v>
      </c>
    </row>
    <row r="14" spans="1:9" x14ac:dyDescent="0.2">
      <c r="E14" s="422">
        <f>(E13-G13)/G13</f>
        <v>-9.1535651566874071E-2</v>
      </c>
      <c r="G14" s="418"/>
    </row>
    <row r="15" spans="1:9" x14ac:dyDescent="0.2">
      <c r="G15" s="424"/>
    </row>
    <row r="16" spans="1:9" x14ac:dyDescent="0.2">
      <c r="G16" s="424"/>
    </row>
    <row r="17" spans="7:7" x14ac:dyDescent="0.2">
      <c r="G17" s="424"/>
    </row>
  </sheetData>
  <mergeCells count="3">
    <mergeCell ref="A3:B3"/>
    <mergeCell ref="A2:B2"/>
    <mergeCell ref="A1:E1"/>
  </mergeCells>
  <hyperlinks>
    <hyperlink ref="I1" r:id="rId1" display="Voice" xr:uid="{D7D9E623-D468-4F24-A563-829B80444597}"/>
  </hyperlinks>
  <printOptions horizontalCentered="1"/>
  <pageMargins left="0.5" right="0.25" top="0.75" bottom="0.47" header="0.25" footer="0.125"/>
  <pageSetup paperSize="9" scale="93" firstPageNumber="3" fitToHeight="2" orientation="portrait" useFirstPageNumber="1" r:id="rId2"/>
  <headerFooter alignWithMargins="0">
    <oddFooter xml:space="preserve">&amp;R&amp;"Arial,Bold" 
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9"/>
  <sheetViews>
    <sheetView showGridLines="0" zoomScale="110" zoomScaleNormal="110" zoomScaleSheetLayoutView="90" workbookViewId="0">
      <selection activeCell="N8" sqref="N8"/>
    </sheetView>
  </sheetViews>
  <sheetFormatPr defaultRowHeight="12.75" x14ac:dyDescent="0.2"/>
  <cols>
    <col min="1" max="1" width="9.28515625" style="74" customWidth="1"/>
    <col min="2" max="2" width="20.7109375" style="43" customWidth="1"/>
    <col min="3" max="4" width="25.7109375" style="43" customWidth="1"/>
    <col min="5" max="5" width="11.7109375" style="75" customWidth="1"/>
    <col min="6" max="6" width="4.7109375" style="75" customWidth="1"/>
    <col min="7" max="11" width="11.28515625" style="73" customWidth="1"/>
    <col min="12" max="12" width="12.85546875" style="73" customWidth="1"/>
    <col min="13" max="16384" width="9.140625" style="43"/>
  </cols>
  <sheetData>
    <row r="1" spans="1:18" s="10" customFormat="1" ht="15" x14ac:dyDescent="0.2">
      <c r="A1" s="1" t="s">
        <v>96</v>
      </c>
      <c r="F1" s="11"/>
      <c r="G1" s="11"/>
      <c r="H1" s="11"/>
      <c r="I1" s="11"/>
      <c r="J1" s="11"/>
      <c r="K1" s="11"/>
      <c r="L1" s="3" t="s">
        <v>5</v>
      </c>
    </row>
    <row r="2" spans="1:18" s="10" customFormat="1" ht="15" x14ac:dyDescent="0.2">
      <c r="A2" s="4" t="s">
        <v>74</v>
      </c>
      <c r="G2" s="11"/>
      <c r="H2" s="11"/>
      <c r="I2" s="11"/>
      <c r="J2" s="12"/>
      <c r="K2" s="12"/>
      <c r="L2" s="3" t="s">
        <v>97</v>
      </c>
    </row>
    <row r="3" spans="1:18" s="10" customFormat="1" ht="15" customHeight="1" x14ac:dyDescent="0.2">
      <c r="A3" s="13"/>
      <c r="G3" s="11"/>
      <c r="H3" s="11"/>
      <c r="I3" s="11"/>
      <c r="J3" s="11"/>
      <c r="K3" s="11"/>
      <c r="L3" s="3"/>
    </row>
    <row r="4" spans="1:18" s="10" customFormat="1" ht="15" customHeight="1" x14ac:dyDescent="0.2">
      <c r="A4" s="440" t="s">
        <v>73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</row>
    <row r="5" spans="1:18" s="10" customFormat="1" ht="6.95" customHeight="1" thickBot="1" x14ac:dyDescent="0.25">
      <c r="A5" s="14"/>
      <c r="B5" s="15"/>
      <c r="C5" s="15"/>
      <c r="D5" s="15"/>
      <c r="E5" s="16"/>
      <c r="F5" s="16"/>
      <c r="G5" s="17"/>
      <c r="H5" s="17"/>
      <c r="I5" s="17"/>
      <c r="J5" s="17"/>
      <c r="K5" s="17"/>
      <c r="L5" s="17"/>
    </row>
    <row r="6" spans="1:18" s="21" customFormat="1" ht="13.7" customHeight="1" x14ac:dyDescent="0.2">
      <c r="A6" s="18" t="s">
        <v>6</v>
      </c>
      <c r="B6" s="441" t="s">
        <v>7</v>
      </c>
      <c r="C6" s="442"/>
      <c r="D6" s="443"/>
      <c r="E6" s="19" t="s">
        <v>8</v>
      </c>
      <c r="F6" s="20" t="s">
        <v>9</v>
      </c>
      <c r="G6" s="18" t="s">
        <v>10</v>
      </c>
      <c r="H6" s="20" t="s">
        <v>11</v>
      </c>
      <c r="I6" s="18" t="s">
        <v>12</v>
      </c>
      <c r="J6" s="20" t="s">
        <v>13</v>
      </c>
      <c r="K6" s="18" t="s">
        <v>14</v>
      </c>
      <c r="L6" s="20" t="s">
        <v>15</v>
      </c>
    </row>
    <row r="7" spans="1:18" s="22" customFormat="1" ht="13.7" customHeight="1" x14ac:dyDescent="0.2">
      <c r="A7" s="444" t="s">
        <v>2</v>
      </c>
      <c r="B7" s="447" t="s">
        <v>3</v>
      </c>
      <c r="C7" s="448"/>
      <c r="D7" s="449"/>
      <c r="E7" s="456" t="s">
        <v>16</v>
      </c>
      <c r="F7" s="459" t="s">
        <v>1</v>
      </c>
      <c r="G7" s="462" t="s">
        <v>17</v>
      </c>
      <c r="H7" s="463"/>
      <c r="I7" s="462" t="s">
        <v>18</v>
      </c>
      <c r="J7" s="463"/>
      <c r="K7" s="462" t="s">
        <v>19</v>
      </c>
      <c r="L7" s="463"/>
    </row>
    <row r="8" spans="1:18" s="22" customFormat="1" ht="13.7" customHeight="1" x14ac:dyDescent="0.2">
      <c r="A8" s="445"/>
      <c r="B8" s="450"/>
      <c r="C8" s="451"/>
      <c r="D8" s="452"/>
      <c r="E8" s="457"/>
      <c r="F8" s="460"/>
      <c r="G8" s="123" t="s">
        <v>0</v>
      </c>
      <c r="H8" s="23" t="s">
        <v>20</v>
      </c>
      <c r="I8" s="123" t="s">
        <v>0</v>
      </c>
      <c r="J8" s="23" t="s">
        <v>20</v>
      </c>
      <c r="K8" s="123" t="s">
        <v>0</v>
      </c>
      <c r="L8" s="23" t="s">
        <v>20</v>
      </c>
    </row>
    <row r="9" spans="1:18" s="22" customFormat="1" ht="13.7" customHeight="1" x14ac:dyDescent="0.2">
      <c r="A9" s="446"/>
      <c r="B9" s="453"/>
      <c r="C9" s="454"/>
      <c r="D9" s="455"/>
      <c r="E9" s="458"/>
      <c r="F9" s="461"/>
      <c r="G9" s="24" t="s">
        <v>21</v>
      </c>
      <c r="H9" s="25" t="s">
        <v>21</v>
      </c>
      <c r="I9" s="24" t="s">
        <v>21</v>
      </c>
      <c r="J9" s="25" t="s">
        <v>21</v>
      </c>
      <c r="K9" s="24" t="s">
        <v>21</v>
      </c>
      <c r="L9" s="25" t="s">
        <v>21</v>
      </c>
    </row>
    <row r="10" spans="1:18" s="22" customFormat="1" ht="13.7" customHeight="1" x14ac:dyDescent="0.2">
      <c r="A10" s="26"/>
      <c r="B10" s="431"/>
      <c r="C10" s="432"/>
      <c r="D10" s="433"/>
      <c r="E10" s="27"/>
      <c r="F10" s="28"/>
      <c r="G10" s="123"/>
      <c r="H10" s="29" t="s">
        <v>22</v>
      </c>
      <c r="I10" s="123"/>
      <c r="J10" s="29" t="s">
        <v>23</v>
      </c>
      <c r="K10" s="30" t="s">
        <v>24</v>
      </c>
      <c r="L10" s="119" t="s">
        <v>25</v>
      </c>
    </row>
    <row r="11" spans="1:18" s="38" customFormat="1" ht="15" customHeight="1" x14ac:dyDescent="0.2">
      <c r="A11" s="102">
        <v>1</v>
      </c>
      <c r="B11" s="103" t="s">
        <v>87</v>
      </c>
      <c r="C11" s="39"/>
      <c r="D11" s="39"/>
      <c r="E11" s="40"/>
      <c r="F11" s="40"/>
      <c r="G11" s="41"/>
      <c r="H11" s="41"/>
      <c r="I11" s="41"/>
      <c r="J11" s="41"/>
      <c r="K11" s="41"/>
      <c r="L11" s="42"/>
    </row>
    <row r="12" spans="1:18" s="9" customFormat="1" ht="15" customHeight="1" x14ac:dyDescent="0.2">
      <c r="A12" s="104">
        <v>1.1000000000000001</v>
      </c>
      <c r="B12" s="105" t="s">
        <v>88</v>
      </c>
      <c r="C12" s="106"/>
      <c r="D12" s="106"/>
      <c r="E12" s="107"/>
      <c r="F12" s="44"/>
      <c r="G12" s="45"/>
      <c r="H12" s="46"/>
      <c r="I12" s="45"/>
      <c r="J12" s="46"/>
      <c r="K12" s="47"/>
      <c r="L12" s="108"/>
    </row>
    <row r="13" spans="1:18" s="38" customFormat="1" ht="15" customHeight="1" x14ac:dyDescent="0.2">
      <c r="A13" s="48" t="s">
        <v>98</v>
      </c>
      <c r="B13" s="49" t="s">
        <v>89</v>
      </c>
      <c r="C13" s="109"/>
      <c r="D13" s="110"/>
      <c r="E13" s="111">
        <v>12</v>
      </c>
      <c r="F13" s="54" t="s">
        <v>94</v>
      </c>
      <c r="G13" s="127">
        <v>765</v>
      </c>
      <c r="H13" s="34">
        <f>G13*E13</f>
        <v>9180</v>
      </c>
      <c r="I13" s="127">
        <v>150</v>
      </c>
      <c r="J13" s="128">
        <f>I13*E13</f>
        <v>1800</v>
      </c>
      <c r="K13" s="129"/>
      <c r="L13" s="130">
        <f>J13+H13</f>
        <v>10980</v>
      </c>
    </row>
    <row r="14" spans="1:18" s="38" customFormat="1" ht="15" customHeight="1" x14ac:dyDescent="0.2">
      <c r="A14" s="48" t="s">
        <v>99</v>
      </c>
      <c r="B14" s="113" t="s">
        <v>90</v>
      </c>
      <c r="C14" s="106"/>
      <c r="D14" s="114"/>
      <c r="E14" s="111">
        <v>1</v>
      </c>
      <c r="F14" s="112" t="s">
        <v>29</v>
      </c>
      <c r="G14" s="127">
        <v>4000</v>
      </c>
      <c r="H14" s="34">
        <f>G14*E14</f>
        <v>4000</v>
      </c>
      <c r="I14" s="127">
        <v>1000</v>
      </c>
      <c r="J14" s="128">
        <f>I14*E14</f>
        <v>1000</v>
      </c>
      <c r="K14" s="129"/>
      <c r="L14" s="130">
        <f>J14+H14</f>
        <v>5000</v>
      </c>
      <c r="M14" s="9"/>
      <c r="N14" s="9"/>
      <c r="O14" s="9"/>
      <c r="P14" s="9"/>
      <c r="Q14" s="9"/>
      <c r="R14" s="9"/>
    </row>
    <row r="15" spans="1:18" s="38" customFormat="1" ht="15" customHeight="1" thickBot="1" x14ac:dyDescent="0.25">
      <c r="A15" s="48" t="s">
        <v>100</v>
      </c>
      <c r="B15" s="115" t="s">
        <v>120</v>
      </c>
      <c r="C15" s="116"/>
      <c r="D15" s="117"/>
      <c r="E15" s="118">
        <v>1</v>
      </c>
      <c r="F15" s="118" t="s">
        <v>29</v>
      </c>
      <c r="G15" s="127">
        <v>18000</v>
      </c>
      <c r="H15" s="34">
        <f>G15*E15</f>
        <v>18000</v>
      </c>
      <c r="I15" s="127">
        <v>2000</v>
      </c>
      <c r="J15" s="128">
        <f>I15*E15</f>
        <v>2000</v>
      </c>
      <c r="K15" s="129"/>
      <c r="L15" s="130">
        <f>J15+H15</f>
        <v>20000</v>
      </c>
      <c r="M15" s="9"/>
      <c r="N15" s="9"/>
      <c r="O15" s="9"/>
      <c r="P15" s="9"/>
      <c r="Q15" s="9"/>
      <c r="R15" s="9"/>
    </row>
    <row r="16" spans="1:18" s="38" customFormat="1" ht="15" customHeight="1" thickBot="1" x14ac:dyDescent="0.25">
      <c r="A16" s="434" t="s">
        <v>33</v>
      </c>
      <c r="B16" s="435"/>
      <c r="C16" s="435"/>
      <c r="D16" s="435"/>
      <c r="E16" s="435"/>
      <c r="F16" s="436"/>
      <c r="G16" s="121"/>
      <c r="H16" s="36">
        <f>SUM(H13:H15)</f>
        <v>31180</v>
      </c>
      <c r="I16" s="121"/>
      <c r="J16" s="36">
        <f>SUM(J13:J15)</f>
        <v>4800</v>
      </c>
      <c r="K16" s="121"/>
      <c r="L16" s="36">
        <f>SUM(L13:L15)</f>
        <v>35980</v>
      </c>
      <c r="M16" s="9"/>
      <c r="N16" s="9"/>
      <c r="O16" s="9"/>
      <c r="P16" s="9"/>
      <c r="Q16" s="9"/>
      <c r="R16" s="9"/>
    </row>
    <row r="17" spans="1:18" s="38" customFormat="1" ht="15" customHeight="1" x14ac:dyDescent="0.2">
      <c r="A17" s="31">
        <v>2</v>
      </c>
      <c r="B17" s="32" t="s">
        <v>34</v>
      </c>
      <c r="C17" s="39"/>
      <c r="D17" s="39"/>
      <c r="E17" s="40"/>
      <c r="F17" s="40"/>
      <c r="G17" s="41"/>
      <c r="H17" s="41"/>
      <c r="I17" s="41"/>
      <c r="J17" s="41"/>
      <c r="K17" s="41"/>
      <c r="L17" s="42"/>
      <c r="M17" s="9"/>
      <c r="N17" s="9"/>
      <c r="O17" s="9"/>
      <c r="P17" s="9"/>
      <c r="Q17" s="9"/>
      <c r="R17" s="9"/>
    </row>
    <row r="18" spans="1:18" s="38" customFormat="1" ht="15" customHeight="1" x14ac:dyDescent="0.2">
      <c r="A18" s="52">
        <v>2.1</v>
      </c>
      <c r="B18" s="100" t="s">
        <v>76</v>
      </c>
      <c r="C18" s="51"/>
      <c r="D18" s="53"/>
      <c r="E18" s="54">
        <v>74</v>
      </c>
      <c r="F18" s="54" t="s">
        <v>35</v>
      </c>
      <c r="G18" s="127">
        <v>4900</v>
      </c>
      <c r="H18" s="34">
        <f t="shared" ref="H18:H25" si="0">G18*E18</f>
        <v>362600</v>
      </c>
      <c r="I18" s="127">
        <v>900</v>
      </c>
      <c r="J18" s="128">
        <f t="shared" ref="J18:J25" si="1">I18*E18</f>
        <v>66600</v>
      </c>
      <c r="K18" s="129"/>
      <c r="L18" s="130">
        <f t="shared" ref="L18:L25" si="2">J18+H18</f>
        <v>429200</v>
      </c>
    </row>
    <row r="19" spans="1:18" ht="15" customHeight="1" x14ac:dyDescent="0.2">
      <c r="A19" s="52">
        <v>2.2000000000000002</v>
      </c>
      <c r="B19" s="100" t="s">
        <v>77</v>
      </c>
      <c r="C19" s="55"/>
      <c r="D19" s="56"/>
      <c r="E19" s="57">
        <v>5.6</v>
      </c>
      <c r="F19" s="54" t="s">
        <v>35</v>
      </c>
      <c r="G19" s="127">
        <v>4900</v>
      </c>
      <c r="H19" s="34">
        <f t="shared" si="0"/>
        <v>27440</v>
      </c>
      <c r="I19" s="127">
        <v>900</v>
      </c>
      <c r="J19" s="128">
        <f t="shared" si="1"/>
        <v>5040</v>
      </c>
      <c r="K19" s="129"/>
      <c r="L19" s="130">
        <f t="shared" si="2"/>
        <v>32480</v>
      </c>
    </row>
    <row r="20" spans="1:18" s="38" customFormat="1" ht="15" customHeight="1" x14ac:dyDescent="0.2">
      <c r="A20" s="52">
        <v>2.2999999999999998</v>
      </c>
      <c r="B20" s="100" t="s">
        <v>78</v>
      </c>
      <c r="C20" s="55"/>
      <c r="D20" s="56"/>
      <c r="E20" s="57">
        <v>12.1</v>
      </c>
      <c r="F20" s="54" t="s">
        <v>35</v>
      </c>
      <c r="G20" s="127">
        <v>4900</v>
      </c>
      <c r="H20" s="34">
        <f t="shared" si="0"/>
        <v>59290</v>
      </c>
      <c r="I20" s="127">
        <v>900</v>
      </c>
      <c r="J20" s="128">
        <f t="shared" si="1"/>
        <v>10890</v>
      </c>
      <c r="K20" s="129"/>
      <c r="L20" s="130">
        <f t="shared" si="2"/>
        <v>70180</v>
      </c>
    </row>
    <row r="21" spans="1:18" s="38" customFormat="1" ht="15" customHeight="1" x14ac:dyDescent="0.2">
      <c r="A21" s="52">
        <v>2.4</v>
      </c>
      <c r="B21" s="100" t="s">
        <v>95</v>
      </c>
      <c r="C21" s="55"/>
      <c r="D21" s="56"/>
      <c r="E21" s="57">
        <v>1</v>
      </c>
      <c r="F21" s="54" t="s">
        <v>29</v>
      </c>
      <c r="G21" s="127">
        <v>72000</v>
      </c>
      <c r="H21" s="34">
        <f t="shared" si="0"/>
        <v>72000</v>
      </c>
      <c r="I21" s="127">
        <v>12000</v>
      </c>
      <c r="J21" s="128">
        <f t="shared" si="1"/>
        <v>12000</v>
      </c>
      <c r="K21" s="129"/>
      <c r="L21" s="130">
        <f t="shared" si="2"/>
        <v>84000</v>
      </c>
    </row>
    <row r="22" spans="1:18" s="38" customFormat="1" ht="15" customHeight="1" x14ac:dyDescent="0.2">
      <c r="A22" s="52">
        <v>2.5</v>
      </c>
      <c r="B22" s="49" t="s">
        <v>36</v>
      </c>
      <c r="C22" s="55"/>
      <c r="D22" s="56"/>
      <c r="E22" s="57">
        <v>1</v>
      </c>
      <c r="F22" s="54" t="s">
        <v>29</v>
      </c>
      <c r="G22" s="127">
        <v>48500</v>
      </c>
      <c r="H22" s="34">
        <f t="shared" si="0"/>
        <v>48500</v>
      </c>
      <c r="I22" s="127">
        <v>7000</v>
      </c>
      <c r="J22" s="128">
        <f t="shared" si="1"/>
        <v>7000</v>
      </c>
      <c r="K22" s="129"/>
      <c r="L22" s="130">
        <f t="shared" si="2"/>
        <v>55500</v>
      </c>
    </row>
    <row r="23" spans="1:18" s="38" customFormat="1" ht="15" customHeight="1" x14ac:dyDescent="0.2">
      <c r="A23" s="52">
        <v>2.6</v>
      </c>
      <c r="B23" s="49" t="s">
        <v>37</v>
      </c>
      <c r="C23" s="55"/>
      <c r="D23" s="56"/>
      <c r="E23" s="57">
        <v>1</v>
      </c>
      <c r="F23" s="54" t="s">
        <v>29</v>
      </c>
      <c r="G23" s="127"/>
      <c r="H23" s="34">
        <f t="shared" si="0"/>
        <v>0</v>
      </c>
      <c r="I23" s="127"/>
      <c r="J23" s="128">
        <f t="shared" si="1"/>
        <v>0</v>
      </c>
      <c r="K23" s="129"/>
      <c r="L23" s="130">
        <f t="shared" si="2"/>
        <v>0</v>
      </c>
    </row>
    <row r="24" spans="1:18" s="38" customFormat="1" ht="15" customHeight="1" x14ac:dyDescent="0.2">
      <c r="A24" s="52">
        <v>2.7</v>
      </c>
      <c r="B24" s="49" t="s">
        <v>38</v>
      </c>
      <c r="C24" s="55"/>
      <c r="D24" s="56"/>
      <c r="E24" s="57">
        <v>1</v>
      </c>
      <c r="F24" s="54" t="s">
        <v>29</v>
      </c>
      <c r="G24" s="127">
        <v>45000</v>
      </c>
      <c r="H24" s="34">
        <f t="shared" si="0"/>
        <v>45000</v>
      </c>
      <c r="I24" s="127">
        <v>15000</v>
      </c>
      <c r="J24" s="128">
        <f t="shared" si="1"/>
        <v>15000</v>
      </c>
      <c r="K24" s="129"/>
      <c r="L24" s="130">
        <f t="shared" si="2"/>
        <v>60000</v>
      </c>
    </row>
    <row r="25" spans="1:18" s="38" customFormat="1" ht="15" customHeight="1" thickBot="1" x14ac:dyDescent="0.25">
      <c r="A25" s="52">
        <v>2.8</v>
      </c>
      <c r="B25" s="49" t="s">
        <v>39</v>
      </c>
      <c r="C25" s="55"/>
      <c r="D25" s="56"/>
      <c r="E25" s="57">
        <v>1</v>
      </c>
      <c r="F25" s="54" t="s">
        <v>29</v>
      </c>
      <c r="G25" s="127">
        <v>11000</v>
      </c>
      <c r="H25" s="34">
        <f t="shared" si="0"/>
        <v>11000</v>
      </c>
      <c r="I25" s="127">
        <v>2000</v>
      </c>
      <c r="J25" s="128">
        <f t="shared" si="1"/>
        <v>2000</v>
      </c>
      <c r="K25" s="129"/>
      <c r="L25" s="130">
        <f t="shared" si="2"/>
        <v>13000</v>
      </c>
    </row>
    <row r="26" spans="1:18" s="38" customFormat="1" ht="15" customHeight="1" thickBot="1" x14ac:dyDescent="0.25">
      <c r="A26" s="434" t="s">
        <v>33</v>
      </c>
      <c r="B26" s="435"/>
      <c r="C26" s="435"/>
      <c r="D26" s="435"/>
      <c r="E26" s="435"/>
      <c r="F26" s="436"/>
      <c r="G26" s="121"/>
      <c r="H26" s="36">
        <f>SUM(H18:H25)</f>
        <v>625830</v>
      </c>
      <c r="I26" s="121"/>
      <c r="J26" s="36">
        <f>SUM(J18:J25)</f>
        <v>118530</v>
      </c>
      <c r="K26" s="121"/>
      <c r="L26" s="36">
        <f>SUM(L18:L25)</f>
        <v>744360</v>
      </c>
    </row>
    <row r="27" spans="1:18" s="38" customFormat="1" ht="15" customHeight="1" x14ac:dyDescent="0.2">
      <c r="A27" s="31">
        <v>3</v>
      </c>
      <c r="B27" s="32" t="s">
        <v>123</v>
      </c>
      <c r="C27" s="55"/>
      <c r="D27" s="55"/>
      <c r="E27" s="83"/>
      <c r="F27" s="44"/>
      <c r="G27" s="79"/>
      <c r="H27" s="80"/>
      <c r="I27" s="79"/>
      <c r="J27" s="80"/>
      <c r="K27" s="81"/>
      <c r="L27" s="82"/>
    </row>
    <row r="28" spans="1:18" s="38" customFormat="1" ht="15" customHeight="1" x14ac:dyDescent="0.2">
      <c r="A28" s="52">
        <v>3.1</v>
      </c>
      <c r="B28" s="49" t="s">
        <v>92</v>
      </c>
      <c r="C28" s="55"/>
      <c r="D28" s="56"/>
      <c r="E28" s="124">
        <v>2.5</v>
      </c>
      <c r="F28" s="54" t="s">
        <v>94</v>
      </c>
      <c r="G28" s="127">
        <v>7500</v>
      </c>
      <c r="H28" s="34">
        <f>G28*E28</f>
        <v>18750</v>
      </c>
      <c r="I28" s="127">
        <v>1000</v>
      </c>
      <c r="J28" s="128">
        <f>I28*E28</f>
        <v>2500</v>
      </c>
      <c r="K28" s="129"/>
      <c r="L28" s="130">
        <f>J28+H28</f>
        <v>21250</v>
      </c>
    </row>
    <row r="29" spans="1:18" s="38" customFormat="1" ht="15" customHeight="1" thickBot="1" x14ac:dyDescent="0.25">
      <c r="A29" s="52">
        <v>3.2</v>
      </c>
      <c r="B29" s="49" t="s">
        <v>93</v>
      </c>
      <c r="C29" s="55"/>
      <c r="D29" s="56"/>
      <c r="E29" s="57">
        <v>2.0499999999999998</v>
      </c>
      <c r="F29" s="54" t="s">
        <v>94</v>
      </c>
      <c r="G29" s="127">
        <v>5190</v>
      </c>
      <c r="H29" s="34">
        <f>G29*E29</f>
        <v>10639.499999999998</v>
      </c>
      <c r="I29" s="127">
        <v>1000</v>
      </c>
      <c r="J29" s="128">
        <f>I29*E29</f>
        <v>2050</v>
      </c>
      <c r="K29" s="129"/>
      <c r="L29" s="130">
        <f>J29+H29</f>
        <v>12689.499999999998</v>
      </c>
    </row>
    <row r="30" spans="1:18" s="38" customFormat="1" ht="15" customHeight="1" thickBot="1" x14ac:dyDescent="0.25">
      <c r="A30" s="434" t="s">
        <v>33</v>
      </c>
      <c r="B30" s="435"/>
      <c r="C30" s="435"/>
      <c r="D30" s="435"/>
      <c r="E30" s="435"/>
      <c r="F30" s="436"/>
      <c r="G30" s="121"/>
      <c r="H30" s="36">
        <f>SUM(H28:H29)</f>
        <v>29389.5</v>
      </c>
      <c r="I30" s="121"/>
      <c r="J30" s="36">
        <f>SUM(J28:J29)</f>
        <v>4550</v>
      </c>
      <c r="K30" s="121"/>
      <c r="L30" s="36">
        <f>SUM(L28:L29)</f>
        <v>33939.5</v>
      </c>
    </row>
    <row r="31" spans="1:18" s="38" customFormat="1" ht="15" customHeight="1" x14ac:dyDescent="0.2">
      <c r="A31" s="31">
        <v>4</v>
      </c>
      <c r="B31" s="32" t="s">
        <v>40</v>
      </c>
      <c r="C31" s="39"/>
      <c r="D31" s="39"/>
      <c r="E31" s="40"/>
      <c r="F31" s="40"/>
      <c r="G31" s="41"/>
      <c r="H31" s="41"/>
      <c r="I31" s="41"/>
      <c r="J31" s="41"/>
      <c r="K31" s="41"/>
      <c r="L31" s="42"/>
    </row>
    <row r="32" spans="1:18" s="38" customFormat="1" ht="15" customHeight="1" x14ac:dyDescent="0.2">
      <c r="A32" s="52">
        <v>4.0999999999999996</v>
      </c>
      <c r="B32" s="50" t="s">
        <v>55</v>
      </c>
      <c r="C32" s="51"/>
      <c r="D32" s="53"/>
      <c r="E32" s="54">
        <f>E18+E19</f>
        <v>79.599999999999994</v>
      </c>
      <c r="F32" s="54" t="s">
        <v>35</v>
      </c>
      <c r="G32" s="127">
        <v>6750</v>
      </c>
      <c r="H32" s="34">
        <f>G32*E32</f>
        <v>537300</v>
      </c>
      <c r="I32" s="127">
        <v>700</v>
      </c>
      <c r="J32" s="128">
        <f>I32*E32</f>
        <v>55719.999999999993</v>
      </c>
      <c r="K32" s="129"/>
      <c r="L32" s="130">
        <f>J32+H32</f>
        <v>593020</v>
      </c>
    </row>
    <row r="33" spans="1:12" ht="15" customHeight="1" thickBot="1" x14ac:dyDescent="0.25">
      <c r="A33" s="58">
        <v>4.2</v>
      </c>
      <c r="B33" s="33" t="s">
        <v>41</v>
      </c>
      <c r="C33" s="55"/>
      <c r="D33" s="56"/>
      <c r="E33" s="59">
        <f>E20</f>
        <v>12.1</v>
      </c>
      <c r="F33" s="54" t="s">
        <v>35</v>
      </c>
      <c r="G33" s="127">
        <v>5900</v>
      </c>
      <c r="H33" s="34">
        <f>G33*E33</f>
        <v>71390</v>
      </c>
      <c r="I33" s="127">
        <v>600</v>
      </c>
      <c r="J33" s="128">
        <f>I33*E33</f>
        <v>7260</v>
      </c>
      <c r="K33" s="129"/>
      <c r="L33" s="130">
        <f>J33+H33</f>
        <v>78650</v>
      </c>
    </row>
    <row r="34" spans="1:12" s="38" customFormat="1" ht="15" customHeight="1" thickBot="1" x14ac:dyDescent="0.25">
      <c r="A34" s="434" t="s">
        <v>33</v>
      </c>
      <c r="B34" s="435"/>
      <c r="C34" s="435"/>
      <c r="D34" s="435"/>
      <c r="E34" s="435"/>
      <c r="F34" s="436"/>
      <c r="G34" s="121"/>
      <c r="H34" s="36">
        <f>SUM(H32:H33)</f>
        <v>608690</v>
      </c>
      <c r="I34" s="121"/>
      <c r="J34" s="36">
        <f>SUM(J32:J33)</f>
        <v>62979.999999999993</v>
      </c>
      <c r="K34" s="121"/>
      <c r="L34" s="37">
        <f>SUM(L32:L33)</f>
        <v>671670</v>
      </c>
    </row>
    <row r="35" spans="1:12" s="38" customFormat="1" ht="15" customHeight="1" x14ac:dyDescent="0.2">
      <c r="A35" s="31">
        <v>5</v>
      </c>
      <c r="B35" s="32" t="s">
        <v>42</v>
      </c>
      <c r="C35" s="39"/>
      <c r="D35" s="39"/>
      <c r="E35" s="40"/>
      <c r="F35" s="40"/>
      <c r="G35" s="41"/>
      <c r="H35" s="41"/>
      <c r="I35" s="41"/>
      <c r="J35" s="41"/>
      <c r="K35" s="41"/>
      <c r="L35" s="42"/>
    </row>
    <row r="36" spans="1:12" s="38" customFormat="1" ht="15" customHeight="1" x14ac:dyDescent="0.2">
      <c r="A36" s="90">
        <v>5.0999999999999996</v>
      </c>
      <c r="B36" s="60" t="s">
        <v>82</v>
      </c>
      <c r="C36" s="61"/>
      <c r="D36" s="61"/>
      <c r="E36" s="44"/>
      <c r="F36" s="44"/>
      <c r="G36" s="45"/>
      <c r="H36" s="46"/>
      <c r="I36" s="45"/>
      <c r="J36" s="62"/>
      <c r="K36" s="47"/>
      <c r="L36" s="63"/>
    </row>
    <row r="37" spans="1:12" ht="15" customHeight="1" x14ac:dyDescent="0.2">
      <c r="A37" s="91" t="s">
        <v>101</v>
      </c>
      <c r="B37" s="33" t="s">
        <v>56</v>
      </c>
      <c r="C37" s="125"/>
      <c r="D37" s="126"/>
      <c r="E37" s="92">
        <v>1</v>
      </c>
      <c r="F37" s="54" t="s">
        <v>27</v>
      </c>
      <c r="G37" s="127">
        <v>3200</v>
      </c>
      <c r="H37" s="34">
        <f t="shared" ref="H37:H43" si="3">G37*E37</f>
        <v>3200</v>
      </c>
      <c r="I37" s="127">
        <v>1000</v>
      </c>
      <c r="J37" s="128">
        <f t="shared" ref="J37:J43" si="4">I37*E37</f>
        <v>1000</v>
      </c>
      <c r="K37" s="129"/>
      <c r="L37" s="130">
        <f t="shared" ref="L37:L43" si="5">J37+H37</f>
        <v>4200</v>
      </c>
    </row>
    <row r="38" spans="1:12" s="38" customFormat="1" ht="15" customHeight="1" x14ac:dyDescent="0.2">
      <c r="A38" s="91" t="s">
        <v>102</v>
      </c>
      <c r="B38" s="33" t="s">
        <v>57</v>
      </c>
      <c r="C38" s="125"/>
      <c r="D38" s="126"/>
      <c r="E38" s="92">
        <v>1</v>
      </c>
      <c r="F38" s="54" t="s">
        <v>27</v>
      </c>
      <c r="G38" s="127">
        <v>3200</v>
      </c>
      <c r="H38" s="34">
        <f t="shared" si="3"/>
        <v>3200</v>
      </c>
      <c r="I38" s="127">
        <v>1000</v>
      </c>
      <c r="J38" s="128">
        <f t="shared" si="4"/>
        <v>1000</v>
      </c>
      <c r="K38" s="129"/>
      <c r="L38" s="130">
        <f t="shared" si="5"/>
        <v>4200</v>
      </c>
    </row>
    <row r="39" spans="1:12" s="38" customFormat="1" ht="15" customHeight="1" x14ac:dyDescent="0.2">
      <c r="A39" s="91" t="s">
        <v>103</v>
      </c>
      <c r="B39" s="33" t="s">
        <v>58</v>
      </c>
      <c r="C39" s="125"/>
      <c r="D39" s="126"/>
      <c r="E39" s="92">
        <v>1</v>
      </c>
      <c r="F39" s="54" t="s">
        <v>27</v>
      </c>
      <c r="G39" s="127">
        <v>4700</v>
      </c>
      <c r="H39" s="34">
        <f t="shared" si="3"/>
        <v>4700</v>
      </c>
      <c r="I39" s="127">
        <v>1000</v>
      </c>
      <c r="J39" s="128">
        <f t="shared" si="4"/>
        <v>1000</v>
      </c>
      <c r="K39" s="129"/>
      <c r="L39" s="130">
        <f t="shared" si="5"/>
        <v>5700</v>
      </c>
    </row>
    <row r="40" spans="1:12" s="38" customFormat="1" ht="15" customHeight="1" x14ac:dyDescent="0.2">
      <c r="A40" s="91" t="s">
        <v>104</v>
      </c>
      <c r="B40" s="33" t="s">
        <v>60</v>
      </c>
      <c r="C40" s="125"/>
      <c r="D40" s="126"/>
      <c r="E40" s="92">
        <v>1</v>
      </c>
      <c r="F40" s="54" t="s">
        <v>27</v>
      </c>
      <c r="G40" s="127">
        <v>5880</v>
      </c>
      <c r="H40" s="34">
        <f t="shared" si="3"/>
        <v>5880</v>
      </c>
      <c r="I40" s="127">
        <v>1000</v>
      </c>
      <c r="J40" s="128">
        <f t="shared" si="4"/>
        <v>1000</v>
      </c>
      <c r="K40" s="129"/>
      <c r="L40" s="130">
        <f t="shared" si="5"/>
        <v>6880</v>
      </c>
    </row>
    <row r="41" spans="1:12" s="38" customFormat="1" ht="15" customHeight="1" x14ac:dyDescent="0.2">
      <c r="A41" s="91" t="s">
        <v>105</v>
      </c>
      <c r="B41" s="33" t="s">
        <v>61</v>
      </c>
      <c r="C41" s="125"/>
      <c r="D41" s="126"/>
      <c r="E41" s="92">
        <v>1</v>
      </c>
      <c r="F41" s="54" t="s">
        <v>27</v>
      </c>
      <c r="G41" s="127">
        <v>3300</v>
      </c>
      <c r="H41" s="34">
        <f t="shared" si="3"/>
        <v>3300</v>
      </c>
      <c r="I41" s="127">
        <v>1000</v>
      </c>
      <c r="J41" s="128">
        <f t="shared" si="4"/>
        <v>1000</v>
      </c>
      <c r="K41" s="129"/>
      <c r="L41" s="130">
        <f t="shared" si="5"/>
        <v>4300</v>
      </c>
    </row>
    <row r="42" spans="1:12" s="38" customFormat="1" ht="15" customHeight="1" x14ac:dyDescent="0.2">
      <c r="A42" s="91" t="s">
        <v>106</v>
      </c>
      <c r="B42" s="33" t="s">
        <v>62</v>
      </c>
      <c r="C42" s="125"/>
      <c r="D42" s="126"/>
      <c r="E42" s="92">
        <v>3</v>
      </c>
      <c r="F42" s="54" t="s">
        <v>26</v>
      </c>
      <c r="G42" s="127">
        <v>5880</v>
      </c>
      <c r="H42" s="34">
        <f t="shared" si="3"/>
        <v>17640</v>
      </c>
      <c r="I42" s="127">
        <v>1000</v>
      </c>
      <c r="J42" s="128">
        <f t="shared" si="4"/>
        <v>3000</v>
      </c>
      <c r="K42" s="129"/>
      <c r="L42" s="130">
        <f t="shared" si="5"/>
        <v>20640</v>
      </c>
    </row>
    <row r="43" spans="1:12" s="38" customFormat="1" ht="15" customHeight="1" x14ac:dyDescent="0.2">
      <c r="A43" s="91" t="s">
        <v>107</v>
      </c>
      <c r="B43" s="33" t="s">
        <v>63</v>
      </c>
      <c r="C43" s="125"/>
      <c r="D43" s="126"/>
      <c r="E43" s="92">
        <v>1</v>
      </c>
      <c r="F43" s="54" t="s">
        <v>27</v>
      </c>
      <c r="G43" s="127">
        <v>7050</v>
      </c>
      <c r="H43" s="34">
        <f t="shared" si="3"/>
        <v>7050</v>
      </c>
      <c r="I43" s="127">
        <v>1000</v>
      </c>
      <c r="J43" s="128">
        <f t="shared" si="4"/>
        <v>1000</v>
      </c>
      <c r="K43" s="129"/>
      <c r="L43" s="130">
        <f t="shared" si="5"/>
        <v>8050</v>
      </c>
    </row>
    <row r="44" spans="1:12" s="38" customFormat="1" ht="15" customHeight="1" x14ac:dyDescent="0.2">
      <c r="A44" s="90">
        <v>5.2</v>
      </c>
      <c r="B44" s="60" t="s">
        <v>85</v>
      </c>
      <c r="C44" s="61"/>
      <c r="D44" s="61"/>
      <c r="E44" s="44"/>
      <c r="F44" s="44"/>
      <c r="G44" s="45"/>
      <c r="H44" s="46"/>
      <c r="I44" s="45"/>
      <c r="J44" s="62"/>
      <c r="K44" s="47"/>
      <c r="L44" s="63"/>
    </row>
    <row r="45" spans="1:12" s="38" customFormat="1" ht="15" customHeight="1" x14ac:dyDescent="0.2">
      <c r="A45" s="91" t="s">
        <v>108</v>
      </c>
      <c r="B45" s="33" t="s">
        <v>64</v>
      </c>
      <c r="C45" s="125"/>
      <c r="D45" s="126"/>
      <c r="E45" s="92">
        <v>1</v>
      </c>
      <c r="F45" s="54" t="s">
        <v>27</v>
      </c>
      <c r="G45" s="127">
        <v>4560</v>
      </c>
      <c r="H45" s="34">
        <f>G45*E45</f>
        <v>4560</v>
      </c>
      <c r="I45" s="127">
        <v>1000</v>
      </c>
      <c r="J45" s="128">
        <f>I45*E45</f>
        <v>1000</v>
      </c>
      <c r="K45" s="129"/>
      <c r="L45" s="130">
        <f>J45+H45</f>
        <v>5560</v>
      </c>
    </row>
    <row r="46" spans="1:12" s="38" customFormat="1" ht="15" customHeight="1" x14ac:dyDescent="0.2">
      <c r="A46" s="91" t="s">
        <v>109</v>
      </c>
      <c r="B46" s="33" t="s">
        <v>79</v>
      </c>
      <c r="C46" s="125"/>
      <c r="D46" s="126"/>
      <c r="E46" s="92">
        <v>4</v>
      </c>
      <c r="F46" s="54" t="s">
        <v>26</v>
      </c>
      <c r="G46" s="127">
        <v>4560</v>
      </c>
      <c r="H46" s="34">
        <f>G46*E46</f>
        <v>18240</v>
      </c>
      <c r="I46" s="127">
        <v>1000</v>
      </c>
      <c r="J46" s="128">
        <f>I46*E46</f>
        <v>4000</v>
      </c>
      <c r="K46" s="129"/>
      <c r="L46" s="130">
        <f>J46+H46</f>
        <v>22240</v>
      </c>
    </row>
    <row r="47" spans="1:12" s="38" customFormat="1" ht="15" customHeight="1" x14ac:dyDescent="0.2">
      <c r="A47" s="91" t="s">
        <v>110</v>
      </c>
      <c r="B47" s="33" t="s">
        <v>59</v>
      </c>
      <c r="C47" s="125"/>
      <c r="D47" s="126"/>
      <c r="E47" s="92">
        <v>3</v>
      </c>
      <c r="F47" s="54" t="s">
        <v>26</v>
      </c>
      <c r="G47" s="127">
        <v>4560</v>
      </c>
      <c r="H47" s="34">
        <f>G47*E47</f>
        <v>13680</v>
      </c>
      <c r="I47" s="127">
        <v>1000</v>
      </c>
      <c r="J47" s="128">
        <f>I47*E47</f>
        <v>3000</v>
      </c>
      <c r="K47" s="129"/>
      <c r="L47" s="130">
        <f>J47+H47</f>
        <v>16680</v>
      </c>
    </row>
    <row r="48" spans="1:12" s="38" customFormat="1" ht="15" customHeight="1" x14ac:dyDescent="0.2">
      <c r="A48" s="90">
        <v>5.3</v>
      </c>
      <c r="B48" s="60" t="s">
        <v>83</v>
      </c>
      <c r="C48" s="61"/>
      <c r="D48" s="61"/>
      <c r="E48" s="44"/>
      <c r="F48" s="44"/>
      <c r="G48" s="45"/>
      <c r="H48" s="46"/>
      <c r="I48" s="45"/>
      <c r="J48" s="62"/>
      <c r="K48" s="47"/>
      <c r="L48" s="63"/>
    </row>
    <row r="49" spans="1:12" s="38" customFormat="1" ht="15" customHeight="1" x14ac:dyDescent="0.2">
      <c r="A49" s="91" t="s">
        <v>111</v>
      </c>
      <c r="B49" s="33" t="s">
        <v>65</v>
      </c>
      <c r="C49" s="125"/>
      <c r="D49" s="126"/>
      <c r="E49" s="92">
        <v>1</v>
      </c>
      <c r="F49" s="54" t="s">
        <v>27</v>
      </c>
      <c r="G49" s="127">
        <v>14900</v>
      </c>
      <c r="H49" s="34">
        <f t="shared" ref="H49:H56" si="6">G49*E49</f>
        <v>14900</v>
      </c>
      <c r="I49" s="127">
        <v>1000</v>
      </c>
      <c r="J49" s="128">
        <f t="shared" ref="J49:J56" si="7">I49*E49</f>
        <v>1000</v>
      </c>
      <c r="K49" s="129"/>
      <c r="L49" s="130">
        <f t="shared" ref="L49:L56" si="8">J49+H49</f>
        <v>15900</v>
      </c>
    </row>
    <row r="50" spans="1:12" s="38" customFormat="1" ht="15" customHeight="1" x14ac:dyDescent="0.2">
      <c r="A50" s="91" t="s">
        <v>112</v>
      </c>
      <c r="B50" s="33" t="s">
        <v>66</v>
      </c>
      <c r="C50" s="125"/>
      <c r="D50" s="126"/>
      <c r="E50" s="92">
        <v>1</v>
      </c>
      <c r="F50" s="54" t="s">
        <v>27</v>
      </c>
      <c r="G50" s="127">
        <v>8700</v>
      </c>
      <c r="H50" s="34">
        <f t="shared" si="6"/>
        <v>8700</v>
      </c>
      <c r="I50" s="127">
        <v>1000</v>
      </c>
      <c r="J50" s="128">
        <f t="shared" si="7"/>
        <v>1000</v>
      </c>
      <c r="K50" s="129"/>
      <c r="L50" s="130">
        <f t="shared" si="8"/>
        <v>9700</v>
      </c>
    </row>
    <row r="51" spans="1:12" s="38" customFormat="1" ht="15" customHeight="1" x14ac:dyDescent="0.2">
      <c r="A51" s="91" t="s">
        <v>113</v>
      </c>
      <c r="B51" s="33" t="s">
        <v>67</v>
      </c>
      <c r="C51" s="125"/>
      <c r="D51" s="126"/>
      <c r="E51" s="92">
        <v>3</v>
      </c>
      <c r="F51" s="54" t="s">
        <v>26</v>
      </c>
      <c r="G51" s="127">
        <v>5320</v>
      </c>
      <c r="H51" s="34">
        <f t="shared" si="6"/>
        <v>15960</v>
      </c>
      <c r="I51" s="127">
        <v>1000</v>
      </c>
      <c r="J51" s="128">
        <f t="shared" si="7"/>
        <v>3000</v>
      </c>
      <c r="K51" s="129"/>
      <c r="L51" s="130">
        <f t="shared" si="8"/>
        <v>18960</v>
      </c>
    </row>
    <row r="52" spans="1:12" s="38" customFormat="1" ht="15" customHeight="1" x14ac:dyDescent="0.2">
      <c r="A52" s="91" t="s">
        <v>114</v>
      </c>
      <c r="B52" s="33" t="s">
        <v>68</v>
      </c>
      <c r="C52" s="125"/>
      <c r="D52" s="126"/>
      <c r="E52" s="92">
        <v>1</v>
      </c>
      <c r="F52" s="54" t="s">
        <v>27</v>
      </c>
      <c r="G52" s="127">
        <v>3200</v>
      </c>
      <c r="H52" s="34">
        <f t="shared" si="6"/>
        <v>3200</v>
      </c>
      <c r="I52" s="127">
        <v>1000</v>
      </c>
      <c r="J52" s="128">
        <f t="shared" si="7"/>
        <v>1000</v>
      </c>
      <c r="K52" s="129"/>
      <c r="L52" s="130">
        <f t="shared" si="8"/>
        <v>4200</v>
      </c>
    </row>
    <row r="53" spans="1:12" s="38" customFormat="1" ht="15" customHeight="1" x14ac:dyDescent="0.2">
      <c r="A53" s="91" t="s">
        <v>115</v>
      </c>
      <c r="B53" s="33" t="s">
        <v>69</v>
      </c>
      <c r="C53" s="125"/>
      <c r="D53" s="126"/>
      <c r="E53" s="92">
        <v>1</v>
      </c>
      <c r="F53" s="54" t="s">
        <v>27</v>
      </c>
      <c r="G53" s="127">
        <v>3200</v>
      </c>
      <c r="H53" s="34">
        <f t="shared" si="6"/>
        <v>3200</v>
      </c>
      <c r="I53" s="127">
        <v>1000</v>
      </c>
      <c r="J53" s="128">
        <f t="shared" si="7"/>
        <v>1000</v>
      </c>
      <c r="K53" s="129"/>
      <c r="L53" s="130">
        <f t="shared" si="8"/>
        <v>4200</v>
      </c>
    </row>
    <row r="54" spans="1:12" s="38" customFormat="1" ht="15" customHeight="1" x14ac:dyDescent="0.2">
      <c r="A54" s="91" t="s">
        <v>116</v>
      </c>
      <c r="B54" s="33" t="s">
        <v>70</v>
      </c>
      <c r="C54" s="125"/>
      <c r="D54" s="126"/>
      <c r="E54" s="92">
        <v>1</v>
      </c>
      <c r="F54" s="54" t="s">
        <v>27</v>
      </c>
      <c r="G54" s="127">
        <v>4700</v>
      </c>
      <c r="H54" s="34">
        <f t="shared" si="6"/>
        <v>4700</v>
      </c>
      <c r="I54" s="127">
        <v>1000</v>
      </c>
      <c r="J54" s="128">
        <f t="shared" si="7"/>
        <v>1000</v>
      </c>
      <c r="K54" s="129"/>
      <c r="L54" s="130">
        <f t="shared" si="8"/>
        <v>5700</v>
      </c>
    </row>
    <row r="55" spans="1:12" s="38" customFormat="1" ht="15" customHeight="1" x14ac:dyDescent="0.2">
      <c r="A55" s="91" t="s">
        <v>117</v>
      </c>
      <c r="B55" s="33" t="s">
        <v>71</v>
      </c>
      <c r="C55" s="125"/>
      <c r="D55" s="126"/>
      <c r="E55" s="92">
        <v>1</v>
      </c>
      <c r="F55" s="54" t="s">
        <v>27</v>
      </c>
      <c r="G55" s="127">
        <v>5850</v>
      </c>
      <c r="H55" s="34">
        <f t="shared" si="6"/>
        <v>5850</v>
      </c>
      <c r="I55" s="127">
        <v>1000</v>
      </c>
      <c r="J55" s="128">
        <f t="shared" si="7"/>
        <v>1000</v>
      </c>
      <c r="K55" s="129"/>
      <c r="L55" s="130">
        <f t="shared" si="8"/>
        <v>6850</v>
      </c>
    </row>
    <row r="56" spans="1:12" s="38" customFormat="1" ht="15" customHeight="1" x14ac:dyDescent="0.2">
      <c r="A56" s="91" t="s">
        <v>118</v>
      </c>
      <c r="B56" s="33" t="s">
        <v>72</v>
      </c>
      <c r="C56" s="125"/>
      <c r="D56" s="126"/>
      <c r="E56" s="92">
        <v>1</v>
      </c>
      <c r="F56" s="54" t="s">
        <v>27</v>
      </c>
      <c r="G56" s="127">
        <v>3200</v>
      </c>
      <c r="H56" s="34">
        <f t="shared" si="6"/>
        <v>3200</v>
      </c>
      <c r="I56" s="127">
        <v>1000</v>
      </c>
      <c r="J56" s="128">
        <f t="shared" si="7"/>
        <v>1000</v>
      </c>
      <c r="K56" s="129"/>
      <c r="L56" s="130">
        <f t="shared" si="8"/>
        <v>4200</v>
      </c>
    </row>
    <row r="57" spans="1:12" s="38" customFormat="1" ht="15" customHeight="1" x14ac:dyDescent="0.2">
      <c r="A57" s="90">
        <v>5.4</v>
      </c>
      <c r="B57" s="60" t="s">
        <v>81</v>
      </c>
      <c r="C57" s="61"/>
      <c r="D57" s="61"/>
      <c r="E57" s="44"/>
      <c r="F57" s="44"/>
      <c r="G57" s="45"/>
      <c r="H57" s="46"/>
      <c r="I57" s="45"/>
      <c r="J57" s="62"/>
      <c r="K57" s="47"/>
      <c r="L57" s="63"/>
    </row>
    <row r="58" spans="1:12" s="38" customFormat="1" ht="15" customHeight="1" thickBot="1" x14ac:dyDescent="0.25">
      <c r="A58" s="91" t="s">
        <v>119</v>
      </c>
      <c r="B58" s="33" t="s">
        <v>80</v>
      </c>
      <c r="C58" s="125"/>
      <c r="D58" s="126"/>
      <c r="E58" s="92">
        <v>7</v>
      </c>
      <c r="F58" s="54" t="s">
        <v>26</v>
      </c>
      <c r="G58" s="127">
        <v>1200</v>
      </c>
      <c r="H58" s="34">
        <f>G58*E58</f>
        <v>8400</v>
      </c>
      <c r="I58" s="127">
        <v>500</v>
      </c>
      <c r="J58" s="128">
        <f>I58*E58</f>
        <v>3500</v>
      </c>
      <c r="K58" s="129"/>
      <c r="L58" s="130">
        <f>J58+H58</f>
        <v>11900</v>
      </c>
    </row>
    <row r="59" spans="1:12" s="38" customFormat="1" ht="15" customHeight="1" thickBot="1" x14ac:dyDescent="0.25">
      <c r="A59" s="434" t="s">
        <v>33</v>
      </c>
      <c r="B59" s="435"/>
      <c r="C59" s="435"/>
      <c r="D59" s="435"/>
      <c r="E59" s="435"/>
      <c r="F59" s="436"/>
      <c r="G59" s="121"/>
      <c r="H59" s="36">
        <f>SUM(H37:H58)</f>
        <v>149560</v>
      </c>
      <c r="I59" s="121"/>
      <c r="J59" s="36">
        <f>SUM(J37:J58)</f>
        <v>30500</v>
      </c>
      <c r="K59" s="121"/>
      <c r="L59" s="36">
        <f>SUM(L37:L58)</f>
        <v>180060</v>
      </c>
    </row>
    <row r="60" spans="1:12" s="38" customFormat="1" ht="15" customHeight="1" x14ac:dyDescent="0.2">
      <c r="A60" s="31">
        <v>6</v>
      </c>
      <c r="B60" s="32" t="s">
        <v>121</v>
      </c>
      <c r="C60" s="39"/>
      <c r="D60" s="39"/>
      <c r="E60" s="40"/>
      <c r="F60" s="40"/>
      <c r="G60" s="41"/>
      <c r="H60" s="41"/>
      <c r="I60" s="41"/>
      <c r="J60" s="41"/>
      <c r="K60" s="41"/>
      <c r="L60" s="42"/>
    </row>
    <row r="61" spans="1:12" s="38" customFormat="1" ht="15" customHeight="1" x14ac:dyDescent="0.2">
      <c r="A61" s="84">
        <v>6.1</v>
      </c>
      <c r="B61" s="101" t="s">
        <v>84</v>
      </c>
      <c r="C61" s="51"/>
      <c r="D61" s="53"/>
      <c r="E61" s="57">
        <v>1</v>
      </c>
      <c r="F61" s="57" t="s">
        <v>27</v>
      </c>
      <c r="G61" s="127">
        <v>215000</v>
      </c>
      <c r="H61" s="34">
        <f>G61*E61</f>
        <v>215000</v>
      </c>
      <c r="I61" s="127">
        <v>8000</v>
      </c>
      <c r="J61" s="128">
        <f>I61*E61</f>
        <v>8000</v>
      </c>
      <c r="K61" s="129"/>
      <c r="L61" s="130">
        <f>J61+H61</f>
        <v>223000</v>
      </c>
    </row>
    <row r="62" spans="1:12" ht="15" customHeight="1" thickBot="1" x14ac:dyDescent="0.25">
      <c r="A62" s="58">
        <v>6.2</v>
      </c>
      <c r="B62" s="85" t="s">
        <v>43</v>
      </c>
      <c r="C62" s="86"/>
      <c r="D62" s="87"/>
      <c r="E62" s="59">
        <v>1</v>
      </c>
      <c r="F62" s="88" t="s">
        <v>29</v>
      </c>
      <c r="G62" s="127">
        <v>0</v>
      </c>
      <c r="H62" s="34">
        <f>G62*E62</f>
        <v>0</v>
      </c>
      <c r="I62" s="127">
        <v>90000</v>
      </c>
      <c r="J62" s="128">
        <f>I62*E62</f>
        <v>90000</v>
      </c>
      <c r="K62" s="129"/>
      <c r="L62" s="130">
        <f>J62+H62</f>
        <v>90000</v>
      </c>
    </row>
    <row r="63" spans="1:12" s="9" customFormat="1" ht="15" customHeight="1" thickBot="1" x14ac:dyDescent="0.25">
      <c r="A63" s="434" t="s">
        <v>33</v>
      </c>
      <c r="B63" s="435"/>
      <c r="C63" s="435"/>
      <c r="D63" s="435"/>
      <c r="E63" s="435"/>
      <c r="F63" s="436"/>
      <c r="G63" s="121"/>
      <c r="H63" s="36">
        <f>SUM(H61:H62)</f>
        <v>215000</v>
      </c>
      <c r="I63" s="121"/>
      <c r="J63" s="36">
        <f>SUM(J61:J62)</f>
        <v>98000</v>
      </c>
      <c r="K63" s="121"/>
      <c r="L63" s="36">
        <f>SUM(L61:L62)</f>
        <v>313000</v>
      </c>
    </row>
    <row r="64" spans="1:12" s="38" customFormat="1" ht="15" customHeight="1" x14ac:dyDescent="0.2">
      <c r="A64" s="93">
        <v>7</v>
      </c>
      <c r="B64" s="94" t="s">
        <v>122</v>
      </c>
      <c r="C64" s="95"/>
      <c r="D64" s="95"/>
      <c r="E64" s="96"/>
      <c r="F64" s="96"/>
      <c r="G64" s="96"/>
      <c r="H64" s="96"/>
      <c r="I64" s="96"/>
      <c r="J64" s="97"/>
      <c r="K64" s="97"/>
      <c r="L64" s="98"/>
    </row>
    <row r="65" spans="1:12" s="38" customFormat="1" ht="15" customHeight="1" x14ac:dyDescent="0.2">
      <c r="A65" s="52">
        <v>7.1</v>
      </c>
      <c r="B65" s="76" t="s">
        <v>86</v>
      </c>
      <c r="C65" s="77"/>
      <c r="D65" s="78"/>
      <c r="E65" s="59">
        <v>1</v>
      </c>
      <c r="F65" s="54" t="s">
        <v>27</v>
      </c>
      <c r="G65" s="127">
        <v>0</v>
      </c>
      <c r="H65" s="34">
        <f>G65*E65</f>
        <v>0</v>
      </c>
      <c r="I65" s="127">
        <v>35000</v>
      </c>
      <c r="J65" s="128">
        <f>I65*E65</f>
        <v>35000</v>
      </c>
      <c r="K65" s="129"/>
      <c r="L65" s="130">
        <f>J65+H65</f>
        <v>35000</v>
      </c>
    </row>
    <row r="66" spans="1:12" s="7" customFormat="1" ht="14.25" x14ac:dyDescent="0.2">
      <c r="A66" s="52">
        <v>7.2</v>
      </c>
      <c r="B66" s="49" t="s">
        <v>91</v>
      </c>
      <c r="C66" s="55"/>
      <c r="D66" s="56"/>
      <c r="E66" s="59">
        <v>1</v>
      </c>
      <c r="F66" s="54" t="s">
        <v>29</v>
      </c>
      <c r="G66" s="127">
        <v>0</v>
      </c>
      <c r="H66" s="34">
        <f>G66*E66</f>
        <v>0</v>
      </c>
      <c r="I66" s="127">
        <v>0</v>
      </c>
      <c r="J66" s="128">
        <f>I66*E66</f>
        <v>0</v>
      </c>
      <c r="K66" s="129"/>
      <c r="L66" s="130">
        <f>J66+H66</f>
        <v>0</v>
      </c>
    </row>
    <row r="67" spans="1:12" s="38" customFormat="1" ht="15" customHeight="1" x14ac:dyDescent="0.2">
      <c r="A67" s="52">
        <v>7.3</v>
      </c>
      <c r="B67" s="99" t="s">
        <v>75</v>
      </c>
      <c r="C67" s="55"/>
      <c r="D67" s="56"/>
      <c r="E67" s="59">
        <v>1</v>
      </c>
      <c r="F67" s="54" t="s">
        <v>29</v>
      </c>
      <c r="G67" s="127">
        <v>0</v>
      </c>
      <c r="H67" s="34">
        <f>G67*E67</f>
        <v>0</v>
      </c>
      <c r="I67" s="127">
        <v>0</v>
      </c>
      <c r="J67" s="128">
        <f>I67*E67</f>
        <v>0</v>
      </c>
      <c r="K67" s="129"/>
      <c r="L67" s="130">
        <f>J67+H67</f>
        <v>0</v>
      </c>
    </row>
    <row r="68" spans="1:12" s="38" customFormat="1" ht="15" customHeight="1" thickBot="1" x14ac:dyDescent="0.25">
      <c r="A68" s="52">
        <v>7.4</v>
      </c>
      <c r="B68" s="85" t="s">
        <v>32</v>
      </c>
      <c r="C68" s="86"/>
      <c r="D68" s="87"/>
      <c r="E68" s="59">
        <v>1</v>
      </c>
      <c r="F68" s="88" t="s">
        <v>29</v>
      </c>
      <c r="G68" s="127">
        <v>0</v>
      </c>
      <c r="H68" s="34">
        <f>G68*E68</f>
        <v>0</v>
      </c>
      <c r="I68" s="127">
        <v>15000</v>
      </c>
      <c r="J68" s="128">
        <f>I68*E68</f>
        <v>15000</v>
      </c>
      <c r="K68" s="129"/>
      <c r="L68" s="130">
        <f>J68+H68</f>
        <v>15000</v>
      </c>
    </row>
    <row r="69" spans="1:12" s="38" customFormat="1" ht="15" customHeight="1" thickBot="1" x14ac:dyDescent="0.25">
      <c r="A69" s="437" t="s">
        <v>33</v>
      </c>
      <c r="B69" s="438"/>
      <c r="C69" s="438"/>
      <c r="D69" s="438"/>
      <c r="E69" s="438"/>
      <c r="F69" s="439"/>
      <c r="G69" s="122"/>
      <c r="H69" s="36">
        <f>SUM(H65:H68)</f>
        <v>0</v>
      </c>
      <c r="I69" s="122"/>
      <c r="J69" s="36">
        <f>SUM(J65:J68)</f>
        <v>50000</v>
      </c>
      <c r="K69" s="122"/>
      <c r="L69" s="36">
        <f>SUM(L65:L68)</f>
        <v>50000</v>
      </c>
    </row>
    <row r="70" spans="1:12" s="38" customFormat="1" ht="15" customHeight="1" x14ac:dyDescent="0.2">
      <c r="A70" s="31">
        <v>8</v>
      </c>
      <c r="B70" s="32" t="s">
        <v>44</v>
      </c>
      <c r="C70" s="39"/>
      <c r="D70" s="39"/>
      <c r="E70" s="40"/>
      <c r="F70" s="40"/>
      <c r="G70" s="41"/>
      <c r="H70" s="89"/>
      <c r="I70" s="41"/>
      <c r="J70" s="89"/>
      <c r="K70" s="41"/>
      <c r="L70" s="42"/>
    </row>
    <row r="71" spans="1:12" s="38" customFormat="1" ht="15" customHeight="1" thickBot="1" x14ac:dyDescent="0.25">
      <c r="A71" s="52">
        <v>8.1</v>
      </c>
      <c r="B71" s="33" t="s">
        <v>45</v>
      </c>
      <c r="C71" s="55"/>
      <c r="D71" s="56"/>
      <c r="E71" s="59">
        <v>1</v>
      </c>
      <c r="F71" s="54" t="s">
        <v>29</v>
      </c>
      <c r="G71" s="127">
        <v>0</v>
      </c>
      <c r="H71" s="34">
        <f>G71*E71</f>
        <v>0</v>
      </c>
      <c r="I71" s="127">
        <v>60000</v>
      </c>
      <c r="J71" s="128">
        <f>I71*E71</f>
        <v>60000</v>
      </c>
      <c r="K71" s="129"/>
      <c r="L71" s="130">
        <f>J71+H71</f>
        <v>60000</v>
      </c>
    </row>
    <row r="72" spans="1:12" ht="15" customHeight="1" thickBot="1" x14ac:dyDescent="0.25">
      <c r="A72" s="434" t="s">
        <v>33</v>
      </c>
      <c r="B72" s="435"/>
      <c r="C72" s="435"/>
      <c r="D72" s="435"/>
      <c r="E72" s="435"/>
      <c r="F72" s="436"/>
      <c r="G72" s="121"/>
      <c r="H72" s="36">
        <f>SUM(H71)</f>
        <v>0</v>
      </c>
      <c r="I72" s="121"/>
      <c r="J72" s="36">
        <f>SUM(J71)</f>
        <v>60000</v>
      </c>
      <c r="K72" s="121"/>
      <c r="L72" s="36">
        <f>SUM(L71)</f>
        <v>60000</v>
      </c>
    </row>
    <row r="73" spans="1:12" s="38" customFormat="1" ht="15" customHeight="1" x14ac:dyDescent="0.2">
      <c r="A73" s="31">
        <v>9</v>
      </c>
      <c r="B73" s="32" t="s">
        <v>46</v>
      </c>
      <c r="C73" s="39"/>
      <c r="D73" s="39"/>
      <c r="E73" s="40"/>
      <c r="F73" s="40"/>
      <c r="G73" s="41"/>
      <c r="H73" s="41"/>
      <c r="I73" s="41"/>
      <c r="J73" s="41"/>
      <c r="K73" s="41"/>
      <c r="L73" s="42"/>
    </row>
    <row r="74" spans="1:12" s="38" customFormat="1" ht="15" customHeight="1" x14ac:dyDescent="0.2">
      <c r="A74" s="48">
        <v>9.1</v>
      </c>
      <c r="B74" s="49" t="s">
        <v>47</v>
      </c>
      <c r="C74" s="55"/>
      <c r="D74" s="55"/>
      <c r="E74" s="57">
        <v>1</v>
      </c>
      <c r="F74" s="64" t="s">
        <v>29</v>
      </c>
      <c r="G74" s="127">
        <v>0</v>
      </c>
      <c r="H74" s="34">
        <f>G74*E74</f>
        <v>0</v>
      </c>
      <c r="I74" s="127">
        <v>15000</v>
      </c>
      <c r="J74" s="128">
        <f>I74*E74</f>
        <v>15000</v>
      </c>
      <c r="K74" s="129"/>
      <c r="L74" s="130">
        <f>J74+H74</f>
        <v>15000</v>
      </c>
    </row>
    <row r="75" spans="1:12" ht="15" customHeight="1" x14ac:dyDescent="0.2">
      <c r="A75" s="48">
        <v>9.1999999999999993</v>
      </c>
      <c r="B75" s="49" t="s">
        <v>48</v>
      </c>
      <c r="C75" s="55"/>
      <c r="D75" s="55"/>
      <c r="E75" s="57">
        <v>1</v>
      </c>
      <c r="F75" s="64" t="s">
        <v>29</v>
      </c>
      <c r="G75" s="127">
        <v>0</v>
      </c>
      <c r="H75" s="34">
        <f>G75*E75</f>
        <v>0</v>
      </c>
      <c r="I75" s="127">
        <v>60000</v>
      </c>
      <c r="J75" s="128">
        <f>I75*E75</f>
        <v>60000</v>
      </c>
      <c r="K75" s="129"/>
      <c r="L75" s="130">
        <f>J75+H75</f>
        <v>60000</v>
      </c>
    </row>
    <row r="76" spans="1:12" s="65" customFormat="1" ht="15" customHeight="1" thickBot="1" x14ac:dyDescent="0.25">
      <c r="A76" s="48">
        <v>9.3000000000000007</v>
      </c>
      <c r="B76" s="49" t="s">
        <v>49</v>
      </c>
      <c r="C76" s="55"/>
      <c r="D76" s="55"/>
      <c r="E76" s="59">
        <v>1</v>
      </c>
      <c r="F76" s="64" t="s">
        <v>29</v>
      </c>
      <c r="G76" s="127">
        <v>0</v>
      </c>
      <c r="H76" s="34">
        <f>G76*E76</f>
        <v>0</v>
      </c>
      <c r="I76" s="127">
        <v>15000</v>
      </c>
      <c r="J76" s="128">
        <f>I76*E76</f>
        <v>15000</v>
      </c>
      <c r="K76" s="129"/>
      <c r="L76" s="130">
        <f>J76+H76</f>
        <v>15000</v>
      </c>
    </row>
    <row r="77" spans="1:12" s="65" customFormat="1" ht="15" customHeight="1" thickBot="1" x14ac:dyDescent="0.25">
      <c r="A77" s="434" t="s">
        <v>33</v>
      </c>
      <c r="B77" s="435"/>
      <c r="C77" s="435"/>
      <c r="D77" s="435"/>
      <c r="E77" s="435"/>
      <c r="F77" s="436"/>
      <c r="G77" s="121"/>
      <c r="H77" s="36">
        <f>SUM(H74:H76)</f>
        <v>0</v>
      </c>
      <c r="I77" s="121"/>
      <c r="J77" s="36">
        <f>SUM(J74:J76)</f>
        <v>90000</v>
      </c>
      <c r="K77" s="121"/>
      <c r="L77" s="36">
        <f>SUM(L74:L76)</f>
        <v>90000</v>
      </c>
    </row>
    <row r="78" spans="1:12" s="65" customFormat="1" ht="15" customHeight="1" x14ac:dyDescent="0.2">
      <c r="A78" s="31">
        <v>10</v>
      </c>
      <c r="B78" s="32" t="s">
        <v>50</v>
      </c>
      <c r="C78" s="39"/>
      <c r="D78" s="39"/>
      <c r="E78" s="40"/>
      <c r="F78" s="40"/>
      <c r="G78" s="41"/>
      <c r="H78" s="41"/>
      <c r="I78" s="41"/>
      <c r="J78" s="41"/>
      <c r="K78" s="41"/>
      <c r="L78" s="42"/>
    </row>
    <row r="79" spans="1:12" s="38" customFormat="1" ht="15" customHeight="1" x14ac:dyDescent="0.2">
      <c r="A79" s="48">
        <v>10.1</v>
      </c>
      <c r="B79" s="50" t="s">
        <v>51</v>
      </c>
      <c r="C79" s="66"/>
      <c r="D79" s="67"/>
      <c r="E79" s="57">
        <v>1</v>
      </c>
      <c r="F79" s="64" t="s">
        <v>29</v>
      </c>
      <c r="G79" s="127">
        <v>0</v>
      </c>
      <c r="H79" s="34">
        <f>G79*E79</f>
        <v>0</v>
      </c>
      <c r="I79" s="127">
        <v>30000</v>
      </c>
      <c r="J79" s="128">
        <f>I79*E79</f>
        <v>30000</v>
      </c>
      <c r="K79" s="129"/>
      <c r="L79" s="130">
        <f>J79+H79</f>
        <v>30000</v>
      </c>
    </row>
    <row r="80" spans="1:12" ht="15" customHeight="1" thickBot="1" x14ac:dyDescent="0.25">
      <c r="A80" s="48">
        <v>10.199999999999999</v>
      </c>
      <c r="B80" s="50" t="s">
        <v>52</v>
      </c>
      <c r="C80" s="66"/>
      <c r="D80" s="69"/>
      <c r="E80" s="59">
        <v>1</v>
      </c>
      <c r="F80" s="64" t="s">
        <v>29</v>
      </c>
      <c r="G80" s="127">
        <v>0</v>
      </c>
      <c r="H80" s="34">
        <f>G80*E80</f>
        <v>0</v>
      </c>
      <c r="I80" s="127">
        <v>15000</v>
      </c>
      <c r="J80" s="128">
        <f>I80*E80</f>
        <v>15000</v>
      </c>
      <c r="K80" s="129"/>
      <c r="L80" s="130">
        <f>J80+H80</f>
        <v>15000</v>
      </c>
    </row>
    <row r="81" spans="1:12" s="68" customFormat="1" ht="15" customHeight="1" thickBot="1" x14ac:dyDescent="0.25">
      <c r="A81" s="434" t="s">
        <v>28</v>
      </c>
      <c r="B81" s="435"/>
      <c r="C81" s="435"/>
      <c r="D81" s="435"/>
      <c r="E81" s="435"/>
      <c r="F81" s="436"/>
      <c r="G81" s="121"/>
      <c r="H81" s="36">
        <f>SUM(H79:H80)</f>
        <v>0</v>
      </c>
      <c r="I81" s="121"/>
      <c r="J81" s="36">
        <f>SUM(J79:J80)</f>
        <v>45000</v>
      </c>
      <c r="K81" s="121"/>
      <c r="L81" s="36">
        <f>SUM(L79:L80)</f>
        <v>45000</v>
      </c>
    </row>
    <row r="82" spans="1:12" s="68" customFormat="1" ht="15" customHeight="1" x14ac:dyDescent="0.2">
      <c r="A82" s="31">
        <v>11</v>
      </c>
      <c r="B82" s="32" t="s">
        <v>4</v>
      </c>
      <c r="C82" s="39"/>
      <c r="D82" s="39"/>
      <c r="E82" s="40"/>
      <c r="F82" s="40"/>
      <c r="G82" s="41"/>
      <c r="H82" s="41"/>
      <c r="I82" s="41"/>
      <c r="J82" s="41"/>
      <c r="K82" s="41"/>
      <c r="L82" s="42"/>
    </row>
    <row r="83" spans="1:12" s="38" customFormat="1" ht="15" customHeight="1" x14ac:dyDescent="0.2">
      <c r="A83" s="70">
        <v>11.1</v>
      </c>
      <c r="B83" s="50" t="s">
        <v>30</v>
      </c>
      <c r="C83" s="35"/>
      <c r="D83" s="71"/>
      <c r="E83" s="57">
        <v>1</v>
      </c>
      <c r="F83" s="64" t="s">
        <v>29</v>
      </c>
      <c r="G83" s="127">
        <v>0</v>
      </c>
      <c r="H83" s="34">
        <f>G83*E83</f>
        <v>0</v>
      </c>
      <c r="I83" s="127">
        <v>15000</v>
      </c>
      <c r="J83" s="128">
        <f>I83*E83</f>
        <v>15000</v>
      </c>
      <c r="K83" s="129"/>
      <c r="L83" s="130">
        <f>J83+H83</f>
        <v>15000</v>
      </c>
    </row>
    <row r="84" spans="1:12" ht="15" customHeight="1" x14ac:dyDescent="0.2">
      <c r="A84" s="70">
        <v>11.2</v>
      </c>
      <c r="B84" s="50" t="s">
        <v>31</v>
      </c>
      <c r="C84" s="35"/>
      <c r="D84" s="71"/>
      <c r="E84" s="57">
        <v>1</v>
      </c>
      <c r="F84" s="64" t="s">
        <v>29</v>
      </c>
      <c r="G84" s="127">
        <v>0</v>
      </c>
      <c r="H84" s="34">
        <f>G84*E84</f>
        <v>0</v>
      </c>
      <c r="I84" s="127">
        <v>10000</v>
      </c>
      <c r="J84" s="128">
        <f>I84*E84</f>
        <v>10000</v>
      </c>
      <c r="K84" s="129"/>
      <c r="L84" s="130">
        <f>J84+H84</f>
        <v>10000</v>
      </c>
    </row>
    <row r="85" spans="1:12" s="38" customFormat="1" ht="15" customHeight="1" x14ac:dyDescent="0.2">
      <c r="A85" s="70">
        <v>11.3</v>
      </c>
      <c r="B85" s="50" t="s">
        <v>53</v>
      </c>
      <c r="C85" s="35"/>
      <c r="D85" s="71"/>
      <c r="E85" s="57">
        <v>1</v>
      </c>
      <c r="F85" s="64" t="s">
        <v>29</v>
      </c>
      <c r="G85" s="127">
        <v>0</v>
      </c>
      <c r="H85" s="34">
        <f>G85*E85</f>
        <v>0</v>
      </c>
      <c r="I85" s="127">
        <v>30000</v>
      </c>
      <c r="J85" s="128">
        <f>I85*E85</f>
        <v>30000</v>
      </c>
      <c r="K85" s="129"/>
      <c r="L85" s="130">
        <f>J85+H85</f>
        <v>30000</v>
      </c>
    </row>
    <row r="86" spans="1:12" s="38" customFormat="1" ht="15" customHeight="1" thickBot="1" x14ac:dyDescent="0.25">
      <c r="A86" s="70">
        <v>11.4</v>
      </c>
      <c r="B86" s="50" t="s">
        <v>54</v>
      </c>
      <c r="C86" s="35"/>
      <c r="D86" s="71"/>
      <c r="E86" s="59">
        <v>1</v>
      </c>
      <c r="F86" s="64" t="s">
        <v>29</v>
      </c>
      <c r="G86" s="127">
        <v>0</v>
      </c>
      <c r="H86" s="34">
        <f>G86*E86</f>
        <v>0</v>
      </c>
      <c r="I86" s="127">
        <v>20000</v>
      </c>
      <c r="J86" s="128">
        <f>I86*E86</f>
        <v>20000</v>
      </c>
      <c r="K86" s="129"/>
      <c r="L86" s="130">
        <f>J86+H86</f>
        <v>20000</v>
      </c>
    </row>
    <row r="87" spans="1:12" s="38" customFormat="1" ht="15" customHeight="1" thickBot="1" x14ac:dyDescent="0.25">
      <c r="A87" s="428" t="s">
        <v>33</v>
      </c>
      <c r="B87" s="429"/>
      <c r="C87" s="429"/>
      <c r="D87" s="429"/>
      <c r="E87" s="429"/>
      <c r="F87" s="430"/>
      <c r="G87" s="120"/>
      <c r="H87" s="72">
        <f>SUM(H83:H86)</f>
        <v>0</v>
      </c>
      <c r="I87" s="120"/>
      <c r="J87" s="72">
        <f>SUM(J83:J86)</f>
        <v>75000</v>
      </c>
      <c r="K87" s="120"/>
      <c r="L87" s="72">
        <f>SUM(L83:L86)</f>
        <v>75000</v>
      </c>
    </row>
    <row r="88" spans="1:12" s="38" customFormat="1" ht="15" customHeight="1" thickBot="1" x14ac:dyDescent="0.25">
      <c r="A88" s="428" t="s">
        <v>124</v>
      </c>
      <c r="B88" s="429"/>
      <c r="C88" s="429"/>
      <c r="D88" s="429"/>
      <c r="E88" s="429"/>
      <c r="F88" s="430"/>
      <c r="G88" s="120"/>
      <c r="H88" s="131">
        <f>H87+H81+H77+H72+H69+H63+H59+H34+H30+H26+H16</f>
        <v>1659649.5</v>
      </c>
      <c r="I88" s="120"/>
      <c r="J88" s="131">
        <f>J87+J81+J77+J72+J69+J63+J59+J34+J30+J26+J16</f>
        <v>639360</v>
      </c>
      <c r="K88" s="120"/>
      <c r="L88" s="131">
        <f>L87+L81+L77+L72+L69+L63+L59+L34+L30+L26+L16</f>
        <v>2299009.5</v>
      </c>
    </row>
    <row r="89" spans="1:12" s="38" customFormat="1" ht="15" customHeight="1" x14ac:dyDescent="0.2">
      <c r="A89" s="74"/>
      <c r="B89" s="43"/>
      <c r="C89" s="43"/>
      <c r="D89" s="43"/>
      <c r="E89" s="75"/>
      <c r="F89" s="75"/>
      <c r="G89" s="73"/>
      <c r="H89" s="73"/>
      <c r="I89" s="73"/>
      <c r="J89" s="73"/>
      <c r="K89" s="73"/>
      <c r="L89" s="73"/>
    </row>
  </sheetData>
  <mergeCells count="22">
    <mergeCell ref="A4:L4"/>
    <mergeCell ref="B6:D6"/>
    <mergeCell ref="A7:A9"/>
    <mergeCell ref="B7:D9"/>
    <mergeCell ref="E7:E9"/>
    <mergeCell ref="F7:F9"/>
    <mergeCell ref="G7:H7"/>
    <mergeCell ref="I7:J7"/>
    <mergeCell ref="K7:L7"/>
    <mergeCell ref="A88:F88"/>
    <mergeCell ref="B10:D10"/>
    <mergeCell ref="A16:F16"/>
    <mergeCell ref="A26:F26"/>
    <mergeCell ref="A30:F30"/>
    <mergeCell ref="A34:F34"/>
    <mergeCell ref="A87:F87"/>
    <mergeCell ref="A59:F59"/>
    <mergeCell ref="A63:F63"/>
    <mergeCell ref="A72:F72"/>
    <mergeCell ref="A77:F77"/>
    <mergeCell ref="A81:F81"/>
    <mergeCell ref="A69:F69"/>
  </mergeCells>
  <printOptions horizontalCentered="1" gridLinesSet="0"/>
  <pageMargins left="0.5" right="0.25" top="0.75" bottom="0.53" header="0.5" footer="0.12"/>
  <pageSetup paperSize="9" scale="85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9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C188"/>
  <sheetViews>
    <sheetView showGridLines="0" zoomScaleNormal="100" zoomScaleSheetLayoutView="100" workbookViewId="0">
      <selection activeCell="K11" sqref="K11"/>
    </sheetView>
  </sheetViews>
  <sheetFormatPr defaultColWidth="9.140625" defaultRowHeight="12.75" x14ac:dyDescent="0.2"/>
  <cols>
    <col min="1" max="1" width="8.7109375" style="384" customWidth="1"/>
    <col min="2" max="2" width="63.42578125" style="383" customWidth="1"/>
    <col min="3" max="3" width="11" style="385" customWidth="1"/>
    <col min="4" max="4" width="5.28515625" style="385" customWidth="1"/>
    <col min="5" max="7" width="11.28515625" style="386" customWidth="1"/>
    <col min="8" max="8" width="11.28515625" style="387" customWidth="1"/>
    <col min="9" max="9" width="11.28515625" style="386" customWidth="1"/>
    <col min="10" max="10" width="11.28515625" style="383" customWidth="1"/>
    <col min="11" max="16384" width="9.140625" style="383"/>
  </cols>
  <sheetData>
    <row r="1" spans="1:55" s="1" customFormat="1" ht="15" x14ac:dyDescent="0.2">
      <c r="A1" s="1" t="s">
        <v>96</v>
      </c>
      <c r="E1" s="3"/>
      <c r="F1" s="3"/>
      <c r="G1" s="3"/>
      <c r="H1" s="3"/>
      <c r="I1" s="3"/>
      <c r="J1" s="3" t="s">
        <v>5</v>
      </c>
    </row>
    <row r="2" spans="1:55" s="1" customFormat="1" ht="15" x14ac:dyDescent="0.2">
      <c r="A2" s="273" t="s">
        <v>223</v>
      </c>
      <c r="E2" s="3"/>
      <c r="F2" s="3"/>
      <c r="G2" s="3"/>
      <c r="H2" s="3"/>
      <c r="I2" s="3"/>
      <c r="J2" s="3" t="s">
        <v>97</v>
      </c>
    </row>
    <row r="3" spans="1:55" s="1" customFormat="1" ht="15" x14ac:dyDescent="0.2">
      <c r="A3" s="273"/>
      <c r="E3" s="3"/>
      <c r="F3" s="3"/>
      <c r="G3" s="3"/>
      <c r="H3" s="3"/>
      <c r="I3" s="3"/>
      <c r="J3" s="3"/>
    </row>
    <row r="4" spans="1:55" s="1" customFormat="1" ht="15" x14ac:dyDescent="0.2">
      <c r="A4" s="468" t="s">
        <v>5</v>
      </c>
      <c r="B4" s="468"/>
      <c r="C4" s="468"/>
      <c r="D4" s="468"/>
      <c r="E4" s="468"/>
      <c r="F4" s="468"/>
      <c r="G4" s="468"/>
      <c r="H4" s="468"/>
      <c r="I4" s="468"/>
      <c r="J4" s="468"/>
    </row>
    <row r="5" spans="1:55" s="274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s="284" customFormat="1" ht="12.75" customHeight="1" x14ac:dyDescent="0.2">
      <c r="A6" s="275" t="s">
        <v>6</v>
      </c>
      <c r="B6" s="276" t="s">
        <v>7</v>
      </c>
      <c r="C6" s="277" t="s">
        <v>8</v>
      </c>
      <c r="D6" s="278" t="s">
        <v>9</v>
      </c>
      <c r="E6" s="279" t="s">
        <v>10</v>
      </c>
      <c r="F6" s="280" t="s">
        <v>11</v>
      </c>
      <c r="G6" s="281" t="s">
        <v>12</v>
      </c>
      <c r="H6" s="282" t="s">
        <v>13</v>
      </c>
      <c r="I6" s="283" t="s">
        <v>14</v>
      </c>
      <c r="J6" s="282" t="s">
        <v>15</v>
      </c>
    </row>
    <row r="7" spans="1:55" s="284" customFormat="1" ht="12.75" customHeight="1" x14ac:dyDescent="0.2">
      <c r="A7" s="469" t="s">
        <v>2</v>
      </c>
      <c r="B7" s="471" t="s">
        <v>3</v>
      </c>
      <c r="C7" s="473" t="s">
        <v>16</v>
      </c>
      <c r="D7" s="476" t="s">
        <v>1</v>
      </c>
      <c r="E7" s="479" t="s">
        <v>17</v>
      </c>
      <c r="F7" s="480"/>
      <c r="G7" s="479" t="s">
        <v>129</v>
      </c>
      <c r="H7" s="481"/>
      <c r="I7" s="479" t="s">
        <v>19</v>
      </c>
      <c r="J7" s="481"/>
    </row>
    <row r="8" spans="1:55" s="284" customFormat="1" ht="12.75" customHeight="1" x14ac:dyDescent="0.2">
      <c r="A8" s="469"/>
      <c r="B8" s="471"/>
      <c r="C8" s="474"/>
      <c r="D8" s="477"/>
      <c r="E8" s="285" t="s">
        <v>0</v>
      </c>
      <c r="F8" s="286" t="s">
        <v>20</v>
      </c>
      <c r="G8" s="285" t="s">
        <v>0</v>
      </c>
      <c r="H8" s="287" t="s">
        <v>20</v>
      </c>
      <c r="I8" s="285" t="s">
        <v>0</v>
      </c>
      <c r="J8" s="287" t="s">
        <v>20</v>
      </c>
    </row>
    <row r="9" spans="1:55" s="284" customFormat="1" ht="12.75" customHeight="1" x14ac:dyDescent="0.2">
      <c r="A9" s="470"/>
      <c r="B9" s="472"/>
      <c r="C9" s="475"/>
      <c r="D9" s="478"/>
      <c r="E9" s="288" t="s">
        <v>21</v>
      </c>
      <c r="F9" s="289" t="s">
        <v>21</v>
      </c>
      <c r="G9" s="288" t="s">
        <v>21</v>
      </c>
      <c r="H9" s="290" t="s">
        <v>21</v>
      </c>
      <c r="I9" s="288" t="s">
        <v>21</v>
      </c>
      <c r="J9" s="290" t="s">
        <v>21</v>
      </c>
    </row>
    <row r="10" spans="1:55" s="284" customFormat="1" ht="12.75" customHeight="1" x14ac:dyDescent="0.2">
      <c r="A10" s="291"/>
      <c r="B10" s="292"/>
      <c r="C10" s="293"/>
      <c r="D10" s="294"/>
      <c r="E10" s="295"/>
      <c r="F10" s="296" t="s">
        <v>22</v>
      </c>
      <c r="G10" s="297"/>
      <c r="H10" s="298" t="s">
        <v>23</v>
      </c>
      <c r="I10" s="299" t="s">
        <v>24</v>
      </c>
      <c r="J10" s="298" t="s">
        <v>25</v>
      </c>
    </row>
    <row r="11" spans="1:55" s="9" customFormat="1" ht="14.25" customHeight="1" x14ac:dyDescent="0.2">
      <c r="A11" s="6">
        <v>1</v>
      </c>
      <c r="B11" s="300" t="s">
        <v>224</v>
      </c>
      <c r="C11" s="301"/>
      <c r="D11" s="301"/>
      <c r="E11" s="301"/>
      <c r="F11" s="302"/>
      <c r="G11" s="301"/>
      <c r="H11" s="302"/>
      <c r="I11" s="301"/>
      <c r="J11" s="303"/>
    </row>
    <row r="12" spans="1:55" s="9" customFormat="1" ht="14.1" customHeight="1" x14ac:dyDescent="0.2">
      <c r="A12" s="304">
        <v>1.1000000000000001</v>
      </c>
      <c r="B12" s="106" t="s">
        <v>225</v>
      </c>
      <c r="C12" s="305">
        <v>5</v>
      </c>
      <c r="D12" s="306" t="s">
        <v>26</v>
      </c>
      <c r="E12" s="307">
        <v>9000</v>
      </c>
      <c r="F12" s="308">
        <f>E12*C12</f>
        <v>45000</v>
      </c>
      <c r="G12" s="307">
        <v>1000</v>
      </c>
      <c r="H12" s="308">
        <f>G12*C12</f>
        <v>5000</v>
      </c>
      <c r="I12" s="309"/>
      <c r="J12" s="310">
        <f>H12+F12</f>
        <v>50000</v>
      </c>
    </row>
    <row r="13" spans="1:55" s="9" customFormat="1" ht="25.5" customHeight="1" x14ac:dyDescent="0.2">
      <c r="A13" s="304">
        <v>1.2</v>
      </c>
      <c r="B13" s="311" t="s">
        <v>226</v>
      </c>
      <c r="C13" s="305">
        <v>1</v>
      </c>
      <c r="D13" s="306" t="s">
        <v>29</v>
      </c>
      <c r="E13" s="307">
        <v>0</v>
      </c>
      <c r="F13" s="308">
        <f>E13*C13</f>
        <v>0</v>
      </c>
      <c r="G13" s="307">
        <v>35000</v>
      </c>
      <c r="H13" s="308">
        <f>G13*C13</f>
        <v>35000</v>
      </c>
      <c r="I13" s="309"/>
      <c r="J13" s="310">
        <f>H13+F13</f>
        <v>35000</v>
      </c>
    </row>
    <row r="14" spans="1:55" s="9" customFormat="1" ht="14.25" customHeight="1" thickBot="1" x14ac:dyDescent="0.25">
      <c r="A14" s="304">
        <v>1.3</v>
      </c>
      <c r="B14" s="106" t="s">
        <v>227</v>
      </c>
      <c r="C14" s="305" t="s">
        <v>134</v>
      </c>
      <c r="D14" s="312" t="s">
        <v>27</v>
      </c>
      <c r="E14" s="307">
        <v>0</v>
      </c>
      <c r="F14" s="313" t="s">
        <v>135</v>
      </c>
      <c r="G14" s="307">
        <v>0</v>
      </c>
      <c r="H14" s="313" t="s">
        <v>135</v>
      </c>
      <c r="I14" s="314"/>
      <c r="J14" s="313" t="s">
        <v>135</v>
      </c>
    </row>
    <row r="15" spans="1:55" s="9" customFormat="1" ht="14.25" customHeight="1" thickBot="1" x14ac:dyDescent="0.25">
      <c r="A15" s="464" t="s">
        <v>28</v>
      </c>
      <c r="B15" s="465"/>
      <c r="C15" s="465"/>
      <c r="D15" s="465"/>
      <c r="E15" s="315"/>
      <c r="F15" s="413">
        <f>SUM(F12:F14)</f>
        <v>45000</v>
      </c>
      <c r="G15" s="315"/>
      <c r="H15" s="413">
        <f>SUM(H12:H14)</f>
        <v>40000</v>
      </c>
      <c r="I15" s="315"/>
      <c r="J15" s="413">
        <f>SUM(J12:J14)</f>
        <v>85000</v>
      </c>
    </row>
    <row r="16" spans="1:55" s="9" customFormat="1" ht="14.25" customHeight="1" x14ac:dyDescent="0.2">
      <c r="A16" s="6">
        <v>2</v>
      </c>
      <c r="B16" s="316" t="s">
        <v>228</v>
      </c>
      <c r="C16" s="317"/>
      <c r="D16" s="317"/>
      <c r="E16" s="317"/>
      <c r="F16" s="318"/>
      <c r="G16" s="318"/>
      <c r="H16" s="319"/>
      <c r="I16" s="320"/>
      <c r="J16" s="321"/>
    </row>
    <row r="17" spans="1:10" s="9" customFormat="1" ht="14.25" customHeight="1" thickBot="1" x14ac:dyDescent="0.25">
      <c r="A17" s="304">
        <v>2.1</v>
      </c>
      <c r="B17" s="311" t="s">
        <v>229</v>
      </c>
      <c r="C17" s="322">
        <f>C12</f>
        <v>5</v>
      </c>
      <c r="D17" s="323" t="s">
        <v>26</v>
      </c>
      <c r="E17" s="307">
        <v>11000</v>
      </c>
      <c r="F17" s="308">
        <f>E17*C17</f>
        <v>55000</v>
      </c>
      <c r="G17" s="307">
        <v>1000</v>
      </c>
      <c r="H17" s="308">
        <f>G17*C17</f>
        <v>5000</v>
      </c>
      <c r="I17" s="309"/>
      <c r="J17" s="310">
        <f>H17+F17</f>
        <v>60000</v>
      </c>
    </row>
    <row r="18" spans="1:10" s="9" customFormat="1" ht="14.25" customHeight="1" thickBot="1" x14ac:dyDescent="0.25">
      <c r="A18" s="464" t="s">
        <v>28</v>
      </c>
      <c r="B18" s="465"/>
      <c r="C18" s="465"/>
      <c r="D18" s="465"/>
      <c r="E18" s="324"/>
      <c r="F18" s="413">
        <f>SUM(F17)</f>
        <v>55000</v>
      </c>
      <c r="G18" s="324"/>
      <c r="H18" s="413">
        <f>SUM(H17)</f>
        <v>5000</v>
      </c>
      <c r="I18" s="324"/>
      <c r="J18" s="413">
        <f>SUM(J17)</f>
        <v>60000</v>
      </c>
    </row>
    <row r="19" spans="1:10" s="9" customFormat="1" ht="14.25" customHeight="1" x14ac:dyDescent="0.2">
      <c r="A19" s="6">
        <v>3</v>
      </c>
      <c r="B19" s="316" t="s">
        <v>230</v>
      </c>
      <c r="C19" s="325"/>
      <c r="D19" s="325"/>
      <c r="E19" s="325"/>
      <c r="F19" s="325"/>
      <c r="G19" s="325"/>
      <c r="H19" s="325"/>
      <c r="I19" s="326"/>
      <c r="J19" s="327"/>
    </row>
    <row r="20" spans="1:10" s="9" customFormat="1" ht="14.25" customHeight="1" thickBot="1" x14ac:dyDescent="0.25">
      <c r="A20" s="304">
        <v>3.1</v>
      </c>
      <c r="B20" s="328" t="s">
        <v>231</v>
      </c>
      <c r="C20" s="305">
        <v>1</v>
      </c>
      <c r="D20" s="312" t="s">
        <v>27</v>
      </c>
      <c r="E20" s="307">
        <v>17000</v>
      </c>
      <c r="F20" s="308">
        <f>E20*C20</f>
        <v>17000</v>
      </c>
      <c r="G20" s="307">
        <v>500</v>
      </c>
      <c r="H20" s="308">
        <f>G20*C20</f>
        <v>500</v>
      </c>
      <c r="I20" s="309"/>
      <c r="J20" s="310">
        <f>H20+F20</f>
        <v>17500</v>
      </c>
    </row>
    <row r="21" spans="1:10" s="9" customFormat="1" ht="14.25" customHeight="1" thickBot="1" x14ac:dyDescent="0.25">
      <c r="A21" s="464" t="s">
        <v>28</v>
      </c>
      <c r="B21" s="465"/>
      <c r="C21" s="465"/>
      <c r="D21" s="465"/>
      <c r="E21" s="315"/>
      <c r="F21" s="413">
        <f>SUM(F20)</f>
        <v>17000</v>
      </c>
      <c r="G21" s="315"/>
      <c r="H21" s="413">
        <f>SUM(H20)</f>
        <v>500</v>
      </c>
      <c r="I21" s="315"/>
      <c r="J21" s="413">
        <f>SUM(J20)</f>
        <v>17500</v>
      </c>
    </row>
    <row r="22" spans="1:10" s="9" customFormat="1" ht="14.25" customHeight="1" x14ac:dyDescent="0.2">
      <c r="A22" s="6">
        <v>4</v>
      </c>
      <c r="B22" s="316" t="s">
        <v>232</v>
      </c>
      <c r="C22" s="325"/>
      <c r="D22" s="325"/>
      <c r="E22" s="325"/>
      <c r="F22" s="325"/>
      <c r="G22" s="325"/>
      <c r="H22" s="325"/>
      <c r="I22" s="325"/>
      <c r="J22" s="327"/>
    </row>
    <row r="23" spans="1:10" s="9" customFormat="1" ht="14.25" customHeight="1" x14ac:dyDescent="0.2">
      <c r="A23" s="329">
        <v>4.0999999999999996</v>
      </c>
      <c r="B23" s="330" t="s">
        <v>233</v>
      </c>
      <c r="C23" s="331"/>
      <c r="D23" s="332"/>
      <c r="E23" s="333"/>
      <c r="F23" s="333"/>
      <c r="G23" s="333"/>
      <c r="H23" s="333"/>
      <c r="I23" s="333"/>
      <c r="J23" s="334"/>
    </row>
    <row r="24" spans="1:10" s="9" customFormat="1" ht="14.25" customHeight="1" x14ac:dyDescent="0.2">
      <c r="A24" s="304" t="s">
        <v>234</v>
      </c>
      <c r="B24" s="106" t="s">
        <v>235</v>
      </c>
      <c r="C24" s="335" t="s">
        <v>134</v>
      </c>
      <c r="D24" s="323" t="s">
        <v>94</v>
      </c>
      <c r="E24" s="307">
        <v>0</v>
      </c>
      <c r="F24" s="313" t="s">
        <v>135</v>
      </c>
      <c r="G24" s="307">
        <v>0</v>
      </c>
      <c r="H24" s="313" t="s">
        <v>135</v>
      </c>
      <c r="I24" s="314"/>
      <c r="J24" s="313" t="s">
        <v>135</v>
      </c>
    </row>
    <row r="25" spans="1:10" s="9" customFormat="1" ht="14.25" customHeight="1" x14ac:dyDescent="0.2">
      <c r="A25" s="304" t="s">
        <v>236</v>
      </c>
      <c r="B25" s="106" t="s">
        <v>237</v>
      </c>
      <c r="C25" s="335" t="s">
        <v>134</v>
      </c>
      <c r="D25" s="323" t="s">
        <v>94</v>
      </c>
      <c r="E25" s="307">
        <v>0</v>
      </c>
      <c r="F25" s="313" t="s">
        <v>135</v>
      </c>
      <c r="G25" s="307">
        <v>0</v>
      </c>
      <c r="H25" s="313" t="s">
        <v>135</v>
      </c>
      <c r="I25" s="314"/>
      <c r="J25" s="313" t="s">
        <v>135</v>
      </c>
    </row>
    <row r="26" spans="1:10" s="9" customFormat="1" ht="14.25" customHeight="1" x14ac:dyDescent="0.2">
      <c r="A26" s="304" t="s">
        <v>238</v>
      </c>
      <c r="B26" s="106" t="s">
        <v>239</v>
      </c>
      <c r="C26" s="335" t="s">
        <v>134</v>
      </c>
      <c r="D26" s="323" t="s">
        <v>94</v>
      </c>
      <c r="E26" s="307">
        <v>0</v>
      </c>
      <c r="F26" s="313" t="s">
        <v>135</v>
      </c>
      <c r="G26" s="307">
        <v>0</v>
      </c>
      <c r="H26" s="313" t="s">
        <v>135</v>
      </c>
      <c r="I26" s="314"/>
      <c r="J26" s="313" t="s">
        <v>135</v>
      </c>
    </row>
    <row r="27" spans="1:10" s="9" customFormat="1" ht="14.25" customHeight="1" x14ac:dyDescent="0.2">
      <c r="A27" s="304" t="s">
        <v>240</v>
      </c>
      <c r="B27" s="106" t="s">
        <v>241</v>
      </c>
      <c r="C27" s="336" t="s">
        <v>134</v>
      </c>
      <c r="D27" s="323" t="s">
        <v>94</v>
      </c>
      <c r="E27" s="307">
        <v>0</v>
      </c>
      <c r="F27" s="313" t="s">
        <v>135</v>
      </c>
      <c r="G27" s="307">
        <v>0</v>
      </c>
      <c r="H27" s="313" t="s">
        <v>135</v>
      </c>
      <c r="I27" s="314"/>
      <c r="J27" s="313" t="s">
        <v>135</v>
      </c>
    </row>
    <row r="28" spans="1:10" s="9" customFormat="1" ht="14.25" customHeight="1" x14ac:dyDescent="0.2">
      <c r="A28" s="304" t="s">
        <v>242</v>
      </c>
      <c r="B28" s="106" t="s">
        <v>243</v>
      </c>
      <c r="C28" s="336" t="s">
        <v>134</v>
      </c>
      <c r="D28" s="323" t="s">
        <v>94</v>
      </c>
      <c r="E28" s="307">
        <v>0</v>
      </c>
      <c r="F28" s="313" t="s">
        <v>135</v>
      </c>
      <c r="G28" s="307">
        <v>0</v>
      </c>
      <c r="H28" s="313" t="s">
        <v>135</v>
      </c>
      <c r="I28" s="314"/>
      <c r="J28" s="313" t="s">
        <v>135</v>
      </c>
    </row>
    <row r="29" spans="1:10" s="9" customFormat="1" ht="14.25" customHeight="1" x14ac:dyDescent="0.2">
      <c r="A29" s="304" t="s">
        <v>244</v>
      </c>
      <c r="B29" s="106" t="s">
        <v>245</v>
      </c>
      <c r="C29" s="336" t="s">
        <v>134</v>
      </c>
      <c r="D29" s="323" t="s">
        <v>94</v>
      </c>
      <c r="E29" s="307">
        <v>0</v>
      </c>
      <c r="F29" s="313" t="s">
        <v>135</v>
      </c>
      <c r="G29" s="307">
        <v>0</v>
      </c>
      <c r="H29" s="313" t="s">
        <v>135</v>
      </c>
      <c r="I29" s="314"/>
      <c r="J29" s="313" t="s">
        <v>135</v>
      </c>
    </row>
    <row r="30" spans="1:10" s="9" customFormat="1" ht="14.25" customHeight="1" x14ac:dyDescent="0.2">
      <c r="A30" s="329">
        <v>4.2</v>
      </c>
      <c r="B30" s="330" t="s">
        <v>246</v>
      </c>
      <c r="C30" s="331"/>
      <c r="D30" s="332"/>
      <c r="E30" s="333"/>
      <c r="F30" s="333"/>
      <c r="G30" s="333"/>
      <c r="H30" s="333"/>
      <c r="I30" s="333"/>
      <c r="J30" s="334"/>
    </row>
    <row r="31" spans="1:10" s="9" customFormat="1" ht="14.25" customHeight="1" x14ac:dyDescent="0.2">
      <c r="A31" s="304" t="s">
        <v>247</v>
      </c>
      <c r="B31" s="106" t="s">
        <v>248</v>
      </c>
      <c r="C31" s="336" t="s">
        <v>134</v>
      </c>
      <c r="D31" s="323" t="s">
        <v>94</v>
      </c>
      <c r="E31" s="307">
        <v>6800</v>
      </c>
      <c r="F31" s="313" t="s">
        <v>135</v>
      </c>
      <c r="G31" s="307">
        <v>1200</v>
      </c>
      <c r="H31" s="313" t="s">
        <v>135</v>
      </c>
      <c r="I31" s="314"/>
      <c r="J31" s="313" t="s">
        <v>135</v>
      </c>
    </row>
    <row r="32" spans="1:10" s="9" customFormat="1" ht="14.25" customHeight="1" x14ac:dyDescent="0.2">
      <c r="A32" s="304" t="s">
        <v>249</v>
      </c>
      <c r="B32" s="106" t="s">
        <v>250</v>
      </c>
      <c r="C32" s="335">
        <v>4</v>
      </c>
      <c r="D32" s="323" t="s">
        <v>94</v>
      </c>
      <c r="E32" s="307">
        <v>5750</v>
      </c>
      <c r="F32" s="337">
        <f>E32*C32</f>
        <v>23000</v>
      </c>
      <c r="G32" s="307">
        <v>1000</v>
      </c>
      <c r="H32" s="307">
        <f>G32*C32</f>
        <v>4000</v>
      </c>
      <c r="I32" s="314"/>
      <c r="J32" s="338">
        <f>H32+F32</f>
        <v>27000</v>
      </c>
    </row>
    <row r="33" spans="1:10" s="9" customFormat="1" ht="14.25" customHeight="1" x14ac:dyDescent="0.2">
      <c r="A33" s="304" t="s">
        <v>251</v>
      </c>
      <c r="B33" s="106" t="s">
        <v>252</v>
      </c>
      <c r="C33" s="336">
        <v>7</v>
      </c>
      <c r="D33" s="323" t="s">
        <v>94</v>
      </c>
      <c r="E33" s="307">
        <v>4800</v>
      </c>
      <c r="F33" s="337">
        <f>E33*C33</f>
        <v>33600</v>
      </c>
      <c r="G33" s="307">
        <v>900</v>
      </c>
      <c r="H33" s="307">
        <f>G33*C33</f>
        <v>6300</v>
      </c>
      <c r="I33" s="314"/>
      <c r="J33" s="338">
        <f>H33+F33</f>
        <v>39900</v>
      </c>
    </row>
    <row r="34" spans="1:10" s="9" customFormat="1" ht="14.25" customHeight="1" thickBot="1" x14ac:dyDescent="0.25">
      <c r="A34" s="304" t="s">
        <v>253</v>
      </c>
      <c r="B34" s="106" t="s">
        <v>254</v>
      </c>
      <c r="C34" s="335">
        <v>44</v>
      </c>
      <c r="D34" s="323" t="s">
        <v>94</v>
      </c>
      <c r="E34" s="307">
        <v>3250</v>
      </c>
      <c r="F34" s="337">
        <f>E34*C34</f>
        <v>143000</v>
      </c>
      <c r="G34" s="307">
        <v>800</v>
      </c>
      <c r="H34" s="307">
        <f>G34*C34</f>
        <v>35200</v>
      </c>
      <c r="I34" s="314"/>
      <c r="J34" s="338">
        <f>H34+F34</f>
        <v>178200</v>
      </c>
    </row>
    <row r="35" spans="1:10" s="9" customFormat="1" ht="14.25" customHeight="1" thickBot="1" x14ac:dyDescent="0.25">
      <c r="A35" s="464" t="s">
        <v>28</v>
      </c>
      <c r="B35" s="465"/>
      <c r="C35" s="465"/>
      <c r="D35" s="465"/>
      <c r="E35" s="315"/>
      <c r="F35" s="413">
        <f>SUM(F24:F34)</f>
        <v>199600</v>
      </c>
      <c r="G35" s="315"/>
      <c r="H35" s="413">
        <f>SUM(H24:H34)</f>
        <v>45500</v>
      </c>
      <c r="I35" s="315"/>
      <c r="J35" s="413">
        <f>SUM(J24:J34)</f>
        <v>245100</v>
      </c>
    </row>
    <row r="36" spans="1:10" s="9" customFormat="1" ht="14.25" customHeight="1" x14ac:dyDescent="0.2">
      <c r="A36" s="6">
        <v>5</v>
      </c>
      <c r="B36" s="316" t="s">
        <v>255</v>
      </c>
      <c r="C36" s="317"/>
      <c r="D36" s="317"/>
      <c r="E36" s="318"/>
      <c r="F36" s="318"/>
      <c r="G36" s="318"/>
      <c r="H36" s="318"/>
      <c r="I36" s="318"/>
      <c r="J36" s="327"/>
    </row>
    <row r="37" spans="1:10" s="9" customFormat="1" ht="14.25" customHeight="1" x14ac:dyDescent="0.2">
      <c r="A37" s="329">
        <v>5.0999999999999996</v>
      </c>
      <c r="B37" s="339" t="s">
        <v>256</v>
      </c>
      <c r="C37" s="340"/>
      <c r="D37" s="341"/>
      <c r="E37" s="342"/>
      <c r="F37" s="342"/>
      <c r="G37" s="342"/>
      <c r="H37" s="342"/>
      <c r="I37" s="342"/>
      <c r="J37" s="343"/>
    </row>
    <row r="38" spans="1:10" s="349" customFormat="1" ht="14.25" customHeight="1" x14ac:dyDescent="0.2">
      <c r="A38" s="344" t="s">
        <v>101</v>
      </c>
      <c r="B38" s="106" t="s">
        <v>237</v>
      </c>
      <c r="C38" s="345" t="s">
        <v>134</v>
      </c>
      <c r="D38" s="346" t="s">
        <v>27</v>
      </c>
      <c r="E38" s="307">
        <v>0</v>
      </c>
      <c r="F38" s="347" t="s">
        <v>135</v>
      </c>
      <c r="G38" s="307">
        <v>0</v>
      </c>
      <c r="H38" s="347" t="s">
        <v>135</v>
      </c>
      <c r="I38" s="348"/>
      <c r="J38" s="347" t="s">
        <v>135</v>
      </c>
    </row>
    <row r="39" spans="1:10" s="9" customFormat="1" ht="14.25" customHeight="1" x14ac:dyDescent="0.2">
      <c r="A39" s="344" t="s">
        <v>102</v>
      </c>
      <c r="B39" s="106" t="s">
        <v>239</v>
      </c>
      <c r="C39" s="345" t="s">
        <v>134</v>
      </c>
      <c r="D39" s="346" t="s">
        <v>27</v>
      </c>
      <c r="E39" s="307">
        <v>0</v>
      </c>
      <c r="F39" s="347" t="s">
        <v>135</v>
      </c>
      <c r="G39" s="307">
        <v>0</v>
      </c>
      <c r="H39" s="347" t="s">
        <v>135</v>
      </c>
      <c r="I39" s="348"/>
      <c r="J39" s="347" t="s">
        <v>135</v>
      </c>
    </row>
    <row r="40" spans="1:10" s="9" customFormat="1" ht="14.25" customHeight="1" x14ac:dyDescent="0.2">
      <c r="A40" s="344" t="s">
        <v>103</v>
      </c>
      <c r="B40" s="106" t="s">
        <v>241</v>
      </c>
      <c r="C40" s="345" t="s">
        <v>134</v>
      </c>
      <c r="D40" s="346" t="s">
        <v>27</v>
      </c>
      <c r="E40" s="307">
        <v>0</v>
      </c>
      <c r="F40" s="347" t="s">
        <v>135</v>
      </c>
      <c r="G40" s="307">
        <v>0</v>
      </c>
      <c r="H40" s="347" t="s">
        <v>135</v>
      </c>
      <c r="I40" s="348"/>
      <c r="J40" s="347" t="s">
        <v>135</v>
      </c>
    </row>
    <row r="41" spans="1:10" s="349" customFormat="1" ht="14.25" customHeight="1" x14ac:dyDescent="0.2">
      <c r="A41" s="344" t="s">
        <v>104</v>
      </c>
      <c r="B41" s="106" t="s">
        <v>243</v>
      </c>
      <c r="C41" s="345" t="s">
        <v>134</v>
      </c>
      <c r="D41" s="346" t="s">
        <v>27</v>
      </c>
      <c r="E41" s="307">
        <v>0</v>
      </c>
      <c r="F41" s="347" t="s">
        <v>135</v>
      </c>
      <c r="G41" s="307">
        <v>0</v>
      </c>
      <c r="H41" s="347" t="s">
        <v>135</v>
      </c>
      <c r="I41" s="348"/>
      <c r="J41" s="347" t="s">
        <v>135</v>
      </c>
    </row>
    <row r="42" spans="1:10" s="9" customFormat="1" ht="14.25" customHeight="1" x14ac:dyDescent="0.2">
      <c r="A42" s="344" t="s">
        <v>105</v>
      </c>
      <c r="B42" s="106" t="s">
        <v>245</v>
      </c>
      <c r="C42" s="345" t="s">
        <v>134</v>
      </c>
      <c r="D42" s="346" t="s">
        <v>27</v>
      </c>
      <c r="E42" s="307">
        <v>0</v>
      </c>
      <c r="F42" s="347" t="s">
        <v>135</v>
      </c>
      <c r="G42" s="307">
        <v>0</v>
      </c>
      <c r="H42" s="347" t="s">
        <v>135</v>
      </c>
      <c r="I42" s="348"/>
      <c r="J42" s="347" t="s">
        <v>135</v>
      </c>
    </row>
    <row r="43" spans="1:10" s="9" customFormat="1" ht="14.25" customHeight="1" x14ac:dyDescent="0.2">
      <c r="A43" s="329">
        <v>5.2</v>
      </c>
      <c r="B43" s="339" t="s">
        <v>257</v>
      </c>
      <c r="C43" s="340"/>
      <c r="D43" s="341"/>
      <c r="E43" s="342"/>
      <c r="F43" s="342"/>
      <c r="G43" s="342"/>
      <c r="H43" s="342"/>
      <c r="I43" s="342"/>
      <c r="J43" s="343"/>
    </row>
    <row r="44" spans="1:10" s="349" customFormat="1" ht="14.25" customHeight="1" x14ac:dyDescent="0.2">
      <c r="A44" s="344" t="s">
        <v>108</v>
      </c>
      <c r="B44" s="106" t="s">
        <v>237</v>
      </c>
      <c r="C44" s="345" t="s">
        <v>134</v>
      </c>
      <c r="D44" s="346" t="s">
        <v>27</v>
      </c>
      <c r="E44" s="307">
        <v>0</v>
      </c>
      <c r="F44" s="347" t="s">
        <v>135</v>
      </c>
      <c r="G44" s="307">
        <v>0</v>
      </c>
      <c r="H44" s="347" t="s">
        <v>135</v>
      </c>
      <c r="I44" s="348"/>
      <c r="J44" s="347" t="s">
        <v>135</v>
      </c>
    </row>
    <row r="45" spans="1:10" s="9" customFormat="1" ht="14.25" customHeight="1" x14ac:dyDescent="0.2">
      <c r="A45" s="344" t="s">
        <v>109</v>
      </c>
      <c r="B45" s="106" t="s">
        <v>239</v>
      </c>
      <c r="C45" s="345" t="s">
        <v>134</v>
      </c>
      <c r="D45" s="346" t="s">
        <v>27</v>
      </c>
      <c r="E45" s="307">
        <v>0</v>
      </c>
      <c r="F45" s="347" t="s">
        <v>135</v>
      </c>
      <c r="G45" s="307">
        <v>0</v>
      </c>
      <c r="H45" s="347" t="s">
        <v>135</v>
      </c>
      <c r="I45" s="348"/>
      <c r="J45" s="347" t="s">
        <v>135</v>
      </c>
    </row>
    <row r="46" spans="1:10" s="349" customFormat="1" ht="14.25" customHeight="1" x14ac:dyDescent="0.2">
      <c r="A46" s="344" t="s">
        <v>110</v>
      </c>
      <c r="B46" s="106" t="s">
        <v>241</v>
      </c>
      <c r="C46" s="345" t="s">
        <v>134</v>
      </c>
      <c r="D46" s="346" t="s">
        <v>27</v>
      </c>
      <c r="E46" s="307">
        <v>0</v>
      </c>
      <c r="F46" s="347" t="s">
        <v>135</v>
      </c>
      <c r="G46" s="307">
        <v>0</v>
      </c>
      <c r="H46" s="347" t="s">
        <v>135</v>
      </c>
      <c r="I46" s="348"/>
      <c r="J46" s="347" t="s">
        <v>135</v>
      </c>
    </row>
    <row r="47" spans="1:10" s="9" customFormat="1" ht="14.25" customHeight="1" x14ac:dyDescent="0.2">
      <c r="A47" s="344" t="s">
        <v>258</v>
      </c>
      <c r="B47" s="106" t="s">
        <v>243</v>
      </c>
      <c r="C47" s="345" t="s">
        <v>134</v>
      </c>
      <c r="D47" s="346" t="s">
        <v>27</v>
      </c>
      <c r="E47" s="307">
        <v>0</v>
      </c>
      <c r="F47" s="347" t="s">
        <v>135</v>
      </c>
      <c r="G47" s="307">
        <v>0</v>
      </c>
      <c r="H47" s="347" t="s">
        <v>135</v>
      </c>
      <c r="I47" s="348"/>
      <c r="J47" s="347" t="s">
        <v>135</v>
      </c>
    </row>
    <row r="48" spans="1:10" s="9" customFormat="1" ht="14.25" customHeight="1" x14ac:dyDescent="0.2">
      <c r="A48" s="344" t="s">
        <v>259</v>
      </c>
      <c r="B48" s="106" t="s">
        <v>245</v>
      </c>
      <c r="C48" s="345" t="s">
        <v>134</v>
      </c>
      <c r="D48" s="346" t="s">
        <v>27</v>
      </c>
      <c r="E48" s="307">
        <v>0</v>
      </c>
      <c r="F48" s="347" t="s">
        <v>135</v>
      </c>
      <c r="G48" s="307">
        <v>0</v>
      </c>
      <c r="H48" s="347" t="s">
        <v>135</v>
      </c>
      <c r="I48" s="348"/>
      <c r="J48" s="347" t="s">
        <v>135</v>
      </c>
    </row>
    <row r="49" spans="1:10" s="9" customFormat="1" ht="14.25" customHeight="1" x14ac:dyDescent="0.2">
      <c r="A49" s="329">
        <v>5.3</v>
      </c>
      <c r="B49" s="339" t="s">
        <v>260</v>
      </c>
      <c r="C49" s="340"/>
      <c r="D49" s="341"/>
      <c r="E49" s="342"/>
      <c r="F49" s="342"/>
      <c r="G49" s="342"/>
      <c r="H49" s="342"/>
      <c r="I49" s="342"/>
      <c r="J49" s="343"/>
    </row>
    <row r="50" spans="1:10" s="349" customFormat="1" ht="14.25" customHeight="1" x14ac:dyDescent="0.2">
      <c r="A50" s="344" t="s">
        <v>111</v>
      </c>
      <c r="B50" s="106" t="s">
        <v>237</v>
      </c>
      <c r="C50" s="345" t="s">
        <v>134</v>
      </c>
      <c r="D50" s="346" t="s">
        <v>27</v>
      </c>
      <c r="E50" s="307">
        <v>0</v>
      </c>
      <c r="F50" s="347" t="s">
        <v>135</v>
      </c>
      <c r="G50" s="307">
        <v>0</v>
      </c>
      <c r="H50" s="347" t="s">
        <v>135</v>
      </c>
      <c r="I50" s="348"/>
      <c r="J50" s="347" t="s">
        <v>135</v>
      </c>
    </row>
    <row r="51" spans="1:10" s="349" customFormat="1" ht="14.25" customHeight="1" x14ac:dyDescent="0.2">
      <c r="A51" s="344" t="s">
        <v>112</v>
      </c>
      <c r="B51" s="106" t="s">
        <v>239</v>
      </c>
      <c r="C51" s="345" t="s">
        <v>134</v>
      </c>
      <c r="D51" s="346" t="s">
        <v>27</v>
      </c>
      <c r="E51" s="307">
        <v>0</v>
      </c>
      <c r="F51" s="347" t="s">
        <v>135</v>
      </c>
      <c r="G51" s="307">
        <v>0</v>
      </c>
      <c r="H51" s="347" t="s">
        <v>135</v>
      </c>
      <c r="I51" s="348"/>
      <c r="J51" s="347" t="s">
        <v>135</v>
      </c>
    </row>
    <row r="52" spans="1:10" s="9" customFormat="1" ht="14.25" customHeight="1" x14ac:dyDescent="0.2">
      <c r="A52" s="344" t="s">
        <v>113</v>
      </c>
      <c r="B52" s="106" t="s">
        <v>241</v>
      </c>
      <c r="C52" s="345" t="s">
        <v>134</v>
      </c>
      <c r="D52" s="346" t="s">
        <v>27</v>
      </c>
      <c r="E52" s="307">
        <v>0</v>
      </c>
      <c r="F52" s="347" t="s">
        <v>135</v>
      </c>
      <c r="G52" s="307">
        <v>0</v>
      </c>
      <c r="H52" s="347" t="s">
        <v>135</v>
      </c>
      <c r="I52" s="348"/>
      <c r="J52" s="347" t="s">
        <v>135</v>
      </c>
    </row>
    <row r="53" spans="1:10" s="9" customFormat="1" ht="14.25" customHeight="1" x14ac:dyDescent="0.2">
      <c r="A53" s="344" t="s">
        <v>114</v>
      </c>
      <c r="B53" s="106" t="s">
        <v>243</v>
      </c>
      <c r="C53" s="345" t="s">
        <v>134</v>
      </c>
      <c r="D53" s="346" t="s">
        <v>27</v>
      </c>
      <c r="E53" s="307">
        <v>0</v>
      </c>
      <c r="F53" s="347" t="s">
        <v>135</v>
      </c>
      <c r="G53" s="307">
        <v>0</v>
      </c>
      <c r="H53" s="347" t="s">
        <v>135</v>
      </c>
      <c r="I53" s="348"/>
      <c r="J53" s="347" t="s">
        <v>135</v>
      </c>
    </row>
    <row r="54" spans="1:10" s="9" customFormat="1" ht="14.25" customHeight="1" x14ac:dyDescent="0.2">
      <c r="A54" s="344" t="s">
        <v>115</v>
      </c>
      <c r="B54" s="106" t="s">
        <v>245</v>
      </c>
      <c r="C54" s="345" t="s">
        <v>134</v>
      </c>
      <c r="D54" s="346" t="s">
        <v>27</v>
      </c>
      <c r="E54" s="307">
        <v>0</v>
      </c>
      <c r="F54" s="347" t="s">
        <v>135</v>
      </c>
      <c r="G54" s="307">
        <v>0</v>
      </c>
      <c r="H54" s="347" t="s">
        <v>135</v>
      </c>
      <c r="I54" s="348"/>
      <c r="J54" s="347" t="s">
        <v>135</v>
      </c>
    </row>
    <row r="55" spans="1:10" s="9" customFormat="1" ht="14.25" customHeight="1" x14ac:dyDescent="0.2">
      <c r="A55" s="329">
        <v>5.4</v>
      </c>
      <c r="B55" s="339" t="s">
        <v>261</v>
      </c>
      <c r="C55" s="340"/>
      <c r="D55" s="341"/>
      <c r="E55" s="342"/>
      <c r="F55" s="342"/>
      <c r="G55" s="342"/>
      <c r="H55" s="342"/>
      <c r="I55" s="342"/>
      <c r="J55" s="343"/>
    </row>
    <row r="56" spans="1:10" s="9" customFormat="1" ht="14.25" customHeight="1" x14ac:dyDescent="0.2">
      <c r="A56" s="344" t="s">
        <v>119</v>
      </c>
      <c r="B56" s="106" t="s">
        <v>248</v>
      </c>
      <c r="C56" s="345" t="s">
        <v>134</v>
      </c>
      <c r="D56" s="346" t="s">
        <v>27</v>
      </c>
      <c r="E56" s="307">
        <v>0</v>
      </c>
      <c r="F56" s="347" t="s">
        <v>135</v>
      </c>
      <c r="G56" s="307">
        <v>0</v>
      </c>
      <c r="H56" s="347" t="s">
        <v>135</v>
      </c>
      <c r="I56" s="348"/>
      <c r="J56" s="347" t="s">
        <v>135</v>
      </c>
    </row>
    <row r="57" spans="1:10" s="9" customFormat="1" ht="14.25" customHeight="1" x14ac:dyDescent="0.2">
      <c r="A57" s="344" t="s">
        <v>262</v>
      </c>
      <c r="B57" s="106" t="s">
        <v>250</v>
      </c>
      <c r="C57" s="345">
        <v>1</v>
      </c>
      <c r="D57" s="346" t="s">
        <v>27</v>
      </c>
      <c r="E57" s="307">
        <v>6500</v>
      </c>
      <c r="F57" s="308">
        <f>E57*C57</f>
        <v>6500</v>
      </c>
      <c r="G57" s="307">
        <v>1000</v>
      </c>
      <c r="H57" s="308">
        <f>G57*C57</f>
        <v>1000</v>
      </c>
      <c r="I57" s="309"/>
      <c r="J57" s="310">
        <f>H57+F57</f>
        <v>7500</v>
      </c>
    </row>
    <row r="58" spans="1:10" s="9" customFormat="1" ht="14.25" customHeight="1" x14ac:dyDescent="0.2">
      <c r="A58" s="344" t="s">
        <v>263</v>
      </c>
      <c r="B58" s="106" t="s">
        <v>252</v>
      </c>
      <c r="C58" s="345">
        <v>1</v>
      </c>
      <c r="D58" s="346" t="s">
        <v>27</v>
      </c>
      <c r="E58" s="307">
        <v>6000</v>
      </c>
      <c r="F58" s="308">
        <f>E58*C58</f>
        <v>6000</v>
      </c>
      <c r="G58" s="307">
        <v>1000</v>
      </c>
      <c r="H58" s="308">
        <f>G58*C58</f>
        <v>1000</v>
      </c>
      <c r="I58" s="309"/>
      <c r="J58" s="310">
        <f>H58+F58</f>
        <v>7000</v>
      </c>
    </row>
    <row r="59" spans="1:10" s="9" customFormat="1" ht="14.25" customHeight="1" thickBot="1" x14ac:dyDescent="0.25">
      <c r="A59" s="344" t="s">
        <v>264</v>
      </c>
      <c r="B59" s="106" t="s">
        <v>254</v>
      </c>
      <c r="C59" s="345">
        <v>12</v>
      </c>
      <c r="D59" s="346" t="s">
        <v>26</v>
      </c>
      <c r="E59" s="307">
        <v>5500</v>
      </c>
      <c r="F59" s="308">
        <f>E59*C59</f>
        <v>66000</v>
      </c>
      <c r="G59" s="307">
        <v>1000</v>
      </c>
      <c r="H59" s="308">
        <f>G59*C59</f>
        <v>12000</v>
      </c>
      <c r="I59" s="309"/>
      <c r="J59" s="310">
        <f>H59+F59</f>
        <v>78000</v>
      </c>
    </row>
    <row r="60" spans="1:10" s="349" customFormat="1" ht="14.25" customHeight="1" thickBot="1" x14ac:dyDescent="0.25">
      <c r="A60" s="464" t="s">
        <v>28</v>
      </c>
      <c r="B60" s="465"/>
      <c r="C60" s="465"/>
      <c r="D60" s="465"/>
      <c r="E60" s="315"/>
      <c r="F60" s="414">
        <f>SUM(F38:F59)</f>
        <v>78500</v>
      </c>
      <c r="G60" s="315"/>
      <c r="H60" s="414">
        <f>SUM(H38:H59)</f>
        <v>14000</v>
      </c>
      <c r="I60" s="315"/>
      <c r="J60" s="414">
        <f>SUM(J38:J59)</f>
        <v>92500</v>
      </c>
    </row>
    <row r="61" spans="1:10" s="9" customFormat="1" ht="14.25" customHeight="1" x14ac:dyDescent="0.2">
      <c r="A61" s="6">
        <v>6</v>
      </c>
      <c r="B61" s="316" t="s">
        <v>265</v>
      </c>
      <c r="C61" s="350"/>
      <c r="D61" s="350"/>
      <c r="E61" s="351"/>
      <c r="F61" s="351"/>
      <c r="G61" s="351"/>
      <c r="H61" s="351"/>
      <c r="I61" s="352"/>
      <c r="J61" s="353"/>
    </row>
    <row r="62" spans="1:10" s="9" customFormat="1" ht="14.25" customHeight="1" thickBot="1" x14ac:dyDescent="0.25">
      <c r="A62" s="304">
        <v>6.1</v>
      </c>
      <c r="B62" s="106" t="s">
        <v>266</v>
      </c>
      <c r="C62" s="335">
        <v>1</v>
      </c>
      <c r="D62" s="323" t="s">
        <v>29</v>
      </c>
      <c r="E62" s="307">
        <v>0</v>
      </c>
      <c r="F62" s="308">
        <f>E62*C62</f>
        <v>0</v>
      </c>
      <c r="G62" s="307">
        <v>15000</v>
      </c>
      <c r="H62" s="308">
        <f>G62*C62</f>
        <v>15000</v>
      </c>
      <c r="I62" s="309"/>
      <c r="J62" s="310">
        <f>H62+F62</f>
        <v>15000</v>
      </c>
    </row>
    <row r="63" spans="1:10" s="9" customFormat="1" ht="14.25" customHeight="1" thickBot="1" x14ac:dyDescent="0.25">
      <c r="A63" s="464" t="s">
        <v>28</v>
      </c>
      <c r="B63" s="465"/>
      <c r="C63" s="465"/>
      <c r="D63" s="465"/>
      <c r="E63" s="315"/>
      <c r="F63" s="413">
        <f>SUM(F62)</f>
        <v>0</v>
      </c>
      <c r="G63" s="315"/>
      <c r="H63" s="413">
        <f>SUM(H62)</f>
        <v>15000</v>
      </c>
      <c r="I63" s="315"/>
      <c r="J63" s="413">
        <f>SUM(J62)</f>
        <v>15000</v>
      </c>
    </row>
    <row r="64" spans="1:10" s="9" customFormat="1" ht="14.25" customHeight="1" x14ac:dyDescent="0.2">
      <c r="A64" s="6">
        <v>7</v>
      </c>
      <c r="B64" s="316" t="s">
        <v>267</v>
      </c>
      <c r="C64" s="354"/>
      <c r="D64" s="355"/>
      <c r="E64" s="318"/>
      <c r="F64" s="318"/>
      <c r="G64" s="318"/>
      <c r="H64" s="318"/>
      <c r="I64" s="320"/>
      <c r="J64" s="327"/>
    </row>
    <row r="65" spans="1:10" s="9" customFormat="1" ht="14.25" customHeight="1" x14ac:dyDescent="0.2">
      <c r="A65" s="329">
        <v>7.1</v>
      </c>
      <c r="B65" s="356" t="s">
        <v>268</v>
      </c>
      <c r="C65" s="357"/>
      <c r="D65" s="358"/>
      <c r="E65" s="359"/>
      <c r="F65" s="359"/>
      <c r="G65" s="359"/>
      <c r="H65" s="359"/>
      <c r="I65" s="359"/>
      <c r="J65" s="360"/>
    </row>
    <row r="66" spans="1:10" s="9" customFormat="1" ht="14.25" customHeight="1" x14ac:dyDescent="0.2">
      <c r="A66" s="304" t="s">
        <v>269</v>
      </c>
      <c r="B66" s="106" t="s">
        <v>235</v>
      </c>
      <c r="C66" s="335" t="s">
        <v>134</v>
      </c>
      <c r="D66" s="323" t="s">
        <v>94</v>
      </c>
      <c r="E66" s="307">
        <v>0</v>
      </c>
      <c r="F66" s="347" t="s">
        <v>135</v>
      </c>
      <c r="G66" s="307">
        <v>0</v>
      </c>
      <c r="H66" s="347" t="s">
        <v>135</v>
      </c>
      <c r="I66" s="348"/>
      <c r="J66" s="347" t="s">
        <v>135</v>
      </c>
    </row>
    <row r="67" spans="1:10" s="9" customFormat="1" ht="14.25" customHeight="1" x14ac:dyDescent="0.2">
      <c r="A67" s="304" t="s">
        <v>270</v>
      </c>
      <c r="B67" s="106" t="s">
        <v>237</v>
      </c>
      <c r="C67" s="335" t="s">
        <v>134</v>
      </c>
      <c r="D67" s="323" t="s">
        <v>94</v>
      </c>
      <c r="E67" s="307">
        <v>0</v>
      </c>
      <c r="F67" s="347" t="s">
        <v>135</v>
      </c>
      <c r="G67" s="307">
        <v>0</v>
      </c>
      <c r="H67" s="347" t="s">
        <v>135</v>
      </c>
      <c r="I67" s="348"/>
      <c r="J67" s="347" t="s">
        <v>135</v>
      </c>
    </row>
    <row r="68" spans="1:10" s="9" customFormat="1" ht="14.25" customHeight="1" x14ac:dyDescent="0.2">
      <c r="A68" s="304" t="s">
        <v>271</v>
      </c>
      <c r="B68" s="106" t="s">
        <v>239</v>
      </c>
      <c r="C68" s="335" t="s">
        <v>134</v>
      </c>
      <c r="D68" s="323" t="s">
        <v>94</v>
      </c>
      <c r="E68" s="307">
        <v>0</v>
      </c>
      <c r="F68" s="347" t="s">
        <v>135</v>
      </c>
      <c r="G68" s="307">
        <v>0</v>
      </c>
      <c r="H68" s="347" t="s">
        <v>135</v>
      </c>
      <c r="I68" s="348"/>
      <c r="J68" s="347" t="s">
        <v>135</v>
      </c>
    </row>
    <row r="69" spans="1:10" s="9" customFormat="1" ht="14.25" customHeight="1" x14ac:dyDescent="0.2">
      <c r="A69" s="304" t="s">
        <v>272</v>
      </c>
      <c r="B69" s="106" t="s">
        <v>241</v>
      </c>
      <c r="C69" s="335" t="s">
        <v>134</v>
      </c>
      <c r="D69" s="323" t="s">
        <v>94</v>
      </c>
      <c r="E69" s="307">
        <v>0</v>
      </c>
      <c r="F69" s="347" t="s">
        <v>135</v>
      </c>
      <c r="G69" s="307">
        <v>0</v>
      </c>
      <c r="H69" s="347" t="s">
        <v>135</v>
      </c>
      <c r="I69" s="348"/>
      <c r="J69" s="347" t="s">
        <v>135</v>
      </c>
    </row>
    <row r="70" spans="1:10" s="9" customFormat="1" ht="14.25" customHeight="1" x14ac:dyDescent="0.2">
      <c r="A70" s="304" t="s">
        <v>273</v>
      </c>
      <c r="B70" s="106" t="s">
        <v>243</v>
      </c>
      <c r="C70" s="335" t="s">
        <v>134</v>
      </c>
      <c r="D70" s="323" t="s">
        <v>94</v>
      </c>
      <c r="E70" s="307">
        <v>0</v>
      </c>
      <c r="F70" s="347" t="s">
        <v>135</v>
      </c>
      <c r="G70" s="307">
        <v>0</v>
      </c>
      <c r="H70" s="347" t="s">
        <v>135</v>
      </c>
      <c r="I70" s="348"/>
      <c r="J70" s="347" t="s">
        <v>135</v>
      </c>
    </row>
    <row r="71" spans="1:10" s="9" customFormat="1" ht="14.25" customHeight="1" x14ac:dyDescent="0.2">
      <c r="A71" s="304" t="s">
        <v>274</v>
      </c>
      <c r="B71" s="106" t="s">
        <v>245</v>
      </c>
      <c r="C71" s="335" t="s">
        <v>134</v>
      </c>
      <c r="D71" s="323" t="s">
        <v>94</v>
      </c>
      <c r="E71" s="307">
        <v>0</v>
      </c>
      <c r="F71" s="347" t="s">
        <v>135</v>
      </c>
      <c r="G71" s="307">
        <v>0</v>
      </c>
      <c r="H71" s="347" t="s">
        <v>135</v>
      </c>
      <c r="I71" s="348"/>
      <c r="J71" s="347" t="s">
        <v>135</v>
      </c>
    </row>
    <row r="72" spans="1:10" s="9" customFormat="1" ht="14.25" customHeight="1" x14ac:dyDescent="0.2">
      <c r="A72" s="304" t="s">
        <v>275</v>
      </c>
      <c r="B72" s="106" t="s">
        <v>248</v>
      </c>
      <c r="C72" s="335" t="s">
        <v>134</v>
      </c>
      <c r="D72" s="323" t="s">
        <v>94</v>
      </c>
      <c r="E72" s="307">
        <v>0</v>
      </c>
      <c r="F72" s="347" t="s">
        <v>135</v>
      </c>
      <c r="G72" s="307">
        <v>0</v>
      </c>
      <c r="H72" s="347" t="s">
        <v>135</v>
      </c>
      <c r="I72" s="348"/>
      <c r="J72" s="347" t="s">
        <v>135</v>
      </c>
    </row>
    <row r="73" spans="1:10" s="9" customFormat="1" ht="14.25" customHeight="1" x14ac:dyDescent="0.2">
      <c r="A73" s="304" t="s">
        <v>276</v>
      </c>
      <c r="B73" s="106" t="s">
        <v>250</v>
      </c>
      <c r="C73" s="335">
        <f>C32</f>
        <v>4</v>
      </c>
      <c r="D73" s="323" t="s">
        <v>94</v>
      </c>
      <c r="E73" s="307">
        <v>600</v>
      </c>
      <c r="F73" s="308">
        <f>E73*C73</f>
        <v>2400</v>
      </c>
      <c r="G73" s="307">
        <v>500</v>
      </c>
      <c r="H73" s="308">
        <f>G73*C73</f>
        <v>2000</v>
      </c>
      <c r="I73" s="309"/>
      <c r="J73" s="310">
        <f>H73+F73</f>
        <v>4400</v>
      </c>
    </row>
    <row r="74" spans="1:10" s="9" customFormat="1" ht="14.25" customHeight="1" x14ac:dyDescent="0.2">
      <c r="A74" s="304" t="s">
        <v>277</v>
      </c>
      <c r="B74" s="106" t="s">
        <v>252</v>
      </c>
      <c r="C74" s="335">
        <f>C33</f>
        <v>7</v>
      </c>
      <c r="D74" s="323" t="s">
        <v>94</v>
      </c>
      <c r="E74" s="307">
        <v>500</v>
      </c>
      <c r="F74" s="308">
        <f>E74*C74</f>
        <v>3500</v>
      </c>
      <c r="G74" s="307">
        <v>400</v>
      </c>
      <c r="H74" s="308">
        <f>G74*C74</f>
        <v>2800</v>
      </c>
      <c r="I74" s="309"/>
      <c r="J74" s="310">
        <f>H74+F74</f>
        <v>6300</v>
      </c>
    </row>
    <row r="75" spans="1:10" s="9" customFormat="1" ht="14.25" customHeight="1" x14ac:dyDescent="0.2">
      <c r="A75" s="304" t="s">
        <v>278</v>
      </c>
      <c r="B75" s="106" t="s">
        <v>254</v>
      </c>
      <c r="C75" s="335">
        <f>C34</f>
        <v>44</v>
      </c>
      <c r="D75" s="323" t="s">
        <v>94</v>
      </c>
      <c r="E75" s="307">
        <v>400</v>
      </c>
      <c r="F75" s="308">
        <f>E75*C75</f>
        <v>17600</v>
      </c>
      <c r="G75" s="307">
        <v>300</v>
      </c>
      <c r="H75" s="308">
        <f>G75*C75</f>
        <v>13200</v>
      </c>
      <c r="I75" s="309"/>
      <c r="J75" s="310">
        <f>H75+F75</f>
        <v>30800</v>
      </c>
    </row>
    <row r="76" spans="1:10" s="9" customFormat="1" ht="14.25" customHeight="1" x14ac:dyDescent="0.2">
      <c r="A76" s="304">
        <v>7.2</v>
      </c>
      <c r="B76" s="106" t="s">
        <v>279</v>
      </c>
      <c r="C76" s="335">
        <v>1</v>
      </c>
      <c r="D76" s="323" t="s">
        <v>29</v>
      </c>
      <c r="E76" s="307">
        <v>15000</v>
      </c>
      <c r="F76" s="308">
        <f>E76*C76</f>
        <v>15000</v>
      </c>
      <c r="G76" s="307">
        <v>5000</v>
      </c>
      <c r="H76" s="308">
        <f>G76*C76</f>
        <v>5000</v>
      </c>
      <c r="I76" s="309"/>
      <c r="J76" s="310">
        <f>H76+F76</f>
        <v>20000</v>
      </c>
    </row>
    <row r="77" spans="1:10" s="9" customFormat="1" ht="14.25" customHeight="1" thickBot="1" x14ac:dyDescent="0.25">
      <c r="A77" s="304">
        <v>7.3</v>
      </c>
      <c r="B77" s="106" t="s">
        <v>280</v>
      </c>
      <c r="C77" s="336" t="s">
        <v>134</v>
      </c>
      <c r="D77" s="323" t="s">
        <v>29</v>
      </c>
      <c r="E77" s="307">
        <v>40000</v>
      </c>
      <c r="F77" s="347" t="s">
        <v>135</v>
      </c>
      <c r="G77" s="307">
        <v>5000</v>
      </c>
      <c r="H77" s="347" t="s">
        <v>135</v>
      </c>
      <c r="I77" s="348"/>
      <c r="J77" s="347" t="s">
        <v>135</v>
      </c>
    </row>
    <row r="78" spans="1:10" s="9" customFormat="1" ht="14.25" customHeight="1" thickBot="1" x14ac:dyDescent="0.25">
      <c r="A78" s="464" t="s">
        <v>28</v>
      </c>
      <c r="B78" s="465"/>
      <c r="C78" s="465"/>
      <c r="D78" s="465"/>
      <c r="E78" s="315"/>
      <c r="F78" s="414">
        <f>SUM(F66:F77)</f>
        <v>38500</v>
      </c>
      <c r="G78" s="315"/>
      <c r="H78" s="414">
        <f>SUM(H66:H77)</f>
        <v>23000</v>
      </c>
      <c r="I78" s="315"/>
      <c r="J78" s="414">
        <f>SUM(J66:J77)</f>
        <v>61500</v>
      </c>
    </row>
    <row r="79" spans="1:10" s="361" customFormat="1" ht="14.25" customHeight="1" x14ac:dyDescent="0.2">
      <c r="A79" s="6">
        <v>8</v>
      </c>
      <c r="B79" s="316" t="s">
        <v>281</v>
      </c>
      <c r="C79" s="325"/>
      <c r="D79" s="325"/>
      <c r="E79" s="325"/>
      <c r="F79" s="325"/>
      <c r="G79" s="325"/>
      <c r="H79" s="325"/>
      <c r="I79" s="326"/>
      <c r="J79" s="327"/>
    </row>
    <row r="80" spans="1:10" s="9" customFormat="1" ht="14.25" customHeight="1" thickBot="1" x14ac:dyDescent="0.25">
      <c r="A80" s="362">
        <v>8.1</v>
      </c>
      <c r="B80" s="116" t="s">
        <v>282</v>
      </c>
      <c r="C80" s="363">
        <v>1</v>
      </c>
      <c r="D80" s="364" t="s">
        <v>29</v>
      </c>
      <c r="E80" s="307">
        <v>45000</v>
      </c>
      <c r="F80" s="308">
        <f>E80*C80</f>
        <v>45000</v>
      </c>
      <c r="G80" s="307">
        <v>8000</v>
      </c>
      <c r="H80" s="308">
        <f>G80*C80</f>
        <v>8000</v>
      </c>
      <c r="I80" s="309"/>
      <c r="J80" s="310">
        <f>H80+F80</f>
        <v>53000</v>
      </c>
    </row>
    <row r="81" spans="1:10" s="9" customFormat="1" ht="14.25" customHeight="1" thickBot="1" x14ac:dyDescent="0.25">
      <c r="A81" s="464" t="s">
        <v>28</v>
      </c>
      <c r="B81" s="465"/>
      <c r="C81" s="465"/>
      <c r="D81" s="465"/>
      <c r="E81" s="315"/>
      <c r="F81" s="413">
        <f>SUM(F80)</f>
        <v>45000</v>
      </c>
      <c r="G81" s="315"/>
      <c r="H81" s="413">
        <f>SUM(H80)</f>
        <v>8000</v>
      </c>
      <c r="I81" s="315"/>
      <c r="J81" s="413">
        <f>SUM(J80)</f>
        <v>53000</v>
      </c>
    </row>
    <row r="82" spans="1:10" s="370" customFormat="1" ht="14.25" customHeight="1" x14ac:dyDescent="0.2">
      <c r="A82" s="365">
        <v>9</v>
      </c>
      <c r="B82" s="366" t="s">
        <v>4</v>
      </c>
      <c r="C82" s="367"/>
      <c r="D82" s="367"/>
      <c r="E82" s="367"/>
      <c r="F82" s="367"/>
      <c r="G82" s="367"/>
      <c r="H82" s="367"/>
      <c r="I82" s="368"/>
      <c r="J82" s="369"/>
    </row>
    <row r="83" spans="1:10" s="9" customFormat="1" ht="14.25" customHeight="1" x14ac:dyDescent="0.2">
      <c r="A83" s="304">
        <v>9.1</v>
      </c>
      <c r="B83" s="106" t="s">
        <v>283</v>
      </c>
      <c r="C83" s="371">
        <v>1</v>
      </c>
      <c r="D83" s="372" t="s">
        <v>29</v>
      </c>
      <c r="E83" s="307">
        <v>0</v>
      </c>
      <c r="F83" s="308">
        <f t="shared" ref="F83:F88" si="0">E83*C83</f>
        <v>0</v>
      </c>
      <c r="G83" s="307">
        <v>15000</v>
      </c>
      <c r="H83" s="308">
        <f t="shared" ref="H83:H88" si="1">G83*C83</f>
        <v>15000</v>
      </c>
      <c r="I83" s="309"/>
      <c r="J83" s="310">
        <f t="shared" ref="J83:J88" si="2">H83+F83</f>
        <v>15000</v>
      </c>
    </row>
    <row r="84" spans="1:10" s="9" customFormat="1" ht="14.25" customHeight="1" x14ac:dyDescent="0.2">
      <c r="A84" s="373">
        <v>9.1999999999999993</v>
      </c>
      <c r="B84" s="106" t="s">
        <v>30</v>
      </c>
      <c r="C84" s="371">
        <v>1</v>
      </c>
      <c r="D84" s="372" t="s">
        <v>29</v>
      </c>
      <c r="E84" s="307">
        <v>0</v>
      </c>
      <c r="F84" s="308">
        <f t="shared" si="0"/>
        <v>0</v>
      </c>
      <c r="G84" s="307">
        <v>8000</v>
      </c>
      <c r="H84" s="308">
        <f t="shared" si="1"/>
        <v>8000</v>
      </c>
      <c r="I84" s="309"/>
      <c r="J84" s="310">
        <f t="shared" si="2"/>
        <v>8000</v>
      </c>
    </row>
    <row r="85" spans="1:10" s="9" customFormat="1" ht="14.25" customHeight="1" x14ac:dyDescent="0.2">
      <c r="A85" s="304">
        <v>9.3000000000000007</v>
      </c>
      <c r="B85" s="106" t="s">
        <v>31</v>
      </c>
      <c r="C85" s="371">
        <v>1</v>
      </c>
      <c r="D85" s="372" t="s">
        <v>29</v>
      </c>
      <c r="E85" s="307">
        <v>0</v>
      </c>
      <c r="F85" s="308">
        <f t="shared" si="0"/>
        <v>0</v>
      </c>
      <c r="G85" s="307">
        <v>5000</v>
      </c>
      <c r="H85" s="308">
        <f t="shared" si="1"/>
        <v>5000</v>
      </c>
      <c r="I85" s="309"/>
      <c r="J85" s="310">
        <f t="shared" si="2"/>
        <v>5000</v>
      </c>
    </row>
    <row r="86" spans="1:10" s="9" customFormat="1" ht="25.5" customHeight="1" x14ac:dyDescent="0.2">
      <c r="A86" s="373">
        <v>9.4</v>
      </c>
      <c r="B86" s="311" t="s">
        <v>284</v>
      </c>
      <c r="C86" s="371">
        <v>1</v>
      </c>
      <c r="D86" s="372" t="s">
        <v>29</v>
      </c>
      <c r="E86" s="307">
        <v>15000</v>
      </c>
      <c r="F86" s="308">
        <f t="shared" si="0"/>
        <v>15000</v>
      </c>
      <c r="G86" s="307">
        <v>2000</v>
      </c>
      <c r="H86" s="308">
        <f t="shared" si="1"/>
        <v>2000</v>
      </c>
      <c r="I86" s="309"/>
      <c r="J86" s="310">
        <f t="shared" si="2"/>
        <v>17000</v>
      </c>
    </row>
    <row r="87" spans="1:10" s="9" customFormat="1" ht="14.25" customHeight="1" x14ac:dyDescent="0.2">
      <c r="A87" s="304">
        <v>9.5</v>
      </c>
      <c r="B87" s="106" t="s">
        <v>90</v>
      </c>
      <c r="C87" s="371">
        <v>1</v>
      </c>
      <c r="D87" s="372" t="s">
        <v>29</v>
      </c>
      <c r="E87" s="307">
        <v>7000</v>
      </c>
      <c r="F87" s="308">
        <f t="shared" si="0"/>
        <v>7000</v>
      </c>
      <c r="G87" s="307">
        <v>2000</v>
      </c>
      <c r="H87" s="308">
        <f t="shared" si="1"/>
        <v>2000</v>
      </c>
      <c r="I87" s="309"/>
      <c r="J87" s="310">
        <f t="shared" si="2"/>
        <v>9000</v>
      </c>
    </row>
    <row r="88" spans="1:10" s="9" customFormat="1" ht="25.5" customHeight="1" thickBot="1" x14ac:dyDescent="0.25">
      <c r="A88" s="373">
        <v>9.6</v>
      </c>
      <c r="B88" s="311" t="s">
        <v>285</v>
      </c>
      <c r="C88" s="371">
        <v>1</v>
      </c>
      <c r="D88" s="323" t="s">
        <v>29</v>
      </c>
      <c r="E88" s="307">
        <v>0</v>
      </c>
      <c r="F88" s="308">
        <f t="shared" si="0"/>
        <v>0</v>
      </c>
      <c r="G88" s="307">
        <v>15000</v>
      </c>
      <c r="H88" s="308">
        <f t="shared" si="1"/>
        <v>15000</v>
      </c>
      <c r="I88" s="309"/>
      <c r="J88" s="310">
        <f t="shared" si="2"/>
        <v>15000</v>
      </c>
    </row>
    <row r="89" spans="1:10" s="9" customFormat="1" ht="14.25" customHeight="1" thickBot="1" x14ac:dyDescent="0.25">
      <c r="A89" s="466" t="s">
        <v>28</v>
      </c>
      <c r="B89" s="467"/>
      <c r="C89" s="467"/>
      <c r="D89" s="467"/>
      <c r="E89" s="374"/>
      <c r="F89" s="375">
        <f>SUM(F83:F88)</f>
        <v>22000</v>
      </c>
      <c r="G89" s="374"/>
      <c r="H89" s="375">
        <f>SUM(H83:H88)</f>
        <v>47000</v>
      </c>
      <c r="I89" s="374"/>
      <c r="J89" s="375">
        <f>SUM(J83:J88)</f>
        <v>69000</v>
      </c>
    </row>
    <row r="90" spans="1:10" s="9" customFormat="1" ht="14.25" customHeight="1" thickBot="1" x14ac:dyDescent="0.25">
      <c r="A90" s="466" t="s">
        <v>286</v>
      </c>
      <c r="B90" s="467"/>
      <c r="C90" s="467"/>
      <c r="D90" s="467"/>
      <c r="E90" s="376"/>
      <c r="F90" s="377">
        <f>F89+F81+F78+F63+F60+F35+F21+F18+F15</f>
        <v>500600</v>
      </c>
      <c r="G90" s="376"/>
      <c r="H90" s="377">
        <f>H89+H81+H78+H63+H60+H35+H21+H18+H15</f>
        <v>198000</v>
      </c>
      <c r="I90" s="376"/>
      <c r="J90" s="377">
        <f>J89+J81+J78+J63+J60+J35+J21+J18+J15</f>
        <v>698600</v>
      </c>
    </row>
    <row r="91" spans="1:10" s="361" customFormat="1" ht="12" x14ac:dyDescent="0.2">
      <c r="A91" s="378"/>
      <c r="C91" s="379"/>
      <c r="D91" s="379"/>
      <c r="E91" s="380"/>
      <c r="F91" s="380"/>
      <c r="G91" s="380"/>
      <c r="H91" s="381"/>
      <c r="I91" s="380"/>
    </row>
    <row r="92" spans="1:10" s="361" customFormat="1" ht="12" x14ac:dyDescent="0.2">
      <c r="A92" s="378"/>
      <c r="C92" s="379"/>
      <c r="D92" s="379"/>
      <c r="E92" s="380"/>
      <c r="F92" s="380"/>
      <c r="G92" s="380"/>
      <c r="H92" s="381"/>
      <c r="I92" s="380"/>
    </row>
    <row r="93" spans="1:10" s="361" customFormat="1" ht="12" x14ac:dyDescent="0.2">
      <c r="A93" s="378"/>
      <c r="C93" s="379"/>
      <c r="D93" s="379"/>
      <c r="E93" s="380"/>
      <c r="F93" s="380"/>
      <c r="G93" s="380"/>
      <c r="H93" s="381"/>
      <c r="I93" s="380"/>
    </row>
    <row r="94" spans="1:10" s="361" customFormat="1" ht="12" x14ac:dyDescent="0.2">
      <c r="A94" s="378"/>
      <c r="C94" s="379"/>
      <c r="D94" s="379"/>
      <c r="E94" s="380"/>
      <c r="F94" s="380"/>
      <c r="G94" s="380"/>
      <c r="H94" s="381"/>
      <c r="I94" s="380"/>
    </row>
    <row r="95" spans="1:10" s="361" customFormat="1" ht="12" x14ac:dyDescent="0.2">
      <c r="A95" s="378"/>
      <c r="C95" s="379"/>
      <c r="D95" s="379"/>
      <c r="E95" s="380"/>
      <c r="F95" s="380"/>
      <c r="G95" s="380"/>
      <c r="H95" s="381"/>
      <c r="I95" s="380"/>
    </row>
    <row r="96" spans="1:10" s="361" customFormat="1" ht="12" x14ac:dyDescent="0.2">
      <c r="A96" s="378"/>
      <c r="C96" s="379"/>
      <c r="D96" s="379"/>
      <c r="E96" s="380"/>
      <c r="F96" s="380"/>
      <c r="G96" s="380"/>
      <c r="H96" s="381"/>
      <c r="I96" s="380"/>
    </row>
    <row r="97" spans="1:9" s="361" customFormat="1" ht="12" x14ac:dyDescent="0.2">
      <c r="A97" s="378"/>
      <c r="C97" s="379"/>
      <c r="D97" s="379"/>
      <c r="E97" s="380"/>
      <c r="F97" s="380"/>
      <c r="G97" s="380"/>
      <c r="H97" s="381"/>
      <c r="I97" s="380"/>
    </row>
    <row r="98" spans="1:9" s="361" customFormat="1" ht="12" x14ac:dyDescent="0.2">
      <c r="A98" s="378"/>
      <c r="C98" s="379"/>
      <c r="D98" s="379"/>
      <c r="E98" s="380"/>
      <c r="F98" s="380"/>
      <c r="G98" s="380"/>
      <c r="H98" s="381"/>
      <c r="I98" s="380"/>
    </row>
    <row r="99" spans="1:9" s="361" customFormat="1" ht="12" x14ac:dyDescent="0.2">
      <c r="A99" s="378"/>
      <c r="C99" s="379"/>
      <c r="D99" s="379"/>
      <c r="E99" s="380"/>
      <c r="F99" s="380"/>
      <c r="G99" s="380"/>
      <c r="H99" s="381"/>
      <c r="I99" s="380"/>
    </row>
    <row r="100" spans="1:9" s="361" customFormat="1" ht="12" x14ac:dyDescent="0.2">
      <c r="A100" s="378"/>
      <c r="C100" s="379"/>
      <c r="D100" s="379"/>
      <c r="E100" s="380"/>
      <c r="F100" s="380"/>
      <c r="G100" s="380"/>
      <c r="H100" s="381"/>
      <c r="I100" s="380"/>
    </row>
    <row r="101" spans="1:9" s="361" customFormat="1" ht="12" x14ac:dyDescent="0.2">
      <c r="A101" s="378"/>
      <c r="C101" s="379"/>
      <c r="D101" s="379"/>
      <c r="E101" s="380"/>
      <c r="F101" s="380"/>
      <c r="G101" s="380"/>
      <c r="H101" s="381"/>
      <c r="I101" s="380"/>
    </row>
    <row r="102" spans="1:9" s="361" customFormat="1" ht="12" x14ac:dyDescent="0.2">
      <c r="A102" s="378"/>
      <c r="C102" s="379"/>
      <c r="D102" s="379"/>
      <c r="E102" s="380"/>
      <c r="F102" s="380"/>
      <c r="G102" s="380"/>
      <c r="H102" s="381"/>
      <c r="I102" s="380"/>
    </row>
    <row r="103" spans="1:9" s="361" customFormat="1" ht="12" x14ac:dyDescent="0.2">
      <c r="A103" s="378"/>
      <c r="C103" s="379"/>
      <c r="D103" s="379"/>
      <c r="E103" s="380"/>
      <c r="F103" s="380"/>
      <c r="G103" s="380"/>
      <c r="H103" s="381"/>
      <c r="I103" s="380"/>
    </row>
    <row r="104" spans="1:9" s="361" customFormat="1" ht="12" x14ac:dyDescent="0.2">
      <c r="A104" s="378"/>
      <c r="C104" s="379"/>
      <c r="D104" s="379"/>
      <c r="E104" s="380"/>
      <c r="F104" s="380"/>
      <c r="G104" s="380"/>
      <c r="H104" s="381"/>
      <c r="I104" s="380"/>
    </row>
    <row r="105" spans="1:9" s="361" customFormat="1" ht="12" x14ac:dyDescent="0.2">
      <c r="A105" s="378"/>
      <c r="C105" s="379"/>
      <c r="D105" s="379"/>
      <c r="E105" s="380"/>
      <c r="F105" s="380"/>
      <c r="G105" s="380"/>
      <c r="H105" s="381"/>
      <c r="I105" s="380"/>
    </row>
    <row r="106" spans="1:9" s="361" customFormat="1" ht="12" x14ac:dyDescent="0.2">
      <c r="A106" s="378"/>
      <c r="C106" s="379"/>
      <c r="D106" s="379"/>
      <c r="E106" s="380"/>
      <c r="F106" s="380"/>
      <c r="G106" s="380"/>
      <c r="H106" s="381"/>
      <c r="I106" s="380"/>
    </row>
    <row r="107" spans="1:9" s="361" customFormat="1" ht="12" x14ac:dyDescent="0.2">
      <c r="A107" s="378"/>
      <c r="C107" s="379"/>
      <c r="D107" s="379"/>
      <c r="E107" s="380"/>
      <c r="F107" s="380"/>
      <c r="G107" s="380"/>
      <c r="H107" s="381"/>
      <c r="I107" s="380"/>
    </row>
    <row r="108" spans="1:9" s="361" customFormat="1" ht="12" x14ac:dyDescent="0.2">
      <c r="A108" s="378"/>
      <c r="C108" s="379"/>
      <c r="D108" s="379"/>
      <c r="E108" s="380"/>
      <c r="F108" s="380"/>
      <c r="G108" s="380"/>
      <c r="H108" s="381"/>
      <c r="I108" s="380"/>
    </row>
    <row r="109" spans="1:9" s="361" customFormat="1" ht="12" x14ac:dyDescent="0.2">
      <c r="A109" s="378"/>
      <c r="C109" s="379"/>
      <c r="D109" s="379"/>
      <c r="E109" s="380"/>
      <c r="F109" s="380"/>
      <c r="G109" s="380"/>
      <c r="H109" s="381"/>
      <c r="I109" s="380"/>
    </row>
    <row r="110" spans="1:9" s="361" customFormat="1" ht="12" x14ac:dyDescent="0.2">
      <c r="A110" s="378"/>
      <c r="C110" s="379"/>
      <c r="D110" s="379"/>
      <c r="E110" s="380"/>
      <c r="F110" s="380"/>
      <c r="G110" s="380"/>
      <c r="H110" s="381"/>
      <c r="I110" s="380"/>
    </row>
    <row r="111" spans="1:9" s="361" customFormat="1" ht="12" x14ac:dyDescent="0.2">
      <c r="A111" s="378"/>
      <c r="C111" s="379"/>
      <c r="D111" s="379"/>
      <c r="E111" s="380"/>
      <c r="F111" s="380"/>
      <c r="G111" s="380"/>
      <c r="H111" s="381"/>
      <c r="I111" s="380"/>
    </row>
    <row r="112" spans="1:9" s="361" customFormat="1" ht="12" x14ac:dyDescent="0.2">
      <c r="A112" s="378"/>
      <c r="C112" s="379"/>
      <c r="D112" s="379"/>
      <c r="E112" s="380"/>
      <c r="F112" s="380"/>
      <c r="G112" s="380"/>
      <c r="H112" s="381"/>
      <c r="I112" s="380"/>
    </row>
    <row r="113" spans="1:9" s="361" customFormat="1" ht="12" x14ac:dyDescent="0.2">
      <c r="A113" s="378"/>
      <c r="C113" s="379"/>
      <c r="D113" s="379"/>
      <c r="E113" s="380"/>
      <c r="F113" s="380"/>
      <c r="G113" s="380"/>
      <c r="H113" s="381"/>
      <c r="I113" s="380"/>
    </row>
    <row r="114" spans="1:9" s="361" customFormat="1" ht="12" x14ac:dyDescent="0.2">
      <c r="A114" s="378"/>
      <c r="C114" s="379"/>
      <c r="D114" s="379"/>
      <c r="E114" s="380"/>
      <c r="F114" s="380"/>
      <c r="G114" s="380"/>
      <c r="H114" s="381"/>
      <c r="I114" s="380"/>
    </row>
    <row r="115" spans="1:9" s="361" customFormat="1" ht="12" x14ac:dyDescent="0.2">
      <c r="A115" s="378"/>
      <c r="C115" s="379"/>
      <c r="D115" s="379"/>
      <c r="E115" s="380"/>
      <c r="F115" s="380"/>
      <c r="G115" s="380"/>
      <c r="H115" s="381"/>
      <c r="I115" s="380"/>
    </row>
    <row r="116" spans="1:9" s="361" customFormat="1" ht="12" x14ac:dyDescent="0.2">
      <c r="A116" s="378"/>
      <c r="C116" s="379"/>
      <c r="D116" s="379"/>
      <c r="E116" s="380"/>
      <c r="F116" s="380"/>
      <c r="G116" s="380"/>
      <c r="H116" s="381"/>
      <c r="I116" s="380"/>
    </row>
    <row r="117" spans="1:9" s="361" customFormat="1" ht="12" x14ac:dyDescent="0.2">
      <c r="A117" s="378"/>
      <c r="C117" s="379"/>
      <c r="D117" s="379"/>
      <c r="E117" s="380"/>
      <c r="F117" s="380"/>
      <c r="G117" s="380"/>
      <c r="H117" s="381"/>
      <c r="I117" s="380"/>
    </row>
    <row r="118" spans="1:9" s="361" customFormat="1" ht="12" x14ac:dyDescent="0.2">
      <c r="A118" s="378"/>
      <c r="C118" s="379"/>
      <c r="D118" s="379"/>
      <c r="E118" s="380"/>
      <c r="F118" s="380"/>
      <c r="G118" s="380"/>
      <c r="H118" s="381"/>
      <c r="I118" s="380"/>
    </row>
    <row r="119" spans="1:9" s="361" customFormat="1" ht="12" x14ac:dyDescent="0.2">
      <c r="A119" s="378"/>
      <c r="C119" s="379"/>
      <c r="D119" s="379"/>
      <c r="E119" s="380"/>
      <c r="F119" s="380"/>
      <c r="G119" s="380"/>
      <c r="H119" s="381"/>
      <c r="I119" s="380"/>
    </row>
    <row r="120" spans="1:9" s="361" customFormat="1" ht="12" x14ac:dyDescent="0.2">
      <c r="A120" s="378"/>
      <c r="C120" s="379"/>
      <c r="D120" s="379"/>
      <c r="E120" s="380"/>
      <c r="F120" s="380"/>
      <c r="G120" s="380"/>
      <c r="H120" s="381"/>
      <c r="I120" s="380"/>
    </row>
    <row r="121" spans="1:9" s="361" customFormat="1" ht="12" x14ac:dyDescent="0.2">
      <c r="A121" s="378"/>
      <c r="C121" s="379"/>
      <c r="D121" s="379"/>
      <c r="E121" s="380"/>
      <c r="F121" s="380"/>
      <c r="G121" s="380"/>
      <c r="H121" s="381"/>
      <c r="I121" s="380"/>
    </row>
    <row r="122" spans="1:9" s="361" customFormat="1" ht="12" x14ac:dyDescent="0.2">
      <c r="A122" s="378"/>
      <c r="C122" s="379"/>
      <c r="D122" s="379"/>
      <c r="E122" s="380"/>
      <c r="F122" s="380"/>
      <c r="G122" s="380"/>
      <c r="H122" s="381"/>
      <c r="I122" s="380"/>
    </row>
    <row r="123" spans="1:9" s="361" customFormat="1" ht="12" x14ac:dyDescent="0.2">
      <c r="A123" s="378"/>
      <c r="C123" s="379"/>
      <c r="D123" s="379"/>
      <c r="E123" s="380"/>
      <c r="F123" s="380"/>
      <c r="G123" s="380"/>
      <c r="H123" s="381"/>
      <c r="I123" s="380"/>
    </row>
    <row r="124" spans="1:9" s="361" customFormat="1" ht="12" x14ac:dyDescent="0.2">
      <c r="A124" s="378"/>
      <c r="C124" s="379"/>
      <c r="D124" s="379"/>
      <c r="E124" s="380"/>
      <c r="F124" s="380"/>
      <c r="G124" s="380"/>
      <c r="H124" s="381"/>
      <c r="I124" s="380"/>
    </row>
    <row r="125" spans="1:9" s="361" customFormat="1" ht="12" x14ac:dyDescent="0.2">
      <c r="A125" s="378"/>
      <c r="C125" s="379"/>
      <c r="D125" s="379"/>
      <c r="E125" s="380"/>
      <c r="F125" s="380"/>
      <c r="G125" s="380"/>
      <c r="H125" s="381"/>
      <c r="I125" s="380"/>
    </row>
    <row r="126" spans="1:9" s="361" customFormat="1" ht="12" x14ac:dyDescent="0.2">
      <c r="A126" s="378"/>
      <c r="C126" s="379"/>
      <c r="D126" s="379"/>
      <c r="E126" s="380"/>
      <c r="F126" s="380"/>
      <c r="G126" s="380"/>
      <c r="H126" s="381"/>
      <c r="I126" s="380"/>
    </row>
    <row r="127" spans="1:9" s="361" customFormat="1" ht="12" x14ac:dyDescent="0.2">
      <c r="A127" s="378"/>
      <c r="C127" s="379"/>
      <c r="D127" s="379"/>
      <c r="E127" s="380"/>
      <c r="F127" s="380"/>
      <c r="G127" s="380"/>
      <c r="H127" s="381"/>
      <c r="I127" s="380"/>
    </row>
    <row r="128" spans="1:9" s="361" customFormat="1" ht="12" x14ac:dyDescent="0.2">
      <c r="A128" s="378"/>
      <c r="C128" s="379"/>
      <c r="D128" s="379"/>
      <c r="E128" s="380"/>
      <c r="F128" s="380"/>
      <c r="G128" s="380"/>
      <c r="H128" s="381"/>
      <c r="I128" s="380"/>
    </row>
    <row r="129" spans="1:9" s="361" customFormat="1" ht="12" x14ac:dyDescent="0.2">
      <c r="A129" s="378"/>
      <c r="C129" s="379"/>
      <c r="D129" s="379"/>
      <c r="E129" s="380"/>
      <c r="F129" s="380"/>
      <c r="G129" s="380"/>
      <c r="H129" s="381"/>
      <c r="I129" s="380"/>
    </row>
    <row r="130" spans="1:9" s="361" customFormat="1" ht="12" x14ac:dyDescent="0.2">
      <c r="A130" s="378"/>
      <c r="C130" s="379"/>
      <c r="D130" s="379"/>
      <c r="E130" s="380"/>
      <c r="F130" s="380"/>
      <c r="G130" s="380"/>
      <c r="H130" s="381"/>
      <c r="I130" s="380"/>
    </row>
    <row r="131" spans="1:9" s="361" customFormat="1" ht="12" x14ac:dyDescent="0.2">
      <c r="A131" s="378"/>
      <c r="C131" s="379"/>
      <c r="D131" s="379"/>
      <c r="E131" s="380"/>
      <c r="F131" s="380"/>
      <c r="G131" s="380"/>
      <c r="H131" s="381"/>
      <c r="I131" s="380"/>
    </row>
    <row r="132" spans="1:9" s="361" customFormat="1" ht="12" x14ac:dyDescent="0.2">
      <c r="A132" s="378"/>
      <c r="C132" s="379"/>
      <c r="D132" s="379"/>
      <c r="E132" s="380"/>
      <c r="F132" s="380"/>
      <c r="G132" s="380"/>
      <c r="H132" s="381"/>
      <c r="I132" s="380"/>
    </row>
    <row r="133" spans="1:9" s="361" customFormat="1" ht="12" x14ac:dyDescent="0.2">
      <c r="A133" s="378"/>
      <c r="C133" s="379"/>
      <c r="D133" s="379"/>
      <c r="E133" s="380"/>
      <c r="F133" s="380"/>
      <c r="G133" s="380"/>
      <c r="H133" s="381"/>
      <c r="I133" s="380"/>
    </row>
    <row r="134" spans="1:9" s="361" customFormat="1" ht="12" x14ac:dyDescent="0.2">
      <c r="A134" s="378"/>
      <c r="C134" s="379"/>
      <c r="D134" s="379"/>
      <c r="E134" s="380"/>
      <c r="F134" s="380"/>
      <c r="G134" s="380"/>
      <c r="H134" s="381"/>
      <c r="I134" s="380"/>
    </row>
    <row r="135" spans="1:9" s="361" customFormat="1" ht="12" x14ac:dyDescent="0.2">
      <c r="A135" s="378"/>
      <c r="C135" s="379"/>
      <c r="D135" s="379"/>
      <c r="E135" s="380"/>
      <c r="F135" s="380"/>
      <c r="G135" s="380"/>
      <c r="H135" s="381"/>
      <c r="I135" s="380"/>
    </row>
    <row r="136" spans="1:9" s="361" customFormat="1" ht="12" x14ac:dyDescent="0.2">
      <c r="A136" s="378"/>
      <c r="C136" s="379"/>
      <c r="D136" s="379"/>
      <c r="E136" s="380"/>
      <c r="F136" s="380"/>
      <c r="G136" s="380"/>
      <c r="H136" s="381"/>
      <c r="I136" s="380"/>
    </row>
    <row r="137" spans="1:9" s="361" customFormat="1" ht="12" x14ac:dyDescent="0.2">
      <c r="A137" s="378"/>
      <c r="C137" s="379"/>
      <c r="D137" s="379"/>
      <c r="E137" s="380"/>
      <c r="F137" s="380"/>
      <c r="G137" s="380"/>
      <c r="H137" s="381"/>
      <c r="I137" s="380"/>
    </row>
    <row r="138" spans="1:9" s="361" customFormat="1" ht="12" x14ac:dyDescent="0.2">
      <c r="A138" s="378"/>
      <c r="C138" s="379"/>
      <c r="D138" s="379"/>
      <c r="E138" s="380"/>
      <c r="F138" s="380"/>
      <c r="G138" s="380"/>
      <c r="H138" s="381"/>
      <c r="I138" s="380"/>
    </row>
    <row r="139" spans="1:9" s="361" customFormat="1" ht="12" x14ac:dyDescent="0.2">
      <c r="A139" s="378"/>
      <c r="C139" s="379"/>
      <c r="D139" s="379"/>
      <c r="E139" s="380"/>
      <c r="F139" s="380"/>
      <c r="G139" s="380"/>
      <c r="H139" s="381"/>
      <c r="I139" s="380"/>
    </row>
    <row r="140" spans="1:9" s="361" customFormat="1" ht="12" x14ac:dyDescent="0.2">
      <c r="A140" s="378"/>
      <c r="C140" s="379"/>
      <c r="D140" s="379"/>
      <c r="E140" s="380"/>
      <c r="F140" s="380"/>
      <c r="G140" s="380"/>
      <c r="H140" s="381"/>
      <c r="I140" s="380"/>
    </row>
    <row r="141" spans="1:9" s="361" customFormat="1" ht="12" x14ac:dyDescent="0.2">
      <c r="A141" s="378"/>
      <c r="C141" s="379"/>
      <c r="D141" s="379"/>
      <c r="E141" s="380"/>
      <c r="F141" s="380"/>
      <c r="G141" s="380"/>
      <c r="H141" s="381"/>
      <c r="I141" s="380"/>
    </row>
    <row r="142" spans="1:9" s="361" customFormat="1" ht="12" x14ac:dyDescent="0.2">
      <c r="A142" s="378"/>
      <c r="C142" s="379"/>
      <c r="D142" s="379"/>
      <c r="E142" s="380"/>
      <c r="F142" s="380"/>
      <c r="G142" s="380"/>
      <c r="H142" s="381"/>
      <c r="I142" s="380"/>
    </row>
    <row r="143" spans="1:9" s="361" customFormat="1" ht="12" x14ac:dyDescent="0.2">
      <c r="A143" s="378"/>
      <c r="C143" s="379"/>
      <c r="D143" s="379"/>
      <c r="E143" s="380"/>
      <c r="F143" s="380"/>
      <c r="G143" s="380"/>
      <c r="H143" s="381"/>
      <c r="I143" s="380"/>
    </row>
    <row r="144" spans="1:9" s="361" customFormat="1" ht="12" x14ac:dyDescent="0.2">
      <c r="A144" s="378"/>
      <c r="C144" s="379"/>
      <c r="D144" s="379"/>
      <c r="E144" s="380"/>
      <c r="F144" s="380"/>
      <c r="G144" s="380"/>
      <c r="H144" s="381"/>
      <c r="I144" s="380"/>
    </row>
    <row r="145" spans="1:9" s="361" customFormat="1" ht="12" x14ac:dyDescent="0.2">
      <c r="A145" s="378"/>
      <c r="C145" s="379"/>
      <c r="D145" s="379"/>
      <c r="E145" s="380"/>
      <c r="F145" s="380"/>
      <c r="G145" s="380"/>
      <c r="H145" s="381"/>
      <c r="I145" s="380"/>
    </row>
    <row r="146" spans="1:9" s="361" customFormat="1" ht="12" x14ac:dyDescent="0.2">
      <c r="A146" s="378"/>
      <c r="C146" s="379"/>
      <c r="D146" s="379"/>
      <c r="E146" s="380"/>
      <c r="F146" s="380"/>
      <c r="G146" s="380"/>
      <c r="H146" s="381"/>
      <c r="I146" s="380"/>
    </row>
    <row r="147" spans="1:9" s="361" customFormat="1" ht="12" x14ac:dyDescent="0.2">
      <c r="A147" s="378"/>
      <c r="C147" s="379"/>
      <c r="D147" s="379"/>
      <c r="E147" s="380"/>
      <c r="F147" s="380"/>
      <c r="G147" s="380"/>
      <c r="H147" s="381"/>
      <c r="I147" s="380"/>
    </row>
    <row r="148" spans="1:9" s="361" customFormat="1" ht="12" x14ac:dyDescent="0.2">
      <c r="A148" s="378"/>
      <c r="C148" s="379"/>
      <c r="D148" s="379"/>
      <c r="E148" s="380"/>
      <c r="F148" s="380"/>
      <c r="G148" s="380"/>
      <c r="H148" s="381"/>
      <c r="I148" s="380"/>
    </row>
    <row r="149" spans="1:9" s="361" customFormat="1" ht="12" x14ac:dyDescent="0.2">
      <c r="A149" s="378"/>
      <c r="C149" s="379"/>
      <c r="D149" s="379"/>
      <c r="E149" s="380"/>
      <c r="F149" s="380"/>
      <c r="G149" s="380"/>
      <c r="H149" s="381"/>
      <c r="I149" s="380"/>
    </row>
    <row r="150" spans="1:9" s="361" customFormat="1" ht="12" x14ac:dyDescent="0.2">
      <c r="A150" s="378"/>
      <c r="C150" s="379"/>
      <c r="D150" s="379"/>
      <c r="E150" s="380"/>
      <c r="F150" s="380"/>
      <c r="G150" s="380"/>
      <c r="H150" s="381"/>
      <c r="I150" s="380"/>
    </row>
    <row r="151" spans="1:9" s="361" customFormat="1" ht="12" x14ac:dyDescent="0.2">
      <c r="A151" s="378"/>
      <c r="C151" s="379"/>
      <c r="D151" s="379"/>
      <c r="E151" s="380"/>
      <c r="F151" s="380"/>
      <c r="G151" s="380"/>
      <c r="H151" s="381"/>
      <c r="I151" s="380"/>
    </row>
    <row r="152" spans="1:9" s="361" customFormat="1" ht="12" x14ac:dyDescent="0.2">
      <c r="A152" s="378"/>
      <c r="C152" s="379"/>
      <c r="D152" s="379"/>
      <c r="E152" s="380"/>
      <c r="F152" s="380"/>
      <c r="G152" s="380"/>
      <c r="H152" s="381"/>
      <c r="I152" s="380"/>
    </row>
    <row r="153" spans="1:9" s="361" customFormat="1" ht="12" x14ac:dyDescent="0.2">
      <c r="A153" s="378"/>
      <c r="C153" s="379"/>
      <c r="D153" s="379"/>
      <c r="E153" s="380"/>
      <c r="F153" s="380"/>
      <c r="G153" s="380"/>
      <c r="H153" s="381"/>
      <c r="I153" s="380"/>
    </row>
    <row r="154" spans="1:9" s="361" customFormat="1" ht="12" x14ac:dyDescent="0.2">
      <c r="A154" s="378"/>
      <c r="C154" s="379"/>
      <c r="D154" s="379"/>
      <c r="E154" s="380"/>
      <c r="F154" s="380"/>
      <c r="G154" s="380"/>
      <c r="H154" s="381"/>
      <c r="I154" s="380"/>
    </row>
    <row r="155" spans="1:9" s="361" customFormat="1" ht="12" x14ac:dyDescent="0.2">
      <c r="A155" s="378"/>
      <c r="C155" s="379"/>
      <c r="D155" s="379"/>
      <c r="E155" s="380"/>
      <c r="F155" s="380"/>
      <c r="G155" s="380"/>
      <c r="H155" s="381"/>
      <c r="I155" s="380"/>
    </row>
    <row r="156" spans="1:9" s="361" customFormat="1" ht="12" x14ac:dyDescent="0.2">
      <c r="A156" s="378"/>
      <c r="C156" s="379"/>
      <c r="D156" s="379"/>
      <c r="E156" s="380"/>
      <c r="F156" s="380"/>
      <c r="G156" s="380"/>
      <c r="H156" s="381"/>
      <c r="I156" s="380"/>
    </row>
    <row r="157" spans="1:9" s="361" customFormat="1" ht="12" x14ac:dyDescent="0.2">
      <c r="A157" s="378"/>
      <c r="C157" s="379"/>
      <c r="D157" s="379"/>
      <c r="E157" s="380"/>
      <c r="F157" s="380"/>
      <c r="G157" s="380"/>
      <c r="H157" s="381"/>
      <c r="I157" s="380"/>
    </row>
    <row r="158" spans="1:9" s="361" customFormat="1" ht="12" x14ac:dyDescent="0.2">
      <c r="A158" s="378"/>
      <c r="C158" s="379"/>
      <c r="D158" s="379"/>
      <c r="E158" s="380"/>
      <c r="F158" s="380"/>
      <c r="G158" s="380"/>
      <c r="H158" s="381"/>
      <c r="I158" s="380"/>
    </row>
    <row r="159" spans="1:9" s="361" customFormat="1" ht="12" x14ac:dyDescent="0.2">
      <c r="A159" s="378"/>
      <c r="C159" s="379"/>
      <c r="D159" s="379"/>
      <c r="E159" s="380"/>
      <c r="F159" s="380"/>
      <c r="G159" s="380"/>
      <c r="H159" s="381"/>
      <c r="I159" s="380"/>
    </row>
    <row r="160" spans="1:9" s="361" customFormat="1" ht="12" x14ac:dyDescent="0.2">
      <c r="A160" s="378"/>
      <c r="C160" s="379"/>
      <c r="D160" s="379"/>
      <c r="E160" s="380"/>
      <c r="F160" s="380"/>
      <c r="G160" s="380"/>
      <c r="H160" s="381"/>
      <c r="I160" s="380"/>
    </row>
    <row r="161" spans="1:10" s="361" customFormat="1" ht="12" x14ac:dyDescent="0.2">
      <c r="A161" s="378"/>
      <c r="C161" s="379"/>
      <c r="D161" s="379"/>
      <c r="E161" s="380"/>
      <c r="F161" s="380"/>
      <c r="G161" s="380"/>
      <c r="H161" s="381"/>
      <c r="I161" s="380"/>
    </row>
    <row r="162" spans="1:10" s="361" customFormat="1" ht="12" x14ac:dyDescent="0.2">
      <c r="A162" s="378"/>
      <c r="C162" s="379"/>
      <c r="D162" s="379"/>
      <c r="E162" s="380"/>
      <c r="F162" s="380"/>
      <c r="G162" s="380"/>
      <c r="H162" s="381"/>
      <c r="I162" s="380"/>
    </row>
    <row r="163" spans="1:10" s="361" customFormat="1" ht="12" x14ac:dyDescent="0.2">
      <c r="A163" s="378"/>
      <c r="C163" s="379"/>
      <c r="D163" s="379"/>
      <c r="E163" s="380"/>
      <c r="F163" s="380"/>
      <c r="G163" s="380"/>
      <c r="H163" s="381"/>
      <c r="I163" s="380"/>
    </row>
    <row r="164" spans="1:10" s="361" customFormat="1" ht="12" x14ac:dyDescent="0.2">
      <c r="A164" s="378"/>
      <c r="C164" s="379"/>
      <c r="D164" s="379"/>
      <c r="E164" s="380"/>
      <c r="F164" s="380"/>
      <c r="G164" s="380"/>
      <c r="H164" s="381"/>
      <c r="I164" s="380"/>
    </row>
    <row r="165" spans="1:10" s="361" customFormat="1" ht="12" x14ac:dyDescent="0.2">
      <c r="A165" s="378"/>
      <c r="C165" s="379"/>
      <c r="D165" s="379"/>
      <c r="E165" s="382"/>
      <c r="F165" s="382"/>
      <c r="G165" s="382"/>
      <c r="H165" s="381"/>
      <c r="I165" s="382"/>
    </row>
    <row r="166" spans="1:10" s="361" customFormat="1" ht="12" x14ac:dyDescent="0.2">
      <c r="A166" s="378"/>
      <c r="C166" s="379"/>
      <c r="D166" s="379"/>
      <c r="E166" s="382"/>
      <c r="F166" s="382"/>
      <c r="G166" s="382"/>
      <c r="H166" s="381"/>
      <c r="I166" s="382"/>
    </row>
    <row r="167" spans="1:10" s="361" customFormat="1" ht="12" x14ac:dyDescent="0.2">
      <c r="A167" s="378"/>
      <c r="C167" s="379"/>
      <c r="D167" s="379"/>
      <c r="E167" s="382"/>
      <c r="F167" s="382"/>
      <c r="G167" s="382"/>
      <c r="H167" s="381"/>
      <c r="I167" s="382"/>
    </row>
    <row r="168" spans="1:10" s="361" customFormat="1" ht="12" x14ac:dyDescent="0.2">
      <c r="A168" s="378"/>
      <c r="C168" s="379"/>
      <c r="D168" s="379"/>
      <c r="E168" s="382"/>
      <c r="F168" s="382"/>
      <c r="G168" s="382"/>
      <c r="H168" s="381"/>
      <c r="I168" s="382"/>
    </row>
    <row r="169" spans="1:10" x14ac:dyDescent="0.2">
      <c r="A169" s="378"/>
      <c r="B169" s="361"/>
      <c r="C169" s="379"/>
      <c r="D169" s="379"/>
      <c r="E169" s="382"/>
      <c r="F169" s="382"/>
      <c r="G169" s="382"/>
      <c r="H169" s="381"/>
      <c r="I169" s="382"/>
      <c r="J169" s="361"/>
    </row>
    <row r="170" spans="1:10" x14ac:dyDescent="0.2">
      <c r="A170" s="378"/>
      <c r="B170" s="361"/>
      <c r="C170" s="379"/>
      <c r="D170" s="379"/>
      <c r="E170" s="382"/>
      <c r="F170" s="382"/>
      <c r="G170" s="382"/>
      <c r="H170" s="381"/>
      <c r="I170" s="382"/>
      <c r="J170" s="361"/>
    </row>
    <row r="171" spans="1:10" x14ac:dyDescent="0.2">
      <c r="A171" s="378"/>
      <c r="B171" s="361"/>
      <c r="C171" s="379"/>
      <c r="D171" s="379"/>
      <c r="E171" s="382"/>
      <c r="F171" s="382"/>
      <c r="G171" s="382"/>
      <c r="H171" s="381"/>
      <c r="I171" s="382"/>
      <c r="J171" s="361"/>
    </row>
    <row r="172" spans="1:10" x14ac:dyDescent="0.2">
      <c r="A172" s="378"/>
      <c r="B172" s="361"/>
      <c r="C172" s="379"/>
      <c r="D172" s="379"/>
      <c r="E172" s="382"/>
      <c r="F172" s="382"/>
      <c r="G172" s="382"/>
      <c r="H172" s="381"/>
      <c r="I172" s="382"/>
      <c r="J172" s="361"/>
    </row>
    <row r="173" spans="1:10" x14ac:dyDescent="0.2">
      <c r="A173" s="378"/>
      <c r="B173" s="361"/>
      <c r="C173" s="379"/>
      <c r="D173" s="379"/>
      <c r="E173" s="382"/>
      <c r="F173" s="382"/>
      <c r="G173" s="382"/>
      <c r="H173" s="381"/>
      <c r="I173" s="382"/>
      <c r="J173" s="361"/>
    </row>
    <row r="174" spans="1:10" x14ac:dyDescent="0.2">
      <c r="A174" s="378"/>
      <c r="B174" s="361"/>
      <c r="C174" s="379"/>
      <c r="D174" s="379"/>
      <c r="E174" s="382"/>
      <c r="F174" s="382"/>
      <c r="G174" s="382"/>
      <c r="H174" s="381"/>
      <c r="I174" s="382"/>
      <c r="J174" s="361"/>
    </row>
    <row r="175" spans="1:10" x14ac:dyDescent="0.2">
      <c r="A175" s="378"/>
      <c r="B175" s="361"/>
      <c r="C175" s="379"/>
      <c r="D175" s="379"/>
      <c r="E175" s="382"/>
      <c r="F175" s="382"/>
      <c r="G175" s="382"/>
      <c r="H175" s="381"/>
      <c r="I175" s="382"/>
      <c r="J175" s="361"/>
    </row>
    <row r="176" spans="1:10" x14ac:dyDescent="0.2">
      <c r="A176" s="378"/>
      <c r="B176" s="361"/>
      <c r="C176" s="379"/>
      <c r="D176" s="379"/>
      <c r="E176" s="382"/>
      <c r="F176" s="382"/>
      <c r="G176" s="382"/>
      <c r="H176" s="381"/>
      <c r="I176" s="382"/>
      <c r="J176" s="361"/>
    </row>
    <row r="177" spans="1:10" x14ac:dyDescent="0.2">
      <c r="A177" s="378"/>
      <c r="B177" s="361"/>
      <c r="C177" s="379"/>
      <c r="D177" s="379"/>
      <c r="E177" s="382"/>
      <c r="F177" s="382"/>
      <c r="G177" s="382"/>
      <c r="H177" s="381"/>
      <c r="I177" s="382"/>
      <c r="J177" s="361"/>
    </row>
    <row r="178" spans="1:10" x14ac:dyDescent="0.2">
      <c r="A178" s="378"/>
      <c r="B178" s="361"/>
      <c r="C178" s="379"/>
      <c r="D178" s="379"/>
      <c r="E178" s="382"/>
      <c r="F178" s="382"/>
      <c r="G178" s="382"/>
      <c r="H178" s="381"/>
      <c r="I178" s="382"/>
      <c r="J178" s="361"/>
    </row>
    <row r="179" spans="1:10" x14ac:dyDescent="0.2">
      <c r="A179" s="378"/>
      <c r="B179" s="361"/>
      <c r="C179" s="379"/>
      <c r="D179" s="379"/>
      <c r="E179" s="382"/>
      <c r="F179" s="382"/>
      <c r="G179" s="382"/>
      <c r="H179" s="381"/>
      <c r="I179" s="382"/>
      <c r="J179" s="361"/>
    </row>
    <row r="180" spans="1:10" x14ac:dyDescent="0.2">
      <c r="A180" s="378"/>
      <c r="B180" s="361"/>
      <c r="C180" s="379"/>
      <c r="D180" s="379"/>
      <c r="E180" s="382"/>
      <c r="F180" s="382"/>
      <c r="G180" s="382"/>
      <c r="H180" s="381"/>
      <c r="I180" s="382"/>
      <c r="J180" s="361"/>
    </row>
    <row r="181" spans="1:10" x14ac:dyDescent="0.2">
      <c r="A181" s="378"/>
      <c r="B181" s="361"/>
      <c r="C181" s="379"/>
      <c r="D181" s="379"/>
      <c r="E181" s="382"/>
      <c r="F181" s="382"/>
      <c r="G181" s="382"/>
      <c r="H181" s="381"/>
      <c r="I181" s="382"/>
      <c r="J181" s="361"/>
    </row>
    <row r="182" spans="1:10" x14ac:dyDescent="0.2">
      <c r="A182" s="378"/>
      <c r="B182" s="361"/>
      <c r="C182" s="379"/>
      <c r="D182" s="379"/>
      <c r="E182" s="382"/>
      <c r="F182" s="382"/>
      <c r="G182" s="382"/>
      <c r="H182" s="381"/>
      <c r="I182" s="382"/>
      <c r="J182" s="361"/>
    </row>
    <row r="183" spans="1:10" x14ac:dyDescent="0.2">
      <c r="A183" s="378"/>
      <c r="B183" s="361"/>
      <c r="C183" s="379"/>
      <c r="D183" s="379"/>
      <c r="E183" s="382"/>
      <c r="F183" s="382"/>
      <c r="G183" s="382"/>
      <c r="H183" s="381"/>
      <c r="I183" s="382"/>
      <c r="J183" s="361"/>
    </row>
    <row r="184" spans="1:10" x14ac:dyDescent="0.2">
      <c r="A184" s="378"/>
      <c r="B184" s="361"/>
      <c r="C184" s="379"/>
      <c r="D184" s="379"/>
      <c r="E184" s="382"/>
      <c r="F184" s="382"/>
      <c r="G184" s="382"/>
      <c r="H184" s="381"/>
      <c r="I184" s="382"/>
      <c r="J184" s="361"/>
    </row>
    <row r="185" spans="1:10" x14ac:dyDescent="0.2">
      <c r="A185" s="378"/>
      <c r="B185" s="361"/>
      <c r="C185" s="379"/>
      <c r="D185" s="379"/>
      <c r="E185" s="382"/>
      <c r="F185" s="382"/>
      <c r="G185" s="382"/>
      <c r="H185" s="381"/>
      <c r="I185" s="382"/>
      <c r="J185" s="361"/>
    </row>
    <row r="186" spans="1:10" x14ac:dyDescent="0.2">
      <c r="A186" s="378"/>
      <c r="B186" s="361"/>
      <c r="C186" s="379"/>
      <c r="D186" s="379"/>
      <c r="E186" s="382"/>
      <c r="F186" s="382"/>
      <c r="G186" s="382"/>
      <c r="H186" s="381"/>
      <c r="I186" s="382"/>
      <c r="J186" s="361"/>
    </row>
    <row r="187" spans="1:10" x14ac:dyDescent="0.2">
      <c r="A187" s="378"/>
      <c r="B187" s="361"/>
      <c r="C187" s="379"/>
      <c r="D187" s="379"/>
      <c r="E187" s="382"/>
      <c r="F187" s="382"/>
      <c r="G187" s="382"/>
      <c r="H187" s="381"/>
      <c r="I187" s="382"/>
      <c r="J187" s="361"/>
    </row>
    <row r="188" spans="1:10" x14ac:dyDescent="0.2">
      <c r="A188" s="378"/>
      <c r="B188" s="361"/>
      <c r="C188" s="379"/>
      <c r="D188" s="379"/>
      <c r="E188" s="382"/>
      <c r="F188" s="382"/>
      <c r="G188" s="382"/>
      <c r="H188" s="381"/>
      <c r="I188" s="382"/>
      <c r="J188" s="361"/>
    </row>
  </sheetData>
  <mergeCells count="18">
    <mergeCell ref="A4:J4"/>
    <mergeCell ref="A7:A9"/>
    <mergeCell ref="B7:B9"/>
    <mergeCell ref="C7:C9"/>
    <mergeCell ref="D7:D9"/>
    <mergeCell ref="E7:F7"/>
    <mergeCell ref="G7:H7"/>
    <mergeCell ref="I7:J7"/>
    <mergeCell ref="A78:D78"/>
    <mergeCell ref="A81:D81"/>
    <mergeCell ref="A89:D89"/>
    <mergeCell ref="A90:D90"/>
    <mergeCell ref="A15:D15"/>
    <mergeCell ref="A18:D18"/>
    <mergeCell ref="A21:D21"/>
    <mergeCell ref="A35:D35"/>
    <mergeCell ref="A60:D60"/>
    <mergeCell ref="A63:D63"/>
  </mergeCells>
  <printOptions horizontalCentered="1"/>
  <pageMargins left="0.5" right="0.25" top="0.75" bottom="0.54" header="0.5" footer="0.12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K97"/>
  <sheetViews>
    <sheetView showGridLines="0" defaultGridColor="0" topLeftCell="C2" colorId="8" zoomScaleNormal="100" zoomScaleSheetLayoutView="100" workbookViewId="0">
      <selection activeCell="L2" sqref="L1:L1048576"/>
    </sheetView>
  </sheetViews>
  <sheetFormatPr defaultRowHeight="11.25" x14ac:dyDescent="0.2"/>
  <cols>
    <col min="1" max="1" width="9.85546875" style="268" customWidth="1"/>
    <col min="2" max="2" width="23.5703125" style="269" customWidth="1"/>
    <col min="3" max="3" width="57.85546875" style="269" customWidth="1"/>
    <col min="4" max="4" width="12.140625" style="268" customWidth="1"/>
    <col min="5" max="5" width="5.28515625" style="270" customWidth="1"/>
    <col min="6" max="7" width="12.140625" style="271" customWidth="1"/>
    <col min="8" max="8" width="12.140625" style="272" customWidth="1"/>
    <col min="9" max="11" width="12.140625" style="271" customWidth="1"/>
    <col min="12" max="255" width="9.140625" style="269"/>
    <col min="256" max="256" width="9.85546875" style="269" customWidth="1"/>
    <col min="257" max="257" width="23.5703125" style="269" customWidth="1"/>
    <col min="258" max="258" width="57.85546875" style="269" customWidth="1"/>
    <col min="259" max="259" width="12.140625" style="269" customWidth="1"/>
    <col min="260" max="260" width="5.28515625" style="269" customWidth="1"/>
    <col min="261" max="266" width="12.140625" style="269" customWidth="1"/>
    <col min="267" max="511" width="9.140625" style="269"/>
    <col min="512" max="512" width="9.85546875" style="269" customWidth="1"/>
    <col min="513" max="513" width="23.5703125" style="269" customWidth="1"/>
    <col min="514" max="514" width="57.85546875" style="269" customWidth="1"/>
    <col min="515" max="515" width="12.140625" style="269" customWidth="1"/>
    <col min="516" max="516" width="5.28515625" style="269" customWidth="1"/>
    <col min="517" max="522" width="12.140625" style="269" customWidth="1"/>
    <col min="523" max="767" width="9.140625" style="269"/>
    <col min="768" max="768" width="9.85546875" style="269" customWidth="1"/>
    <col min="769" max="769" width="23.5703125" style="269" customWidth="1"/>
    <col min="770" max="770" width="57.85546875" style="269" customWidth="1"/>
    <col min="771" max="771" width="12.140625" style="269" customWidth="1"/>
    <col min="772" max="772" width="5.28515625" style="269" customWidth="1"/>
    <col min="773" max="778" width="12.140625" style="269" customWidth="1"/>
    <col min="779" max="1023" width="9.140625" style="269"/>
    <col min="1024" max="1024" width="9.85546875" style="269" customWidth="1"/>
    <col min="1025" max="1025" width="23.5703125" style="269" customWidth="1"/>
    <col min="1026" max="1026" width="57.85546875" style="269" customWidth="1"/>
    <col min="1027" max="1027" width="12.140625" style="269" customWidth="1"/>
    <col min="1028" max="1028" width="5.28515625" style="269" customWidth="1"/>
    <col min="1029" max="1034" width="12.140625" style="269" customWidth="1"/>
    <col min="1035" max="1279" width="9.140625" style="269"/>
    <col min="1280" max="1280" width="9.85546875" style="269" customWidth="1"/>
    <col min="1281" max="1281" width="23.5703125" style="269" customWidth="1"/>
    <col min="1282" max="1282" width="57.85546875" style="269" customWidth="1"/>
    <col min="1283" max="1283" width="12.140625" style="269" customWidth="1"/>
    <col min="1284" max="1284" width="5.28515625" style="269" customWidth="1"/>
    <col min="1285" max="1290" width="12.140625" style="269" customWidth="1"/>
    <col min="1291" max="1535" width="9.140625" style="269"/>
    <col min="1536" max="1536" width="9.85546875" style="269" customWidth="1"/>
    <col min="1537" max="1537" width="23.5703125" style="269" customWidth="1"/>
    <col min="1538" max="1538" width="57.85546875" style="269" customWidth="1"/>
    <col min="1539" max="1539" width="12.140625" style="269" customWidth="1"/>
    <col min="1540" max="1540" width="5.28515625" style="269" customWidth="1"/>
    <col min="1541" max="1546" width="12.140625" style="269" customWidth="1"/>
    <col min="1547" max="1791" width="9.140625" style="269"/>
    <col min="1792" max="1792" width="9.85546875" style="269" customWidth="1"/>
    <col min="1793" max="1793" width="23.5703125" style="269" customWidth="1"/>
    <col min="1794" max="1794" width="57.85546875" style="269" customWidth="1"/>
    <col min="1795" max="1795" width="12.140625" style="269" customWidth="1"/>
    <col min="1796" max="1796" width="5.28515625" style="269" customWidth="1"/>
    <col min="1797" max="1802" width="12.140625" style="269" customWidth="1"/>
    <col min="1803" max="2047" width="9.140625" style="269"/>
    <col min="2048" max="2048" width="9.85546875" style="269" customWidth="1"/>
    <col min="2049" max="2049" width="23.5703125" style="269" customWidth="1"/>
    <col min="2050" max="2050" width="57.85546875" style="269" customWidth="1"/>
    <col min="2051" max="2051" width="12.140625" style="269" customWidth="1"/>
    <col min="2052" max="2052" width="5.28515625" style="269" customWidth="1"/>
    <col min="2053" max="2058" width="12.140625" style="269" customWidth="1"/>
    <col min="2059" max="2303" width="9.140625" style="269"/>
    <col min="2304" max="2304" width="9.85546875" style="269" customWidth="1"/>
    <col min="2305" max="2305" width="23.5703125" style="269" customWidth="1"/>
    <col min="2306" max="2306" width="57.85546875" style="269" customWidth="1"/>
    <col min="2307" max="2307" width="12.140625" style="269" customWidth="1"/>
    <col min="2308" max="2308" width="5.28515625" style="269" customWidth="1"/>
    <col min="2309" max="2314" width="12.140625" style="269" customWidth="1"/>
    <col min="2315" max="2559" width="9.140625" style="269"/>
    <col min="2560" max="2560" width="9.85546875" style="269" customWidth="1"/>
    <col min="2561" max="2561" width="23.5703125" style="269" customWidth="1"/>
    <col min="2562" max="2562" width="57.85546875" style="269" customWidth="1"/>
    <col min="2563" max="2563" width="12.140625" style="269" customWidth="1"/>
    <col min="2564" max="2564" width="5.28515625" style="269" customWidth="1"/>
    <col min="2565" max="2570" width="12.140625" style="269" customWidth="1"/>
    <col min="2571" max="2815" width="9.140625" style="269"/>
    <col min="2816" max="2816" width="9.85546875" style="269" customWidth="1"/>
    <col min="2817" max="2817" width="23.5703125" style="269" customWidth="1"/>
    <col min="2818" max="2818" width="57.85546875" style="269" customWidth="1"/>
    <col min="2819" max="2819" width="12.140625" style="269" customWidth="1"/>
    <col min="2820" max="2820" width="5.28515625" style="269" customWidth="1"/>
    <col min="2821" max="2826" width="12.140625" style="269" customWidth="1"/>
    <col min="2827" max="3071" width="9.140625" style="269"/>
    <col min="3072" max="3072" width="9.85546875" style="269" customWidth="1"/>
    <col min="3073" max="3073" width="23.5703125" style="269" customWidth="1"/>
    <col min="3074" max="3074" width="57.85546875" style="269" customWidth="1"/>
    <col min="3075" max="3075" width="12.140625" style="269" customWidth="1"/>
    <col min="3076" max="3076" width="5.28515625" style="269" customWidth="1"/>
    <col min="3077" max="3082" width="12.140625" style="269" customWidth="1"/>
    <col min="3083" max="3327" width="9.140625" style="269"/>
    <col min="3328" max="3328" width="9.85546875" style="269" customWidth="1"/>
    <col min="3329" max="3329" width="23.5703125" style="269" customWidth="1"/>
    <col min="3330" max="3330" width="57.85546875" style="269" customWidth="1"/>
    <col min="3331" max="3331" width="12.140625" style="269" customWidth="1"/>
    <col min="3332" max="3332" width="5.28515625" style="269" customWidth="1"/>
    <col min="3333" max="3338" width="12.140625" style="269" customWidth="1"/>
    <col min="3339" max="3583" width="9.140625" style="269"/>
    <col min="3584" max="3584" width="9.85546875" style="269" customWidth="1"/>
    <col min="3585" max="3585" width="23.5703125" style="269" customWidth="1"/>
    <col min="3586" max="3586" width="57.85546875" style="269" customWidth="1"/>
    <col min="3587" max="3587" width="12.140625" style="269" customWidth="1"/>
    <col min="3588" max="3588" width="5.28515625" style="269" customWidth="1"/>
    <col min="3589" max="3594" width="12.140625" style="269" customWidth="1"/>
    <col min="3595" max="3839" width="9.140625" style="269"/>
    <col min="3840" max="3840" width="9.85546875" style="269" customWidth="1"/>
    <col min="3841" max="3841" width="23.5703125" style="269" customWidth="1"/>
    <col min="3842" max="3842" width="57.85546875" style="269" customWidth="1"/>
    <col min="3843" max="3843" width="12.140625" style="269" customWidth="1"/>
    <col min="3844" max="3844" width="5.28515625" style="269" customWidth="1"/>
    <col min="3845" max="3850" width="12.140625" style="269" customWidth="1"/>
    <col min="3851" max="4095" width="9.140625" style="269"/>
    <col min="4096" max="4096" width="9.85546875" style="269" customWidth="1"/>
    <col min="4097" max="4097" width="23.5703125" style="269" customWidth="1"/>
    <col min="4098" max="4098" width="57.85546875" style="269" customWidth="1"/>
    <col min="4099" max="4099" width="12.140625" style="269" customWidth="1"/>
    <col min="4100" max="4100" width="5.28515625" style="269" customWidth="1"/>
    <col min="4101" max="4106" width="12.140625" style="269" customWidth="1"/>
    <col min="4107" max="4351" width="9.140625" style="269"/>
    <col min="4352" max="4352" width="9.85546875" style="269" customWidth="1"/>
    <col min="4353" max="4353" width="23.5703125" style="269" customWidth="1"/>
    <col min="4354" max="4354" width="57.85546875" style="269" customWidth="1"/>
    <col min="4355" max="4355" width="12.140625" style="269" customWidth="1"/>
    <col min="4356" max="4356" width="5.28515625" style="269" customWidth="1"/>
    <col min="4357" max="4362" width="12.140625" style="269" customWidth="1"/>
    <col min="4363" max="4607" width="9.140625" style="269"/>
    <col min="4608" max="4608" width="9.85546875" style="269" customWidth="1"/>
    <col min="4609" max="4609" width="23.5703125" style="269" customWidth="1"/>
    <col min="4610" max="4610" width="57.85546875" style="269" customWidth="1"/>
    <col min="4611" max="4611" width="12.140625" style="269" customWidth="1"/>
    <col min="4612" max="4612" width="5.28515625" style="269" customWidth="1"/>
    <col min="4613" max="4618" width="12.140625" style="269" customWidth="1"/>
    <col min="4619" max="4863" width="9.140625" style="269"/>
    <col min="4864" max="4864" width="9.85546875" style="269" customWidth="1"/>
    <col min="4865" max="4865" width="23.5703125" style="269" customWidth="1"/>
    <col min="4866" max="4866" width="57.85546875" style="269" customWidth="1"/>
    <col min="4867" max="4867" width="12.140625" style="269" customWidth="1"/>
    <col min="4868" max="4868" width="5.28515625" style="269" customWidth="1"/>
    <col min="4869" max="4874" width="12.140625" style="269" customWidth="1"/>
    <col min="4875" max="5119" width="9.140625" style="269"/>
    <col min="5120" max="5120" width="9.85546875" style="269" customWidth="1"/>
    <col min="5121" max="5121" width="23.5703125" style="269" customWidth="1"/>
    <col min="5122" max="5122" width="57.85546875" style="269" customWidth="1"/>
    <col min="5123" max="5123" width="12.140625" style="269" customWidth="1"/>
    <col min="5124" max="5124" width="5.28515625" style="269" customWidth="1"/>
    <col min="5125" max="5130" width="12.140625" style="269" customWidth="1"/>
    <col min="5131" max="5375" width="9.140625" style="269"/>
    <col min="5376" max="5376" width="9.85546875" style="269" customWidth="1"/>
    <col min="5377" max="5377" width="23.5703125" style="269" customWidth="1"/>
    <col min="5378" max="5378" width="57.85546875" style="269" customWidth="1"/>
    <col min="5379" max="5379" width="12.140625" style="269" customWidth="1"/>
    <col min="5380" max="5380" width="5.28515625" style="269" customWidth="1"/>
    <col min="5381" max="5386" width="12.140625" style="269" customWidth="1"/>
    <col min="5387" max="5631" width="9.140625" style="269"/>
    <col min="5632" max="5632" width="9.85546875" style="269" customWidth="1"/>
    <col min="5633" max="5633" width="23.5703125" style="269" customWidth="1"/>
    <col min="5634" max="5634" width="57.85546875" style="269" customWidth="1"/>
    <col min="5635" max="5635" width="12.140625" style="269" customWidth="1"/>
    <col min="5636" max="5636" width="5.28515625" style="269" customWidth="1"/>
    <col min="5637" max="5642" width="12.140625" style="269" customWidth="1"/>
    <col min="5643" max="5887" width="9.140625" style="269"/>
    <col min="5888" max="5888" width="9.85546875" style="269" customWidth="1"/>
    <col min="5889" max="5889" width="23.5703125" style="269" customWidth="1"/>
    <col min="5890" max="5890" width="57.85546875" style="269" customWidth="1"/>
    <col min="5891" max="5891" width="12.140625" style="269" customWidth="1"/>
    <col min="5892" max="5892" width="5.28515625" style="269" customWidth="1"/>
    <col min="5893" max="5898" width="12.140625" style="269" customWidth="1"/>
    <col min="5899" max="6143" width="9.140625" style="269"/>
    <col min="6144" max="6144" width="9.85546875" style="269" customWidth="1"/>
    <col min="6145" max="6145" width="23.5703125" style="269" customWidth="1"/>
    <col min="6146" max="6146" width="57.85546875" style="269" customWidth="1"/>
    <col min="6147" max="6147" width="12.140625" style="269" customWidth="1"/>
    <col min="6148" max="6148" width="5.28515625" style="269" customWidth="1"/>
    <col min="6149" max="6154" width="12.140625" style="269" customWidth="1"/>
    <col min="6155" max="6399" width="9.140625" style="269"/>
    <col min="6400" max="6400" width="9.85546875" style="269" customWidth="1"/>
    <col min="6401" max="6401" width="23.5703125" style="269" customWidth="1"/>
    <col min="6402" max="6402" width="57.85546875" style="269" customWidth="1"/>
    <col min="6403" max="6403" width="12.140625" style="269" customWidth="1"/>
    <col min="6404" max="6404" width="5.28515625" style="269" customWidth="1"/>
    <col min="6405" max="6410" width="12.140625" style="269" customWidth="1"/>
    <col min="6411" max="6655" width="9.140625" style="269"/>
    <col min="6656" max="6656" width="9.85546875" style="269" customWidth="1"/>
    <col min="6657" max="6657" width="23.5703125" style="269" customWidth="1"/>
    <col min="6658" max="6658" width="57.85546875" style="269" customWidth="1"/>
    <col min="6659" max="6659" width="12.140625" style="269" customWidth="1"/>
    <col min="6660" max="6660" width="5.28515625" style="269" customWidth="1"/>
    <col min="6661" max="6666" width="12.140625" style="269" customWidth="1"/>
    <col min="6667" max="6911" width="9.140625" style="269"/>
    <col min="6912" max="6912" width="9.85546875" style="269" customWidth="1"/>
    <col min="6913" max="6913" width="23.5703125" style="269" customWidth="1"/>
    <col min="6914" max="6914" width="57.85546875" style="269" customWidth="1"/>
    <col min="6915" max="6915" width="12.140625" style="269" customWidth="1"/>
    <col min="6916" max="6916" width="5.28515625" style="269" customWidth="1"/>
    <col min="6917" max="6922" width="12.140625" style="269" customWidth="1"/>
    <col min="6923" max="7167" width="9.140625" style="269"/>
    <col min="7168" max="7168" width="9.85546875" style="269" customWidth="1"/>
    <col min="7169" max="7169" width="23.5703125" style="269" customWidth="1"/>
    <col min="7170" max="7170" width="57.85546875" style="269" customWidth="1"/>
    <col min="7171" max="7171" width="12.140625" style="269" customWidth="1"/>
    <col min="7172" max="7172" width="5.28515625" style="269" customWidth="1"/>
    <col min="7173" max="7178" width="12.140625" style="269" customWidth="1"/>
    <col min="7179" max="7423" width="9.140625" style="269"/>
    <col min="7424" max="7424" width="9.85546875" style="269" customWidth="1"/>
    <col min="7425" max="7425" width="23.5703125" style="269" customWidth="1"/>
    <col min="7426" max="7426" width="57.85546875" style="269" customWidth="1"/>
    <col min="7427" max="7427" width="12.140625" style="269" customWidth="1"/>
    <col min="7428" max="7428" width="5.28515625" style="269" customWidth="1"/>
    <col min="7429" max="7434" width="12.140625" style="269" customWidth="1"/>
    <col min="7435" max="7679" width="9.140625" style="269"/>
    <col min="7680" max="7680" width="9.85546875" style="269" customWidth="1"/>
    <col min="7681" max="7681" width="23.5703125" style="269" customWidth="1"/>
    <col min="7682" max="7682" width="57.85546875" style="269" customWidth="1"/>
    <col min="7683" max="7683" width="12.140625" style="269" customWidth="1"/>
    <col min="7684" max="7684" width="5.28515625" style="269" customWidth="1"/>
    <col min="7685" max="7690" width="12.140625" style="269" customWidth="1"/>
    <col min="7691" max="7935" width="9.140625" style="269"/>
    <col min="7936" max="7936" width="9.85546875" style="269" customWidth="1"/>
    <col min="7937" max="7937" width="23.5703125" style="269" customWidth="1"/>
    <col min="7938" max="7938" width="57.85546875" style="269" customWidth="1"/>
    <col min="7939" max="7939" width="12.140625" style="269" customWidth="1"/>
    <col min="7940" max="7940" width="5.28515625" style="269" customWidth="1"/>
    <col min="7941" max="7946" width="12.140625" style="269" customWidth="1"/>
    <col min="7947" max="8191" width="9.140625" style="269"/>
    <col min="8192" max="8192" width="9.85546875" style="269" customWidth="1"/>
    <col min="8193" max="8193" width="23.5703125" style="269" customWidth="1"/>
    <col min="8194" max="8194" width="57.85546875" style="269" customWidth="1"/>
    <col min="8195" max="8195" width="12.140625" style="269" customWidth="1"/>
    <col min="8196" max="8196" width="5.28515625" style="269" customWidth="1"/>
    <col min="8197" max="8202" width="12.140625" style="269" customWidth="1"/>
    <col min="8203" max="8447" width="9.140625" style="269"/>
    <col min="8448" max="8448" width="9.85546875" style="269" customWidth="1"/>
    <col min="8449" max="8449" width="23.5703125" style="269" customWidth="1"/>
    <col min="8450" max="8450" width="57.85546875" style="269" customWidth="1"/>
    <col min="8451" max="8451" width="12.140625" style="269" customWidth="1"/>
    <col min="8452" max="8452" width="5.28515625" style="269" customWidth="1"/>
    <col min="8453" max="8458" width="12.140625" style="269" customWidth="1"/>
    <col min="8459" max="8703" width="9.140625" style="269"/>
    <col min="8704" max="8704" width="9.85546875" style="269" customWidth="1"/>
    <col min="8705" max="8705" width="23.5703125" style="269" customWidth="1"/>
    <col min="8706" max="8706" width="57.85546875" style="269" customWidth="1"/>
    <col min="8707" max="8707" width="12.140625" style="269" customWidth="1"/>
    <col min="8708" max="8708" width="5.28515625" style="269" customWidth="1"/>
    <col min="8709" max="8714" width="12.140625" style="269" customWidth="1"/>
    <col min="8715" max="8959" width="9.140625" style="269"/>
    <col min="8960" max="8960" width="9.85546875" style="269" customWidth="1"/>
    <col min="8961" max="8961" width="23.5703125" style="269" customWidth="1"/>
    <col min="8962" max="8962" width="57.85546875" style="269" customWidth="1"/>
    <col min="8963" max="8963" width="12.140625" style="269" customWidth="1"/>
    <col min="8964" max="8964" width="5.28515625" style="269" customWidth="1"/>
    <col min="8965" max="8970" width="12.140625" style="269" customWidth="1"/>
    <col min="8971" max="9215" width="9.140625" style="269"/>
    <col min="9216" max="9216" width="9.85546875" style="269" customWidth="1"/>
    <col min="9217" max="9217" width="23.5703125" style="269" customWidth="1"/>
    <col min="9218" max="9218" width="57.85546875" style="269" customWidth="1"/>
    <col min="9219" max="9219" width="12.140625" style="269" customWidth="1"/>
    <col min="9220" max="9220" width="5.28515625" style="269" customWidth="1"/>
    <col min="9221" max="9226" width="12.140625" style="269" customWidth="1"/>
    <col min="9227" max="9471" width="9.140625" style="269"/>
    <col min="9472" max="9472" width="9.85546875" style="269" customWidth="1"/>
    <col min="9473" max="9473" width="23.5703125" style="269" customWidth="1"/>
    <col min="9474" max="9474" width="57.85546875" style="269" customWidth="1"/>
    <col min="9475" max="9475" width="12.140625" style="269" customWidth="1"/>
    <col min="9476" max="9476" width="5.28515625" style="269" customWidth="1"/>
    <col min="9477" max="9482" width="12.140625" style="269" customWidth="1"/>
    <col min="9483" max="9727" width="9.140625" style="269"/>
    <col min="9728" max="9728" width="9.85546875" style="269" customWidth="1"/>
    <col min="9729" max="9729" width="23.5703125" style="269" customWidth="1"/>
    <col min="9730" max="9730" width="57.85546875" style="269" customWidth="1"/>
    <col min="9731" max="9731" width="12.140625" style="269" customWidth="1"/>
    <col min="9732" max="9732" width="5.28515625" style="269" customWidth="1"/>
    <col min="9733" max="9738" width="12.140625" style="269" customWidth="1"/>
    <col min="9739" max="9983" width="9.140625" style="269"/>
    <col min="9984" max="9984" width="9.85546875" style="269" customWidth="1"/>
    <col min="9985" max="9985" width="23.5703125" style="269" customWidth="1"/>
    <col min="9986" max="9986" width="57.85546875" style="269" customWidth="1"/>
    <col min="9987" max="9987" width="12.140625" style="269" customWidth="1"/>
    <col min="9988" max="9988" width="5.28515625" style="269" customWidth="1"/>
    <col min="9989" max="9994" width="12.140625" style="269" customWidth="1"/>
    <col min="9995" max="10239" width="9.140625" style="269"/>
    <col min="10240" max="10240" width="9.85546875" style="269" customWidth="1"/>
    <col min="10241" max="10241" width="23.5703125" style="269" customWidth="1"/>
    <col min="10242" max="10242" width="57.85546875" style="269" customWidth="1"/>
    <col min="10243" max="10243" width="12.140625" style="269" customWidth="1"/>
    <col min="10244" max="10244" width="5.28515625" style="269" customWidth="1"/>
    <col min="10245" max="10250" width="12.140625" style="269" customWidth="1"/>
    <col min="10251" max="10495" width="9.140625" style="269"/>
    <col min="10496" max="10496" width="9.85546875" style="269" customWidth="1"/>
    <col min="10497" max="10497" width="23.5703125" style="269" customWidth="1"/>
    <col min="10498" max="10498" width="57.85546875" style="269" customWidth="1"/>
    <col min="10499" max="10499" width="12.140625" style="269" customWidth="1"/>
    <col min="10500" max="10500" width="5.28515625" style="269" customWidth="1"/>
    <col min="10501" max="10506" width="12.140625" style="269" customWidth="1"/>
    <col min="10507" max="10751" width="9.140625" style="269"/>
    <col min="10752" max="10752" width="9.85546875" style="269" customWidth="1"/>
    <col min="10753" max="10753" width="23.5703125" style="269" customWidth="1"/>
    <col min="10754" max="10754" width="57.85546875" style="269" customWidth="1"/>
    <col min="10755" max="10755" width="12.140625" style="269" customWidth="1"/>
    <col min="10756" max="10756" width="5.28515625" style="269" customWidth="1"/>
    <col min="10757" max="10762" width="12.140625" style="269" customWidth="1"/>
    <col min="10763" max="11007" width="9.140625" style="269"/>
    <col min="11008" max="11008" width="9.85546875" style="269" customWidth="1"/>
    <col min="11009" max="11009" width="23.5703125" style="269" customWidth="1"/>
    <col min="11010" max="11010" width="57.85546875" style="269" customWidth="1"/>
    <col min="11011" max="11011" width="12.140625" style="269" customWidth="1"/>
    <col min="11012" max="11012" width="5.28515625" style="269" customWidth="1"/>
    <col min="11013" max="11018" width="12.140625" style="269" customWidth="1"/>
    <col min="11019" max="11263" width="9.140625" style="269"/>
    <col min="11264" max="11264" width="9.85546875" style="269" customWidth="1"/>
    <col min="11265" max="11265" width="23.5703125" style="269" customWidth="1"/>
    <col min="11266" max="11266" width="57.85546875" style="269" customWidth="1"/>
    <col min="11267" max="11267" width="12.140625" style="269" customWidth="1"/>
    <col min="11268" max="11268" width="5.28515625" style="269" customWidth="1"/>
    <col min="11269" max="11274" width="12.140625" style="269" customWidth="1"/>
    <col min="11275" max="11519" width="9.140625" style="269"/>
    <col min="11520" max="11520" width="9.85546875" style="269" customWidth="1"/>
    <col min="11521" max="11521" width="23.5703125" style="269" customWidth="1"/>
    <col min="11522" max="11522" width="57.85546875" style="269" customWidth="1"/>
    <col min="11523" max="11523" width="12.140625" style="269" customWidth="1"/>
    <col min="11524" max="11524" width="5.28515625" style="269" customWidth="1"/>
    <col min="11525" max="11530" width="12.140625" style="269" customWidth="1"/>
    <col min="11531" max="11775" width="9.140625" style="269"/>
    <col min="11776" max="11776" width="9.85546875" style="269" customWidth="1"/>
    <col min="11777" max="11777" width="23.5703125" style="269" customWidth="1"/>
    <col min="11778" max="11778" width="57.85546875" style="269" customWidth="1"/>
    <col min="11779" max="11779" width="12.140625" style="269" customWidth="1"/>
    <col min="11780" max="11780" width="5.28515625" style="269" customWidth="1"/>
    <col min="11781" max="11786" width="12.140625" style="269" customWidth="1"/>
    <col min="11787" max="12031" width="9.140625" style="269"/>
    <col min="12032" max="12032" width="9.85546875" style="269" customWidth="1"/>
    <col min="12033" max="12033" width="23.5703125" style="269" customWidth="1"/>
    <col min="12034" max="12034" width="57.85546875" style="269" customWidth="1"/>
    <col min="12035" max="12035" width="12.140625" style="269" customWidth="1"/>
    <col min="12036" max="12036" width="5.28515625" style="269" customWidth="1"/>
    <col min="12037" max="12042" width="12.140625" style="269" customWidth="1"/>
    <col min="12043" max="12287" width="9.140625" style="269"/>
    <col min="12288" max="12288" width="9.85546875" style="269" customWidth="1"/>
    <col min="12289" max="12289" width="23.5703125" style="269" customWidth="1"/>
    <col min="12290" max="12290" width="57.85546875" style="269" customWidth="1"/>
    <col min="12291" max="12291" width="12.140625" style="269" customWidth="1"/>
    <col min="12292" max="12292" width="5.28515625" style="269" customWidth="1"/>
    <col min="12293" max="12298" width="12.140625" style="269" customWidth="1"/>
    <col min="12299" max="12543" width="9.140625" style="269"/>
    <col min="12544" max="12544" width="9.85546875" style="269" customWidth="1"/>
    <col min="12545" max="12545" width="23.5703125" style="269" customWidth="1"/>
    <col min="12546" max="12546" width="57.85546875" style="269" customWidth="1"/>
    <col min="12547" max="12547" width="12.140625" style="269" customWidth="1"/>
    <col min="12548" max="12548" width="5.28515625" style="269" customWidth="1"/>
    <col min="12549" max="12554" width="12.140625" style="269" customWidth="1"/>
    <col min="12555" max="12799" width="9.140625" style="269"/>
    <col min="12800" max="12800" width="9.85546875" style="269" customWidth="1"/>
    <col min="12801" max="12801" width="23.5703125" style="269" customWidth="1"/>
    <col min="12802" max="12802" width="57.85546875" style="269" customWidth="1"/>
    <col min="12803" max="12803" width="12.140625" style="269" customWidth="1"/>
    <col min="12804" max="12804" width="5.28515625" style="269" customWidth="1"/>
    <col min="12805" max="12810" width="12.140625" style="269" customWidth="1"/>
    <col min="12811" max="13055" width="9.140625" style="269"/>
    <col min="13056" max="13056" width="9.85546875" style="269" customWidth="1"/>
    <col min="13057" max="13057" width="23.5703125" style="269" customWidth="1"/>
    <col min="13058" max="13058" width="57.85546875" style="269" customWidth="1"/>
    <col min="13059" max="13059" width="12.140625" style="269" customWidth="1"/>
    <col min="13060" max="13060" width="5.28515625" style="269" customWidth="1"/>
    <col min="13061" max="13066" width="12.140625" style="269" customWidth="1"/>
    <col min="13067" max="13311" width="9.140625" style="269"/>
    <col min="13312" max="13312" width="9.85546875" style="269" customWidth="1"/>
    <col min="13313" max="13313" width="23.5703125" style="269" customWidth="1"/>
    <col min="13314" max="13314" width="57.85546875" style="269" customWidth="1"/>
    <col min="13315" max="13315" width="12.140625" style="269" customWidth="1"/>
    <col min="13316" max="13316" width="5.28515625" style="269" customWidth="1"/>
    <col min="13317" max="13322" width="12.140625" style="269" customWidth="1"/>
    <col min="13323" max="13567" width="9.140625" style="269"/>
    <col min="13568" max="13568" width="9.85546875" style="269" customWidth="1"/>
    <col min="13569" max="13569" width="23.5703125" style="269" customWidth="1"/>
    <col min="13570" max="13570" width="57.85546875" style="269" customWidth="1"/>
    <col min="13571" max="13571" width="12.140625" style="269" customWidth="1"/>
    <col min="13572" max="13572" width="5.28515625" style="269" customWidth="1"/>
    <col min="13573" max="13578" width="12.140625" style="269" customWidth="1"/>
    <col min="13579" max="13823" width="9.140625" style="269"/>
    <col min="13824" max="13824" width="9.85546875" style="269" customWidth="1"/>
    <col min="13825" max="13825" width="23.5703125" style="269" customWidth="1"/>
    <col min="13826" max="13826" width="57.85546875" style="269" customWidth="1"/>
    <col min="13827" max="13827" width="12.140625" style="269" customWidth="1"/>
    <col min="13828" max="13828" width="5.28515625" style="269" customWidth="1"/>
    <col min="13829" max="13834" width="12.140625" style="269" customWidth="1"/>
    <col min="13835" max="14079" width="9.140625" style="269"/>
    <col min="14080" max="14080" width="9.85546875" style="269" customWidth="1"/>
    <col min="14081" max="14081" width="23.5703125" style="269" customWidth="1"/>
    <col min="14082" max="14082" width="57.85546875" style="269" customWidth="1"/>
    <col min="14083" max="14083" width="12.140625" style="269" customWidth="1"/>
    <col min="14084" max="14084" width="5.28515625" style="269" customWidth="1"/>
    <col min="14085" max="14090" width="12.140625" style="269" customWidth="1"/>
    <col min="14091" max="14335" width="9.140625" style="269"/>
    <col min="14336" max="14336" width="9.85546875" style="269" customWidth="1"/>
    <col min="14337" max="14337" width="23.5703125" style="269" customWidth="1"/>
    <col min="14338" max="14338" width="57.85546875" style="269" customWidth="1"/>
    <col min="14339" max="14339" width="12.140625" style="269" customWidth="1"/>
    <col min="14340" max="14340" width="5.28515625" style="269" customWidth="1"/>
    <col min="14341" max="14346" width="12.140625" style="269" customWidth="1"/>
    <col min="14347" max="14591" width="9.140625" style="269"/>
    <col min="14592" max="14592" width="9.85546875" style="269" customWidth="1"/>
    <col min="14593" max="14593" width="23.5703125" style="269" customWidth="1"/>
    <col min="14594" max="14594" width="57.85546875" style="269" customWidth="1"/>
    <col min="14595" max="14595" width="12.140625" style="269" customWidth="1"/>
    <col min="14596" max="14596" width="5.28515625" style="269" customWidth="1"/>
    <col min="14597" max="14602" width="12.140625" style="269" customWidth="1"/>
    <col min="14603" max="14847" width="9.140625" style="269"/>
    <col min="14848" max="14848" width="9.85546875" style="269" customWidth="1"/>
    <col min="14849" max="14849" width="23.5703125" style="269" customWidth="1"/>
    <col min="14850" max="14850" width="57.85546875" style="269" customWidth="1"/>
    <col min="14851" max="14851" width="12.140625" style="269" customWidth="1"/>
    <col min="14852" max="14852" width="5.28515625" style="269" customWidth="1"/>
    <col min="14853" max="14858" width="12.140625" style="269" customWidth="1"/>
    <col min="14859" max="15103" width="9.140625" style="269"/>
    <col min="15104" max="15104" width="9.85546875" style="269" customWidth="1"/>
    <col min="15105" max="15105" width="23.5703125" style="269" customWidth="1"/>
    <col min="15106" max="15106" width="57.85546875" style="269" customWidth="1"/>
    <col min="15107" max="15107" width="12.140625" style="269" customWidth="1"/>
    <col min="15108" max="15108" width="5.28515625" style="269" customWidth="1"/>
    <col min="15109" max="15114" width="12.140625" style="269" customWidth="1"/>
    <col min="15115" max="15359" width="9.140625" style="269"/>
    <col min="15360" max="15360" width="9.85546875" style="269" customWidth="1"/>
    <col min="15361" max="15361" width="23.5703125" style="269" customWidth="1"/>
    <col min="15362" max="15362" width="57.85546875" style="269" customWidth="1"/>
    <col min="15363" max="15363" width="12.140625" style="269" customWidth="1"/>
    <col min="15364" max="15364" width="5.28515625" style="269" customWidth="1"/>
    <col min="15365" max="15370" width="12.140625" style="269" customWidth="1"/>
    <col min="15371" max="15615" width="9.140625" style="269"/>
    <col min="15616" max="15616" width="9.85546875" style="269" customWidth="1"/>
    <col min="15617" max="15617" width="23.5703125" style="269" customWidth="1"/>
    <col min="15618" max="15618" width="57.85546875" style="269" customWidth="1"/>
    <col min="15619" max="15619" width="12.140625" style="269" customWidth="1"/>
    <col min="15620" max="15620" width="5.28515625" style="269" customWidth="1"/>
    <col min="15621" max="15626" width="12.140625" style="269" customWidth="1"/>
    <col min="15627" max="15871" width="9.140625" style="269"/>
    <col min="15872" max="15872" width="9.85546875" style="269" customWidth="1"/>
    <col min="15873" max="15873" width="23.5703125" style="269" customWidth="1"/>
    <col min="15874" max="15874" width="57.85546875" style="269" customWidth="1"/>
    <col min="15875" max="15875" width="12.140625" style="269" customWidth="1"/>
    <col min="15876" max="15876" width="5.28515625" style="269" customWidth="1"/>
    <col min="15877" max="15882" width="12.140625" style="269" customWidth="1"/>
    <col min="15883" max="16127" width="9.140625" style="269"/>
    <col min="16128" max="16128" width="9.85546875" style="269" customWidth="1"/>
    <col min="16129" max="16129" width="23.5703125" style="269" customWidth="1"/>
    <col min="16130" max="16130" width="57.85546875" style="269" customWidth="1"/>
    <col min="16131" max="16131" width="12.140625" style="269" customWidth="1"/>
    <col min="16132" max="16132" width="5.28515625" style="269" customWidth="1"/>
    <col min="16133" max="16138" width="12.140625" style="269" customWidth="1"/>
    <col min="16139" max="16384" width="9.140625" style="269"/>
  </cols>
  <sheetData>
    <row r="1" spans="1:11" s="132" customFormat="1" ht="15" x14ac:dyDescent="0.2">
      <c r="A1" s="504" t="s">
        <v>125</v>
      </c>
      <c r="B1" s="504"/>
      <c r="C1" s="504"/>
      <c r="F1" s="133"/>
      <c r="G1" s="5"/>
      <c r="H1" s="134"/>
      <c r="I1" s="134"/>
      <c r="J1" s="135"/>
      <c r="K1" s="134" t="s">
        <v>126</v>
      </c>
    </row>
    <row r="2" spans="1:11" s="132" customFormat="1" ht="15" x14ac:dyDescent="0.2">
      <c r="A2" s="136" t="s">
        <v>127</v>
      </c>
      <c r="F2" s="137"/>
      <c r="G2" s="8"/>
      <c r="H2" s="135"/>
      <c r="I2" s="135"/>
      <c r="J2" s="136"/>
      <c r="K2" s="138" t="s">
        <v>97</v>
      </c>
    </row>
    <row r="3" spans="1:11" s="132" customFormat="1" ht="15" x14ac:dyDescent="0.2">
      <c r="A3" s="139"/>
      <c r="F3" s="137"/>
      <c r="G3" s="8"/>
      <c r="H3" s="135"/>
      <c r="I3" s="135"/>
      <c r="J3" s="135"/>
      <c r="K3" s="135"/>
    </row>
    <row r="4" spans="1:11" s="140" customFormat="1" ht="15" x14ac:dyDescent="0.2">
      <c r="A4" s="505" t="s">
        <v>126</v>
      </c>
      <c r="B4" s="505"/>
      <c r="C4" s="505"/>
      <c r="D4" s="505"/>
      <c r="E4" s="505"/>
      <c r="F4" s="505"/>
      <c r="G4" s="505"/>
      <c r="H4" s="505"/>
      <c r="I4" s="505"/>
      <c r="J4" s="505"/>
      <c r="K4" s="505"/>
    </row>
    <row r="5" spans="1:11" s="142" customFormat="1" ht="6.95" customHeight="1" thickBot="1" x14ac:dyDescent="0.25">
      <c r="A5" s="141"/>
      <c r="B5" s="141"/>
      <c r="C5" s="141"/>
      <c r="F5" s="143"/>
      <c r="G5" s="143"/>
      <c r="H5" s="143"/>
      <c r="I5" s="143"/>
      <c r="J5" s="143"/>
      <c r="K5" s="143"/>
    </row>
    <row r="6" spans="1:11" s="150" customFormat="1" ht="15" customHeight="1" x14ac:dyDescent="0.2">
      <c r="A6" s="144" t="s">
        <v>6</v>
      </c>
      <c r="B6" s="506" t="s">
        <v>7</v>
      </c>
      <c r="C6" s="506"/>
      <c r="D6" s="145" t="s">
        <v>8</v>
      </c>
      <c r="E6" s="146" t="s">
        <v>9</v>
      </c>
      <c r="F6" s="147" t="s">
        <v>10</v>
      </c>
      <c r="G6" s="148" t="s">
        <v>11</v>
      </c>
      <c r="H6" s="147" t="s">
        <v>12</v>
      </c>
      <c r="I6" s="148" t="s">
        <v>13</v>
      </c>
      <c r="J6" s="149" t="s">
        <v>14</v>
      </c>
      <c r="K6" s="148" t="s">
        <v>15</v>
      </c>
    </row>
    <row r="7" spans="1:11" s="150" customFormat="1" ht="15" customHeight="1" x14ac:dyDescent="0.2">
      <c r="A7" s="507" t="s">
        <v>2</v>
      </c>
      <c r="B7" s="510" t="s">
        <v>128</v>
      </c>
      <c r="C7" s="511"/>
      <c r="D7" s="516" t="s">
        <v>16</v>
      </c>
      <c r="E7" s="519" t="s">
        <v>1</v>
      </c>
      <c r="F7" s="522" t="s">
        <v>17</v>
      </c>
      <c r="G7" s="523"/>
      <c r="H7" s="522" t="s">
        <v>129</v>
      </c>
      <c r="I7" s="523"/>
      <c r="J7" s="522" t="s">
        <v>130</v>
      </c>
      <c r="K7" s="523"/>
    </row>
    <row r="8" spans="1:11" s="150" customFormat="1" ht="15" customHeight="1" x14ac:dyDescent="0.2">
      <c r="A8" s="508"/>
      <c r="B8" s="512"/>
      <c r="C8" s="513"/>
      <c r="D8" s="517"/>
      <c r="E8" s="520"/>
      <c r="F8" s="151" t="s">
        <v>0</v>
      </c>
      <c r="G8" s="152" t="s">
        <v>20</v>
      </c>
      <c r="H8" s="151" t="s">
        <v>0</v>
      </c>
      <c r="I8" s="152" t="s">
        <v>20</v>
      </c>
      <c r="J8" s="153" t="s">
        <v>0</v>
      </c>
      <c r="K8" s="152" t="s">
        <v>20</v>
      </c>
    </row>
    <row r="9" spans="1:11" s="150" customFormat="1" ht="15" customHeight="1" x14ac:dyDescent="0.2">
      <c r="A9" s="508"/>
      <c r="B9" s="512"/>
      <c r="C9" s="513"/>
      <c r="D9" s="517"/>
      <c r="E9" s="520"/>
      <c r="F9" s="154" t="s">
        <v>21</v>
      </c>
      <c r="G9" s="155" t="s">
        <v>21</v>
      </c>
      <c r="H9" s="154" t="s">
        <v>21</v>
      </c>
      <c r="I9" s="155" t="s">
        <v>21</v>
      </c>
      <c r="J9" s="154" t="s">
        <v>21</v>
      </c>
      <c r="K9" s="156" t="s">
        <v>21</v>
      </c>
    </row>
    <row r="10" spans="1:11" s="160" customFormat="1" ht="15" customHeight="1" x14ac:dyDescent="0.2">
      <c r="A10" s="509"/>
      <c r="B10" s="514"/>
      <c r="C10" s="515"/>
      <c r="D10" s="518"/>
      <c r="E10" s="521"/>
      <c r="F10" s="157"/>
      <c r="G10" s="158" t="s">
        <v>22</v>
      </c>
      <c r="H10" s="157"/>
      <c r="I10" s="158" t="s">
        <v>23</v>
      </c>
      <c r="J10" s="159" t="s">
        <v>24</v>
      </c>
      <c r="K10" s="158" t="s">
        <v>25</v>
      </c>
    </row>
    <row r="11" spans="1:11" s="160" customFormat="1" ht="15" customHeight="1" x14ac:dyDescent="0.2">
      <c r="A11" s="161">
        <v>1</v>
      </c>
      <c r="B11" s="162" t="s">
        <v>131</v>
      </c>
      <c r="C11" s="163"/>
      <c r="D11" s="163"/>
      <c r="E11" s="164"/>
      <c r="F11" s="165"/>
      <c r="G11" s="165"/>
      <c r="H11" s="165"/>
      <c r="I11" s="165"/>
      <c r="J11" s="165"/>
      <c r="K11" s="166"/>
    </row>
    <row r="12" spans="1:11" s="168" customFormat="1" ht="25.5" customHeight="1" x14ac:dyDescent="0.2">
      <c r="A12" s="167">
        <v>1.1000000000000001</v>
      </c>
      <c r="B12" s="497" t="s">
        <v>132</v>
      </c>
      <c r="C12" s="498"/>
      <c r="D12" s="498"/>
      <c r="E12" s="498"/>
      <c r="F12" s="498"/>
      <c r="G12" s="498"/>
      <c r="H12" s="498"/>
      <c r="I12" s="498"/>
      <c r="J12" s="498"/>
      <c r="K12" s="499"/>
    </row>
    <row r="13" spans="1:11" s="177" customFormat="1" ht="15" customHeight="1" x14ac:dyDescent="0.2">
      <c r="A13" s="169" t="s">
        <v>98</v>
      </c>
      <c r="B13" s="170" t="s">
        <v>133</v>
      </c>
      <c r="C13" s="171"/>
      <c r="D13" s="172" t="s">
        <v>134</v>
      </c>
      <c r="E13" s="173" t="s">
        <v>94</v>
      </c>
      <c r="F13" s="174">
        <v>0</v>
      </c>
      <c r="G13" s="175" t="s">
        <v>135</v>
      </c>
      <c r="H13" s="174">
        <v>0</v>
      </c>
      <c r="I13" s="175" t="s">
        <v>135</v>
      </c>
      <c r="J13" s="176"/>
      <c r="K13" s="175" t="s">
        <v>135</v>
      </c>
    </row>
    <row r="14" spans="1:11" s="177" customFormat="1" ht="15" customHeight="1" x14ac:dyDescent="0.2">
      <c r="A14" s="169" t="s">
        <v>99</v>
      </c>
      <c r="B14" s="170" t="s">
        <v>136</v>
      </c>
      <c r="C14" s="171"/>
      <c r="D14" s="172">
        <v>7.5</v>
      </c>
      <c r="E14" s="173" t="s">
        <v>94</v>
      </c>
      <c r="F14" s="174">
        <v>5371</v>
      </c>
      <c r="G14" s="178">
        <f>F14*D14</f>
        <v>40282.5</v>
      </c>
      <c r="H14" s="174">
        <v>413</v>
      </c>
      <c r="I14" s="178">
        <f>H14*D14</f>
        <v>3097.5</v>
      </c>
      <c r="J14" s="179"/>
      <c r="K14" s="178">
        <f>I14+G14</f>
        <v>43380</v>
      </c>
    </row>
    <row r="15" spans="1:11" s="177" customFormat="1" ht="15" customHeight="1" x14ac:dyDescent="0.2">
      <c r="A15" s="169" t="s">
        <v>100</v>
      </c>
      <c r="B15" s="170" t="s">
        <v>137</v>
      </c>
      <c r="C15" s="171"/>
      <c r="D15" s="172">
        <v>4</v>
      </c>
      <c r="E15" s="173" t="s">
        <v>94</v>
      </c>
      <c r="F15" s="174">
        <v>3718</v>
      </c>
      <c r="G15" s="178">
        <f>F15*D15</f>
        <v>14872</v>
      </c>
      <c r="H15" s="174">
        <v>372</v>
      </c>
      <c r="I15" s="178">
        <f>H15*D15</f>
        <v>1488</v>
      </c>
      <c r="J15" s="179"/>
      <c r="K15" s="178">
        <f>I15+G15</f>
        <v>16360</v>
      </c>
    </row>
    <row r="16" spans="1:11" s="177" customFormat="1" ht="15" customHeight="1" x14ac:dyDescent="0.2">
      <c r="A16" s="169" t="s">
        <v>138</v>
      </c>
      <c r="B16" s="170" t="s">
        <v>139</v>
      </c>
      <c r="C16" s="171"/>
      <c r="D16" s="172">
        <v>13</v>
      </c>
      <c r="E16" s="173" t="s">
        <v>94</v>
      </c>
      <c r="F16" s="174">
        <v>2024</v>
      </c>
      <c r="G16" s="178">
        <f>F16*D16</f>
        <v>26312</v>
      </c>
      <c r="H16" s="174">
        <v>331</v>
      </c>
      <c r="I16" s="178">
        <f>H16*D16</f>
        <v>4303</v>
      </c>
      <c r="J16" s="179"/>
      <c r="K16" s="178">
        <f>I16+G16</f>
        <v>30615</v>
      </c>
    </row>
    <row r="17" spans="1:11" s="177" customFormat="1" ht="15" customHeight="1" x14ac:dyDescent="0.2">
      <c r="A17" s="169" t="s">
        <v>140</v>
      </c>
      <c r="B17" s="180" t="s">
        <v>141</v>
      </c>
      <c r="C17" s="171"/>
      <c r="D17" s="172">
        <v>25</v>
      </c>
      <c r="E17" s="173" t="s">
        <v>94</v>
      </c>
      <c r="F17" s="174">
        <v>1570</v>
      </c>
      <c r="G17" s="178">
        <f>F17*D17</f>
        <v>39250</v>
      </c>
      <c r="H17" s="174">
        <v>289</v>
      </c>
      <c r="I17" s="178">
        <f>H17*D17</f>
        <v>7225</v>
      </c>
      <c r="J17" s="179"/>
      <c r="K17" s="178">
        <f>I17+G17</f>
        <v>46475</v>
      </c>
    </row>
    <row r="18" spans="1:11" s="177" customFormat="1" ht="15" customHeight="1" x14ac:dyDescent="0.2">
      <c r="A18" s="169" t="s">
        <v>142</v>
      </c>
      <c r="B18" s="180" t="s">
        <v>143</v>
      </c>
      <c r="C18" s="171"/>
      <c r="D18" s="172">
        <v>3</v>
      </c>
      <c r="E18" s="173" t="s">
        <v>94</v>
      </c>
      <c r="F18" s="174">
        <v>992</v>
      </c>
      <c r="G18" s="178">
        <f>F18*D18</f>
        <v>2976</v>
      </c>
      <c r="H18" s="174">
        <v>248</v>
      </c>
      <c r="I18" s="178">
        <f>H18*D18</f>
        <v>744</v>
      </c>
      <c r="J18" s="179"/>
      <c r="K18" s="178">
        <f>I18+G18</f>
        <v>3720</v>
      </c>
    </row>
    <row r="19" spans="1:11" s="168" customFormat="1" ht="15" customHeight="1" x14ac:dyDescent="0.2">
      <c r="A19" s="181">
        <v>1.2</v>
      </c>
      <c r="B19" s="182" t="s">
        <v>144</v>
      </c>
      <c r="C19" s="183"/>
      <c r="D19" s="183"/>
      <c r="E19" s="184"/>
      <c r="F19" s="185"/>
      <c r="G19" s="185"/>
      <c r="H19" s="185"/>
      <c r="I19" s="185"/>
      <c r="J19" s="185"/>
      <c r="K19" s="186"/>
    </row>
    <row r="20" spans="1:11" s="168" customFormat="1" ht="15" customHeight="1" x14ac:dyDescent="0.2">
      <c r="A20" s="167" t="s">
        <v>145</v>
      </c>
      <c r="B20" s="182" t="s">
        <v>146</v>
      </c>
      <c r="C20" s="183"/>
      <c r="D20" s="183"/>
      <c r="E20" s="184"/>
      <c r="F20" s="185"/>
      <c r="G20" s="185"/>
      <c r="H20" s="185"/>
      <c r="I20" s="185"/>
      <c r="J20" s="185"/>
      <c r="K20" s="186"/>
    </row>
    <row r="21" spans="1:11" s="177" customFormat="1" ht="15" customHeight="1" x14ac:dyDescent="0.2">
      <c r="A21" s="169" t="s">
        <v>147</v>
      </c>
      <c r="B21" s="170" t="s">
        <v>136</v>
      </c>
      <c r="C21" s="171"/>
      <c r="D21" s="172" t="s">
        <v>134</v>
      </c>
      <c r="E21" s="173" t="s">
        <v>26</v>
      </c>
      <c r="F21" s="174">
        <v>0</v>
      </c>
      <c r="G21" s="175" t="s">
        <v>135</v>
      </c>
      <c r="H21" s="174">
        <v>0</v>
      </c>
      <c r="I21" s="175" t="s">
        <v>135</v>
      </c>
      <c r="J21" s="176"/>
      <c r="K21" s="175" t="s">
        <v>135</v>
      </c>
    </row>
    <row r="22" spans="1:11" s="177" customFormat="1" ht="15" customHeight="1" x14ac:dyDescent="0.2">
      <c r="A22" s="169" t="s">
        <v>148</v>
      </c>
      <c r="B22" s="170" t="s">
        <v>137</v>
      </c>
      <c r="C22" s="171"/>
      <c r="D22" s="172" t="s">
        <v>134</v>
      </c>
      <c r="E22" s="173" t="s">
        <v>26</v>
      </c>
      <c r="F22" s="174">
        <v>0</v>
      </c>
      <c r="G22" s="175" t="s">
        <v>135</v>
      </c>
      <c r="H22" s="174">
        <v>0</v>
      </c>
      <c r="I22" s="175" t="s">
        <v>135</v>
      </c>
      <c r="J22" s="176"/>
      <c r="K22" s="175" t="s">
        <v>135</v>
      </c>
    </row>
    <row r="23" spans="1:11" s="168" customFormat="1" ht="15" customHeight="1" x14ac:dyDescent="0.2">
      <c r="A23" s="169" t="s">
        <v>149</v>
      </c>
      <c r="B23" s="170" t="s">
        <v>139</v>
      </c>
      <c r="C23" s="171"/>
      <c r="D23" s="172">
        <v>3</v>
      </c>
      <c r="E23" s="173" t="s">
        <v>26</v>
      </c>
      <c r="F23" s="174">
        <v>9295</v>
      </c>
      <c r="G23" s="178">
        <f>F23*D23</f>
        <v>27885</v>
      </c>
      <c r="H23" s="174">
        <v>826</v>
      </c>
      <c r="I23" s="178">
        <f>H23*D23</f>
        <v>2478</v>
      </c>
      <c r="J23" s="179"/>
      <c r="K23" s="178">
        <f>I23+G23</f>
        <v>30363</v>
      </c>
    </row>
    <row r="24" spans="1:11" s="190" customFormat="1" ht="15" customHeight="1" x14ac:dyDescent="0.2">
      <c r="A24" s="169" t="s">
        <v>150</v>
      </c>
      <c r="B24" s="180" t="s">
        <v>141</v>
      </c>
      <c r="C24" s="187"/>
      <c r="D24" s="188">
        <v>6</v>
      </c>
      <c r="E24" s="189" t="s">
        <v>26</v>
      </c>
      <c r="F24" s="174">
        <v>7023</v>
      </c>
      <c r="G24" s="178">
        <f>F24*D24</f>
        <v>42138</v>
      </c>
      <c r="H24" s="174">
        <v>826</v>
      </c>
      <c r="I24" s="178">
        <f>H24*D24</f>
        <v>4956</v>
      </c>
      <c r="J24" s="179"/>
      <c r="K24" s="178">
        <f>I24+G24</f>
        <v>47094</v>
      </c>
    </row>
    <row r="25" spans="1:11" s="168" customFormat="1" ht="15" customHeight="1" x14ac:dyDescent="0.2">
      <c r="A25" s="167" t="s">
        <v>151</v>
      </c>
      <c r="B25" s="182" t="s">
        <v>152</v>
      </c>
      <c r="C25" s="183"/>
      <c r="D25" s="183"/>
      <c r="E25" s="184"/>
      <c r="F25" s="185"/>
      <c r="G25" s="185"/>
      <c r="H25" s="185"/>
      <c r="I25" s="185"/>
      <c r="J25" s="185"/>
      <c r="K25" s="186"/>
    </row>
    <row r="26" spans="1:11" s="168" customFormat="1" ht="15" customHeight="1" x14ac:dyDescent="0.2">
      <c r="A26" s="169" t="s">
        <v>153</v>
      </c>
      <c r="B26" s="180" t="s">
        <v>141</v>
      </c>
      <c r="C26" s="171"/>
      <c r="D26" s="172">
        <v>1</v>
      </c>
      <c r="E26" s="173" t="s">
        <v>26</v>
      </c>
      <c r="F26" s="174">
        <v>7436</v>
      </c>
      <c r="G26" s="178">
        <f>F26*D26</f>
        <v>7436</v>
      </c>
      <c r="H26" s="174">
        <v>826</v>
      </c>
      <c r="I26" s="178">
        <f>H26*D26</f>
        <v>826</v>
      </c>
      <c r="J26" s="176"/>
      <c r="K26" s="178">
        <f>I26+G26</f>
        <v>8262</v>
      </c>
    </row>
    <row r="27" spans="1:11" s="168" customFormat="1" ht="15" customHeight="1" x14ac:dyDescent="0.2">
      <c r="A27" s="167" t="s">
        <v>154</v>
      </c>
      <c r="B27" s="182" t="s">
        <v>155</v>
      </c>
      <c r="C27" s="191"/>
      <c r="D27" s="191"/>
      <c r="E27" s="184"/>
      <c r="F27" s="192"/>
      <c r="G27" s="192"/>
      <c r="H27" s="192"/>
      <c r="I27" s="192"/>
      <c r="J27" s="192"/>
      <c r="K27" s="193"/>
    </row>
    <row r="28" spans="1:11" s="168" customFormat="1" ht="15" customHeight="1" x14ac:dyDescent="0.2">
      <c r="A28" s="169" t="s">
        <v>156</v>
      </c>
      <c r="B28" s="170" t="s">
        <v>136</v>
      </c>
      <c r="C28" s="194"/>
      <c r="D28" s="195">
        <v>1</v>
      </c>
      <c r="E28" s="173" t="s">
        <v>27</v>
      </c>
      <c r="F28" s="174">
        <v>122286</v>
      </c>
      <c r="G28" s="178">
        <f t="shared" ref="G28:G33" si="0">F28*D28</f>
        <v>122286</v>
      </c>
      <c r="H28" s="174">
        <v>2479</v>
      </c>
      <c r="I28" s="178">
        <f t="shared" ref="I28:I33" si="1">H28*D28</f>
        <v>2479</v>
      </c>
      <c r="J28" s="179"/>
      <c r="K28" s="178">
        <f t="shared" ref="K28:K33" si="2">I28+G28</f>
        <v>124765</v>
      </c>
    </row>
    <row r="29" spans="1:11" s="168" customFormat="1" ht="24" customHeight="1" x14ac:dyDescent="0.2">
      <c r="A29" s="196">
        <v>1.3</v>
      </c>
      <c r="B29" s="500" t="s">
        <v>157</v>
      </c>
      <c r="C29" s="501"/>
      <c r="D29" s="197">
        <v>1</v>
      </c>
      <c r="E29" s="173" t="s">
        <v>29</v>
      </c>
      <c r="F29" s="174">
        <v>37182</v>
      </c>
      <c r="G29" s="178">
        <f t="shared" si="0"/>
        <v>37182</v>
      </c>
      <c r="H29" s="174">
        <v>6610</v>
      </c>
      <c r="I29" s="178">
        <f t="shared" si="1"/>
        <v>6610</v>
      </c>
      <c r="J29" s="179"/>
      <c r="K29" s="178">
        <f t="shared" si="2"/>
        <v>43792</v>
      </c>
    </row>
    <row r="30" spans="1:11" s="168" customFormat="1" ht="25.5" customHeight="1" x14ac:dyDescent="0.2">
      <c r="A30" s="196">
        <v>1.4</v>
      </c>
      <c r="B30" s="495" t="s">
        <v>158</v>
      </c>
      <c r="C30" s="496"/>
      <c r="D30" s="197">
        <v>1</v>
      </c>
      <c r="E30" s="173" t="s">
        <v>29</v>
      </c>
      <c r="F30" s="174">
        <v>0</v>
      </c>
      <c r="G30" s="178">
        <f t="shared" si="0"/>
        <v>0</v>
      </c>
      <c r="H30" s="174">
        <v>20656</v>
      </c>
      <c r="I30" s="178">
        <f t="shared" si="1"/>
        <v>20656</v>
      </c>
      <c r="J30" s="179"/>
      <c r="K30" s="178">
        <f t="shared" si="2"/>
        <v>20656</v>
      </c>
    </row>
    <row r="31" spans="1:11" s="168" customFormat="1" ht="15" customHeight="1" x14ac:dyDescent="0.2">
      <c r="A31" s="198">
        <v>1.5</v>
      </c>
      <c r="B31" s="500" t="s">
        <v>159</v>
      </c>
      <c r="C31" s="501"/>
      <c r="D31" s="199">
        <v>5</v>
      </c>
      <c r="E31" s="200" t="s">
        <v>26</v>
      </c>
      <c r="F31" s="174">
        <v>7436</v>
      </c>
      <c r="G31" s="178">
        <f t="shared" si="0"/>
        <v>37180</v>
      </c>
      <c r="H31" s="174">
        <v>826</v>
      </c>
      <c r="I31" s="178">
        <f t="shared" si="1"/>
        <v>4130</v>
      </c>
      <c r="J31" s="179"/>
      <c r="K31" s="178">
        <f t="shared" si="2"/>
        <v>41310</v>
      </c>
    </row>
    <row r="32" spans="1:11" s="168" customFormat="1" ht="15" customHeight="1" x14ac:dyDescent="0.2">
      <c r="A32" s="196">
        <v>1.6</v>
      </c>
      <c r="B32" s="500" t="s">
        <v>160</v>
      </c>
      <c r="C32" s="501"/>
      <c r="D32" s="199">
        <v>1</v>
      </c>
      <c r="E32" s="200" t="s">
        <v>27</v>
      </c>
      <c r="F32" s="174">
        <v>14873</v>
      </c>
      <c r="G32" s="178">
        <f t="shared" si="0"/>
        <v>14873</v>
      </c>
      <c r="H32" s="174">
        <v>826</v>
      </c>
      <c r="I32" s="178">
        <f t="shared" si="1"/>
        <v>826</v>
      </c>
      <c r="J32" s="179"/>
      <c r="K32" s="178">
        <f t="shared" si="2"/>
        <v>15699</v>
      </c>
    </row>
    <row r="33" spans="1:11" s="168" customFormat="1" ht="15" customHeight="1" thickBot="1" x14ac:dyDescent="0.25">
      <c r="A33" s="198">
        <v>1.7</v>
      </c>
      <c r="B33" s="500" t="s">
        <v>161</v>
      </c>
      <c r="C33" s="501"/>
      <c r="D33" s="199">
        <v>1</v>
      </c>
      <c r="E33" s="200" t="s">
        <v>27</v>
      </c>
      <c r="F33" s="174">
        <v>8263</v>
      </c>
      <c r="G33" s="178">
        <f t="shared" si="0"/>
        <v>8263</v>
      </c>
      <c r="H33" s="174">
        <v>826</v>
      </c>
      <c r="I33" s="178">
        <f t="shared" si="1"/>
        <v>826</v>
      </c>
      <c r="J33" s="179"/>
      <c r="K33" s="178">
        <f t="shared" si="2"/>
        <v>9089</v>
      </c>
    </row>
    <row r="34" spans="1:11" s="168" customFormat="1" ht="15" customHeight="1" thickBot="1" x14ac:dyDescent="0.25">
      <c r="A34" s="482" t="s">
        <v>33</v>
      </c>
      <c r="B34" s="483"/>
      <c r="C34" s="483"/>
      <c r="D34" s="483"/>
      <c r="E34" s="484"/>
      <c r="F34" s="201"/>
      <c r="G34" s="202">
        <f>SUM(G13:G33)</f>
        <v>420935.5</v>
      </c>
      <c r="H34" s="201"/>
      <c r="I34" s="202">
        <f>SUM(I13:I33)</f>
        <v>60644.5</v>
      </c>
      <c r="J34" s="203"/>
      <c r="K34" s="202">
        <f>SUM(K13:K33)</f>
        <v>481580</v>
      </c>
    </row>
    <row r="35" spans="1:11" s="209" customFormat="1" ht="15" customHeight="1" x14ac:dyDescent="0.2">
      <c r="A35" s="161">
        <v>2</v>
      </c>
      <c r="B35" s="162" t="s">
        <v>162</v>
      </c>
      <c r="C35" s="204"/>
      <c r="D35" s="205"/>
      <c r="E35" s="206"/>
      <c r="F35" s="207"/>
      <c r="G35" s="207"/>
      <c r="H35" s="207"/>
      <c r="I35" s="207"/>
      <c r="J35" s="207"/>
      <c r="K35" s="208"/>
    </row>
    <row r="36" spans="1:11" s="216" customFormat="1" ht="15" customHeight="1" x14ac:dyDescent="0.2">
      <c r="A36" s="210">
        <v>2.1</v>
      </c>
      <c r="B36" s="211" t="s">
        <v>132</v>
      </c>
      <c r="C36" s="212"/>
      <c r="D36" s="212"/>
      <c r="E36" s="213"/>
      <c r="F36" s="214"/>
      <c r="G36" s="214"/>
      <c r="H36" s="214"/>
      <c r="I36" s="214"/>
      <c r="J36" s="214"/>
      <c r="K36" s="215"/>
    </row>
    <row r="37" spans="1:11" s="216" customFormat="1" ht="15" customHeight="1" x14ac:dyDescent="0.2">
      <c r="A37" s="169" t="s">
        <v>163</v>
      </c>
      <c r="B37" s="170" t="s">
        <v>139</v>
      </c>
      <c r="C37" s="187"/>
      <c r="D37" s="217" t="s">
        <v>134</v>
      </c>
      <c r="E37" s="173" t="s">
        <v>94</v>
      </c>
      <c r="F37" s="174">
        <v>0</v>
      </c>
      <c r="G37" s="175" t="s">
        <v>135</v>
      </c>
      <c r="H37" s="174">
        <v>0</v>
      </c>
      <c r="I37" s="175" t="s">
        <v>135</v>
      </c>
      <c r="J37" s="176"/>
      <c r="K37" s="175" t="s">
        <v>135</v>
      </c>
    </row>
    <row r="38" spans="1:11" s="216" customFormat="1" ht="15" customHeight="1" x14ac:dyDescent="0.2">
      <c r="A38" s="169" t="s">
        <v>164</v>
      </c>
      <c r="B38" s="180" t="s">
        <v>141</v>
      </c>
      <c r="C38" s="187"/>
      <c r="D38" s="217">
        <v>32</v>
      </c>
      <c r="E38" s="173" t="s">
        <v>94</v>
      </c>
      <c r="F38" s="174">
        <v>1363</v>
      </c>
      <c r="G38" s="178">
        <f>F38*D38</f>
        <v>43616</v>
      </c>
      <c r="H38" s="174">
        <v>331</v>
      </c>
      <c r="I38" s="178">
        <f>H38*D38</f>
        <v>10592</v>
      </c>
      <c r="J38" s="179"/>
      <c r="K38" s="178">
        <f>I38+G38</f>
        <v>54208</v>
      </c>
    </row>
    <row r="39" spans="1:11" s="216" customFormat="1" ht="15" customHeight="1" x14ac:dyDescent="0.2">
      <c r="A39" s="169" t="s">
        <v>165</v>
      </c>
      <c r="B39" s="180" t="s">
        <v>143</v>
      </c>
      <c r="C39" s="187"/>
      <c r="D39" s="217" t="s">
        <v>134</v>
      </c>
      <c r="E39" s="173" t="s">
        <v>94</v>
      </c>
      <c r="F39" s="174">
        <v>0</v>
      </c>
      <c r="G39" s="175" t="s">
        <v>135</v>
      </c>
      <c r="H39" s="174">
        <v>0</v>
      </c>
      <c r="I39" s="175" t="s">
        <v>135</v>
      </c>
      <c r="J39" s="176"/>
      <c r="K39" s="175" t="s">
        <v>135</v>
      </c>
    </row>
    <row r="40" spans="1:11" s="216" customFormat="1" ht="15" customHeight="1" x14ac:dyDescent="0.2">
      <c r="A40" s="210">
        <v>2.2000000000000002</v>
      </c>
      <c r="B40" s="211" t="s">
        <v>144</v>
      </c>
      <c r="C40" s="218"/>
      <c r="D40" s="219"/>
      <c r="E40" s="219"/>
      <c r="F40" s="214"/>
      <c r="G40" s="214"/>
      <c r="H40" s="214"/>
      <c r="I40" s="214"/>
      <c r="J40" s="214"/>
      <c r="K40" s="215"/>
    </row>
    <row r="41" spans="1:11" s="216" customFormat="1" ht="15" customHeight="1" x14ac:dyDescent="0.2">
      <c r="A41" s="220" t="s">
        <v>166</v>
      </c>
      <c r="B41" s="221" t="s">
        <v>167</v>
      </c>
      <c r="C41" s="212"/>
      <c r="D41" s="212"/>
      <c r="E41" s="222"/>
      <c r="F41" s="214"/>
      <c r="G41" s="214"/>
      <c r="H41" s="214"/>
      <c r="I41" s="214"/>
      <c r="J41" s="214"/>
      <c r="K41" s="223"/>
    </row>
    <row r="42" spans="1:11" s="190" customFormat="1" ht="15" customHeight="1" x14ac:dyDescent="0.2">
      <c r="A42" s="169" t="s">
        <v>168</v>
      </c>
      <c r="B42" s="180" t="s">
        <v>141</v>
      </c>
      <c r="C42" s="187"/>
      <c r="D42" s="188">
        <v>2</v>
      </c>
      <c r="E42" s="189" t="s">
        <v>26</v>
      </c>
      <c r="F42" s="174">
        <v>71058</v>
      </c>
      <c r="G42" s="178">
        <f>F42*D42</f>
        <v>142116</v>
      </c>
      <c r="H42" s="174">
        <v>1653</v>
      </c>
      <c r="I42" s="178">
        <f>H42*D42</f>
        <v>3306</v>
      </c>
      <c r="J42" s="179"/>
      <c r="K42" s="178">
        <f>I42+G42</f>
        <v>145422</v>
      </c>
    </row>
    <row r="43" spans="1:11" s="216" customFormat="1" ht="15" customHeight="1" x14ac:dyDescent="0.2">
      <c r="A43" s="220" t="s">
        <v>169</v>
      </c>
      <c r="B43" s="182" t="s">
        <v>146</v>
      </c>
      <c r="C43" s="212"/>
      <c r="D43" s="212"/>
      <c r="E43" s="222"/>
      <c r="F43" s="214"/>
      <c r="G43" s="214"/>
      <c r="H43" s="214"/>
      <c r="I43" s="214"/>
      <c r="J43" s="214"/>
      <c r="K43" s="223"/>
    </row>
    <row r="44" spans="1:11" s="190" customFormat="1" ht="15" customHeight="1" x14ac:dyDescent="0.2">
      <c r="A44" s="169" t="s">
        <v>170</v>
      </c>
      <c r="B44" s="170" t="s">
        <v>139</v>
      </c>
      <c r="C44" s="187"/>
      <c r="D44" s="188" t="s">
        <v>134</v>
      </c>
      <c r="E44" s="189" t="s">
        <v>27</v>
      </c>
      <c r="F44" s="174">
        <v>0</v>
      </c>
      <c r="G44" s="175" t="s">
        <v>135</v>
      </c>
      <c r="H44" s="174">
        <v>0</v>
      </c>
      <c r="I44" s="175" t="s">
        <v>135</v>
      </c>
      <c r="J44" s="176"/>
      <c r="K44" s="175" t="s">
        <v>135</v>
      </c>
    </row>
    <row r="45" spans="1:11" s="190" customFormat="1" ht="15" customHeight="1" x14ac:dyDescent="0.2">
      <c r="A45" s="169" t="s">
        <v>171</v>
      </c>
      <c r="B45" s="180" t="s">
        <v>141</v>
      </c>
      <c r="C45" s="187"/>
      <c r="D45" s="188">
        <f>3+3</f>
        <v>6</v>
      </c>
      <c r="E45" s="189" t="s">
        <v>26</v>
      </c>
      <c r="F45" s="174">
        <v>8263</v>
      </c>
      <c r="G45" s="178">
        <f>F45*D45</f>
        <v>49578</v>
      </c>
      <c r="H45" s="174">
        <v>826</v>
      </c>
      <c r="I45" s="178">
        <f>H45*D45</f>
        <v>4956</v>
      </c>
      <c r="J45" s="179"/>
      <c r="K45" s="178">
        <f>I45+G45</f>
        <v>54534</v>
      </c>
    </row>
    <row r="46" spans="1:11" s="216" customFormat="1" ht="15" customHeight="1" x14ac:dyDescent="0.2">
      <c r="A46" s="169" t="s">
        <v>172</v>
      </c>
      <c r="B46" s="180" t="s">
        <v>143</v>
      </c>
      <c r="C46" s="187"/>
      <c r="D46" s="217" t="s">
        <v>134</v>
      </c>
      <c r="E46" s="173" t="s">
        <v>26</v>
      </c>
      <c r="F46" s="174">
        <v>0</v>
      </c>
      <c r="G46" s="175" t="s">
        <v>135</v>
      </c>
      <c r="H46" s="174">
        <v>0</v>
      </c>
      <c r="I46" s="175" t="s">
        <v>135</v>
      </c>
      <c r="J46" s="176"/>
      <c r="K46" s="175" t="s">
        <v>135</v>
      </c>
    </row>
    <row r="47" spans="1:11" s="168" customFormat="1" ht="15" customHeight="1" x14ac:dyDescent="0.2">
      <c r="A47" s="167" t="s">
        <v>173</v>
      </c>
      <c r="B47" s="182" t="s">
        <v>152</v>
      </c>
      <c r="C47" s="183"/>
      <c r="D47" s="183"/>
      <c r="E47" s="184"/>
      <c r="F47" s="185"/>
      <c r="G47" s="185"/>
      <c r="H47" s="185"/>
      <c r="I47" s="185"/>
      <c r="J47" s="185"/>
      <c r="K47" s="186"/>
    </row>
    <row r="48" spans="1:11" s="168" customFormat="1" ht="15" customHeight="1" x14ac:dyDescent="0.2">
      <c r="A48" s="169" t="s">
        <v>174</v>
      </c>
      <c r="B48" s="180" t="s">
        <v>141</v>
      </c>
      <c r="C48" s="171"/>
      <c r="D48" s="172">
        <v>3</v>
      </c>
      <c r="E48" s="173" t="s">
        <v>26</v>
      </c>
      <c r="F48" s="174">
        <v>7436</v>
      </c>
      <c r="G48" s="178">
        <f>F48*D48</f>
        <v>22308</v>
      </c>
      <c r="H48" s="174">
        <v>826</v>
      </c>
      <c r="I48" s="178">
        <f>H48*D48</f>
        <v>2478</v>
      </c>
      <c r="J48" s="179"/>
      <c r="K48" s="178">
        <f>I48+G48</f>
        <v>24786</v>
      </c>
    </row>
    <row r="49" spans="1:11" s="229" customFormat="1" ht="15" customHeight="1" x14ac:dyDescent="0.2">
      <c r="A49" s="224">
        <v>2.2999999999999998</v>
      </c>
      <c r="B49" s="225" t="s">
        <v>175</v>
      </c>
      <c r="C49" s="226"/>
      <c r="D49" s="226"/>
      <c r="E49" s="226"/>
      <c r="F49" s="227"/>
      <c r="G49" s="227"/>
      <c r="H49" s="227"/>
      <c r="I49" s="227"/>
      <c r="J49" s="227"/>
      <c r="K49" s="228"/>
    </row>
    <row r="50" spans="1:11" s="233" customFormat="1" ht="15" customHeight="1" x14ac:dyDescent="0.2">
      <c r="A50" s="230" t="s">
        <v>176</v>
      </c>
      <c r="B50" s="170" t="s">
        <v>139</v>
      </c>
      <c r="C50" s="231"/>
      <c r="D50" s="232" t="s">
        <v>134</v>
      </c>
      <c r="E50" s="173" t="s">
        <v>94</v>
      </c>
      <c r="F50" s="174">
        <v>0</v>
      </c>
      <c r="G50" s="175" t="s">
        <v>135</v>
      </c>
      <c r="H50" s="174">
        <v>0</v>
      </c>
      <c r="I50" s="175" t="s">
        <v>135</v>
      </c>
      <c r="J50" s="176"/>
      <c r="K50" s="175" t="s">
        <v>135</v>
      </c>
    </row>
    <row r="51" spans="1:11" s="234" customFormat="1" ht="15" customHeight="1" x14ac:dyDescent="0.2">
      <c r="A51" s="230" t="s">
        <v>177</v>
      </c>
      <c r="B51" s="180" t="s">
        <v>141</v>
      </c>
      <c r="C51" s="231"/>
      <c r="D51" s="232">
        <f>D38</f>
        <v>32</v>
      </c>
      <c r="E51" s="173" t="s">
        <v>94</v>
      </c>
      <c r="F51" s="174">
        <v>3512</v>
      </c>
      <c r="G51" s="178">
        <f>F51*D51</f>
        <v>112384</v>
      </c>
      <c r="H51" s="174">
        <v>496</v>
      </c>
      <c r="I51" s="178">
        <f>H51*D51</f>
        <v>15872</v>
      </c>
      <c r="J51" s="179"/>
      <c r="K51" s="178">
        <f>I51+G51</f>
        <v>128256</v>
      </c>
    </row>
    <row r="52" spans="1:11" s="234" customFormat="1" ht="15" customHeight="1" x14ac:dyDescent="0.2">
      <c r="A52" s="230" t="s">
        <v>178</v>
      </c>
      <c r="B52" s="180" t="s">
        <v>143</v>
      </c>
      <c r="C52" s="231"/>
      <c r="D52" s="232" t="str">
        <f>D39</f>
        <v>-</v>
      </c>
      <c r="E52" s="173" t="s">
        <v>94</v>
      </c>
      <c r="F52" s="174">
        <v>0</v>
      </c>
      <c r="G52" s="175" t="s">
        <v>135</v>
      </c>
      <c r="H52" s="174">
        <v>0</v>
      </c>
      <c r="I52" s="175" t="s">
        <v>135</v>
      </c>
      <c r="J52" s="176"/>
      <c r="K52" s="175" t="s">
        <v>135</v>
      </c>
    </row>
    <row r="53" spans="1:11" s="216" customFormat="1" ht="15" customHeight="1" x14ac:dyDescent="0.2">
      <c r="A53" s="235">
        <v>2.4</v>
      </c>
      <c r="B53" s="500" t="s">
        <v>179</v>
      </c>
      <c r="C53" s="501"/>
      <c r="D53" s="188">
        <v>1</v>
      </c>
      <c r="E53" s="189" t="s">
        <v>29</v>
      </c>
      <c r="F53" s="174">
        <v>39660</v>
      </c>
      <c r="G53" s="178">
        <f>F53*D53</f>
        <v>39660</v>
      </c>
      <c r="H53" s="174">
        <v>9915</v>
      </c>
      <c r="I53" s="178">
        <f>H53*D53</f>
        <v>9915</v>
      </c>
      <c r="J53" s="179"/>
      <c r="K53" s="178">
        <f>I53+G53</f>
        <v>49575</v>
      </c>
    </row>
    <row r="54" spans="1:11" s="216" customFormat="1" ht="26.25" customHeight="1" x14ac:dyDescent="0.2">
      <c r="A54" s="235">
        <v>2.5</v>
      </c>
      <c r="B54" s="500" t="s">
        <v>180</v>
      </c>
      <c r="C54" s="501"/>
      <c r="D54" s="188">
        <v>1</v>
      </c>
      <c r="E54" s="189" t="s">
        <v>29</v>
      </c>
      <c r="F54" s="174">
        <v>0</v>
      </c>
      <c r="G54" s="178">
        <f>F54*D54</f>
        <v>0</v>
      </c>
      <c r="H54" s="174">
        <v>12394</v>
      </c>
      <c r="I54" s="178">
        <f>H54*D54</f>
        <v>12394</v>
      </c>
      <c r="J54" s="179"/>
      <c r="K54" s="178">
        <f>I54+G54</f>
        <v>12394</v>
      </c>
    </row>
    <row r="55" spans="1:11" s="229" customFormat="1" ht="15" customHeight="1" x14ac:dyDescent="0.2">
      <c r="A55" s="224">
        <v>2.6</v>
      </c>
      <c r="B55" s="211" t="s">
        <v>181</v>
      </c>
      <c r="C55" s="226"/>
      <c r="D55" s="226"/>
      <c r="E55" s="226"/>
      <c r="F55" s="227"/>
      <c r="G55" s="227"/>
      <c r="H55" s="227"/>
      <c r="I55" s="227"/>
      <c r="J55" s="227"/>
      <c r="K55" s="228"/>
    </row>
    <row r="56" spans="1:11" s="233" customFormat="1" ht="38.450000000000003" customHeight="1" thickBot="1" x14ac:dyDescent="0.25">
      <c r="A56" s="230" t="s">
        <v>182</v>
      </c>
      <c r="B56" s="502" t="s">
        <v>183</v>
      </c>
      <c r="C56" s="503"/>
      <c r="D56" s="232">
        <v>2</v>
      </c>
      <c r="E56" s="173" t="s">
        <v>26</v>
      </c>
      <c r="F56" s="174">
        <v>65274</v>
      </c>
      <c r="G56" s="178">
        <f>F56*D56</f>
        <v>130548</v>
      </c>
      <c r="H56" s="174">
        <v>2479</v>
      </c>
      <c r="I56" s="178">
        <f>H56*D56</f>
        <v>4958</v>
      </c>
      <c r="J56" s="179"/>
      <c r="K56" s="178">
        <f>I56+G56</f>
        <v>135506</v>
      </c>
    </row>
    <row r="57" spans="1:11" s="168" customFormat="1" ht="15" customHeight="1" thickBot="1" x14ac:dyDescent="0.25">
      <c r="A57" s="482" t="s">
        <v>33</v>
      </c>
      <c r="B57" s="483"/>
      <c r="C57" s="483"/>
      <c r="D57" s="483"/>
      <c r="E57" s="484"/>
      <c r="F57" s="201"/>
      <c r="G57" s="202">
        <f>SUM(G37:G56)</f>
        <v>540210</v>
      </c>
      <c r="H57" s="201"/>
      <c r="I57" s="202">
        <f>SUM(I37:I56)</f>
        <v>64471</v>
      </c>
      <c r="J57" s="203"/>
      <c r="K57" s="202">
        <f>SUM(K37:K56)</f>
        <v>604681</v>
      </c>
    </row>
    <row r="58" spans="1:11" s="160" customFormat="1" ht="15" customHeight="1" x14ac:dyDescent="0.2">
      <c r="A58" s="161">
        <v>3</v>
      </c>
      <c r="B58" s="162" t="s">
        <v>184</v>
      </c>
      <c r="C58" s="163"/>
      <c r="D58" s="163"/>
      <c r="E58" s="164"/>
      <c r="F58" s="165"/>
      <c r="G58" s="165"/>
      <c r="H58" s="165"/>
      <c r="I58" s="165"/>
      <c r="J58" s="165"/>
      <c r="K58" s="166"/>
    </row>
    <row r="59" spans="1:11" s="236" customFormat="1" ht="27.6" customHeight="1" x14ac:dyDescent="0.2">
      <c r="A59" s="210">
        <v>3.1</v>
      </c>
      <c r="B59" s="492" t="s">
        <v>185</v>
      </c>
      <c r="C59" s="493"/>
      <c r="D59" s="493"/>
      <c r="E59" s="493"/>
      <c r="F59" s="493"/>
      <c r="G59" s="493"/>
      <c r="H59" s="493"/>
      <c r="I59" s="493"/>
      <c r="J59" s="493"/>
      <c r="K59" s="494"/>
    </row>
    <row r="60" spans="1:11" s="177" customFormat="1" ht="15" customHeight="1" x14ac:dyDescent="0.2">
      <c r="A60" s="169" t="s">
        <v>186</v>
      </c>
      <c r="B60" s="237" t="s">
        <v>187</v>
      </c>
      <c r="C60" s="171"/>
      <c r="D60" s="172">
        <v>18</v>
      </c>
      <c r="E60" s="173" t="s">
        <v>94</v>
      </c>
      <c r="F60" s="174">
        <v>4049</v>
      </c>
      <c r="G60" s="178">
        <f>F60*D60</f>
        <v>72882</v>
      </c>
      <c r="H60" s="174">
        <v>826</v>
      </c>
      <c r="I60" s="178">
        <f>H60*D60</f>
        <v>14868</v>
      </c>
      <c r="J60" s="179"/>
      <c r="K60" s="178">
        <f>I60+G60</f>
        <v>87750</v>
      </c>
    </row>
    <row r="61" spans="1:11" s="177" customFormat="1" ht="15" customHeight="1" x14ac:dyDescent="0.2">
      <c r="A61" s="169" t="s">
        <v>188</v>
      </c>
      <c r="B61" s="237" t="s">
        <v>189</v>
      </c>
      <c r="C61" s="171"/>
      <c r="D61" s="197">
        <v>5</v>
      </c>
      <c r="E61" s="173" t="s">
        <v>94</v>
      </c>
      <c r="F61" s="174">
        <v>3123</v>
      </c>
      <c r="G61" s="178">
        <f>F61*D61</f>
        <v>15615</v>
      </c>
      <c r="H61" s="174">
        <v>826</v>
      </c>
      <c r="I61" s="178">
        <f>H61*D61</f>
        <v>4130</v>
      </c>
      <c r="J61" s="179"/>
      <c r="K61" s="178">
        <f>I61+G61</f>
        <v>19745</v>
      </c>
    </row>
    <row r="62" spans="1:11" s="168" customFormat="1" ht="15" customHeight="1" x14ac:dyDescent="0.2">
      <c r="A62" s="169" t="s">
        <v>190</v>
      </c>
      <c r="B62" s="170" t="s">
        <v>136</v>
      </c>
      <c r="C62" s="171"/>
      <c r="D62" s="197" t="s">
        <v>134</v>
      </c>
      <c r="E62" s="173" t="s">
        <v>94</v>
      </c>
      <c r="F62" s="174">
        <v>0</v>
      </c>
      <c r="G62" s="175" t="s">
        <v>135</v>
      </c>
      <c r="H62" s="174">
        <v>0</v>
      </c>
      <c r="I62" s="175" t="s">
        <v>135</v>
      </c>
      <c r="J62" s="176"/>
      <c r="K62" s="175" t="s">
        <v>135</v>
      </c>
    </row>
    <row r="63" spans="1:11" s="177" customFormat="1" ht="15" customHeight="1" x14ac:dyDescent="0.2">
      <c r="A63" s="169" t="s">
        <v>191</v>
      </c>
      <c r="B63" s="170" t="s">
        <v>137</v>
      </c>
      <c r="C63" s="171"/>
      <c r="D63" s="197">
        <v>29</v>
      </c>
      <c r="E63" s="173" t="s">
        <v>94</v>
      </c>
      <c r="F63" s="174">
        <v>1405</v>
      </c>
      <c r="G63" s="178">
        <f>F63*D63</f>
        <v>40745</v>
      </c>
      <c r="H63" s="174">
        <v>496</v>
      </c>
      <c r="I63" s="178">
        <f>H63*D63</f>
        <v>14384</v>
      </c>
      <c r="J63" s="179"/>
      <c r="K63" s="178">
        <f>I63+G63</f>
        <v>55129</v>
      </c>
    </row>
    <row r="64" spans="1:11" s="168" customFormat="1" ht="15" customHeight="1" x14ac:dyDescent="0.2">
      <c r="A64" s="169" t="s">
        <v>192</v>
      </c>
      <c r="B64" s="170" t="s">
        <v>139</v>
      </c>
      <c r="C64" s="171"/>
      <c r="D64" s="197" t="s">
        <v>134</v>
      </c>
      <c r="E64" s="173" t="s">
        <v>94</v>
      </c>
      <c r="F64" s="174">
        <v>0</v>
      </c>
      <c r="G64" s="175" t="s">
        <v>135</v>
      </c>
      <c r="H64" s="174">
        <v>0</v>
      </c>
      <c r="I64" s="175" t="s">
        <v>135</v>
      </c>
      <c r="J64" s="176"/>
      <c r="K64" s="175" t="s">
        <v>135</v>
      </c>
    </row>
    <row r="65" spans="1:11" s="236" customFormat="1" ht="30.6" customHeight="1" x14ac:dyDescent="0.2">
      <c r="A65" s="210">
        <v>3.2</v>
      </c>
      <c r="B65" s="492" t="s">
        <v>193</v>
      </c>
      <c r="C65" s="493"/>
      <c r="D65" s="493"/>
      <c r="E65" s="493"/>
      <c r="F65" s="493"/>
      <c r="G65" s="493"/>
      <c r="H65" s="493"/>
      <c r="I65" s="493"/>
      <c r="J65" s="493"/>
      <c r="K65" s="494"/>
    </row>
    <row r="66" spans="1:11" s="168" customFormat="1" ht="15" customHeight="1" x14ac:dyDescent="0.2">
      <c r="A66" s="169" t="s">
        <v>194</v>
      </c>
      <c r="B66" s="237" t="s">
        <v>189</v>
      </c>
      <c r="C66" s="171"/>
      <c r="D66" s="197" t="s">
        <v>134</v>
      </c>
      <c r="E66" s="173" t="s">
        <v>94</v>
      </c>
      <c r="F66" s="174">
        <v>0</v>
      </c>
      <c r="G66" s="175" t="s">
        <v>135</v>
      </c>
      <c r="H66" s="174">
        <v>0</v>
      </c>
      <c r="I66" s="175" t="s">
        <v>135</v>
      </c>
      <c r="J66" s="176"/>
      <c r="K66" s="175" t="s">
        <v>135</v>
      </c>
    </row>
    <row r="67" spans="1:11" s="168" customFormat="1" ht="15" customHeight="1" x14ac:dyDescent="0.2">
      <c r="A67" s="169" t="s">
        <v>195</v>
      </c>
      <c r="B67" s="170" t="s">
        <v>136</v>
      </c>
      <c r="C67" s="171"/>
      <c r="D67" s="197">
        <v>10</v>
      </c>
      <c r="E67" s="173" t="s">
        <v>94</v>
      </c>
      <c r="F67" s="174">
        <v>1900</v>
      </c>
      <c r="G67" s="178">
        <f>F67*D67</f>
        <v>19000</v>
      </c>
      <c r="H67" s="174">
        <v>413</v>
      </c>
      <c r="I67" s="178">
        <f>H67*D67</f>
        <v>4130</v>
      </c>
      <c r="J67" s="179"/>
      <c r="K67" s="178">
        <f>I67+G67</f>
        <v>23130</v>
      </c>
    </row>
    <row r="68" spans="1:11" s="177" customFormat="1" ht="15" customHeight="1" x14ac:dyDescent="0.2">
      <c r="A68" s="169" t="s">
        <v>196</v>
      </c>
      <c r="B68" s="170" t="s">
        <v>137</v>
      </c>
      <c r="C68" s="171"/>
      <c r="D68" s="197">
        <v>15</v>
      </c>
      <c r="E68" s="173" t="s">
        <v>94</v>
      </c>
      <c r="F68" s="174">
        <v>1405</v>
      </c>
      <c r="G68" s="178">
        <f>F68*D68</f>
        <v>21075</v>
      </c>
      <c r="H68" s="174">
        <v>413</v>
      </c>
      <c r="I68" s="178">
        <f>H68*D68</f>
        <v>6195</v>
      </c>
      <c r="J68" s="179"/>
      <c r="K68" s="178">
        <f>I68+G68</f>
        <v>27270</v>
      </c>
    </row>
    <row r="69" spans="1:11" s="236" customFormat="1" ht="15" customHeight="1" x14ac:dyDescent="0.2">
      <c r="A69" s="210">
        <v>3.3</v>
      </c>
      <c r="B69" s="492" t="s">
        <v>197</v>
      </c>
      <c r="C69" s="493"/>
      <c r="D69" s="493"/>
      <c r="E69" s="493"/>
      <c r="F69" s="493"/>
      <c r="G69" s="493"/>
      <c r="H69" s="493"/>
      <c r="I69" s="493"/>
      <c r="J69" s="493"/>
      <c r="K69" s="494"/>
    </row>
    <row r="70" spans="1:11" s="168" customFormat="1" ht="15" customHeight="1" x14ac:dyDescent="0.2">
      <c r="A70" s="220" t="s">
        <v>198</v>
      </c>
      <c r="B70" s="211" t="s">
        <v>199</v>
      </c>
      <c r="C70" s="238"/>
      <c r="D70" s="239"/>
      <c r="E70" s="240"/>
      <c r="F70" s="185"/>
      <c r="G70" s="185"/>
      <c r="H70" s="185"/>
      <c r="I70" s="185"/>
      <c r="J70" s="185"/>
      <c r="K70" s="186" t="s">
        <v>200</v>
      </c>
    </row>
    <row r="71" spans="1:11" s="168" customFormat="1" ht="15" customHeight="1" x14ac:dyDescent="0.2">
      <c r="A71" s="241" t="s">
        <v>201</v>
      </c>
      <c r="B71" s="237" t="s">
        <v>189</v>
      </c>
      <c r="C71" s="242"/>
      <c r="D71" s="243">
        <v>5</v>
      </c>
      <c r="E71" s="244" t="s">
        <v>26</v>
      </c>
      <c r="F71" s="174">
        <v>7436</v>
      </c>
      <c r="G71" s="178">
        <f>F71*D71</f>
        <v>37180</v>
      </c>
      <c r="H71" s="174">
        <v>826</v>
      </c>
      <c r="I71" s="178">
        <f>H71*D71</f>
        <v>4130</v>
      </c>
      <c r="J71" s="179"/>
      <c r="K71" s="178">
        <f>I71+G71</f>
        <v>41310</v>
      </c>
    </row>
    <row r="72" spans="1:11" s="168" customFormat="1" ht="15" customHeight="1" x14ac:dyDescent="0.2">
      <c r="A72" s="220" t="s">
        <v>202</v>
      </c>
      <c r="B72" s="211" t="s">
        <v>203</v>
      </c>
      <c r="C72" s="238"/>
      <c r="D72" s="239"/>
      <c r="E72" s="240"/>
      <c r="F72" s="185"/>
      <c r="G72" s="185"/>
      <c r="H72" s="185"/>
      <c r="I72" s="185"/>
      <c r="J72" s="185"/>
      <c r="K72" s="186"/>
    </row>
    <row r="73" spans="1:11" s="168" customFormat="1" ht="15" customHeight="1" x14ac:dyDescent="0.2">
      <c r="A73" s="241" t="s">
        <v>204</v>
      </c>
      <c r="B73" s="237" t="s">
        <v>187</v>
      </c>
      <c r="C73" s="242"/>
      <c r="D73" s="243">
        <v>2</v>
      </c>
      <c r="E73" s="244" t="s">
        <v>26</v>
      </c>
      <c r="F73" s="174">
        <v>5784</v>
      </c>
      <c r="G73" s="178">
        <f>F73*D73</f>
        <v>11568</v>
      </c>
      <c r="H73" s="174">
        <v>826</v>
      </c>
      <c r="I73" s="178">
        <f>H73*D73</f>
        <v>1652</v>
      </c>
      <c r="J73" s="179"/>
      <c r="K73" s="178">
        <f>I73+G73</f>
        <v>13220</v>
      </c>
    </row>
    <row r="74" spans="1:11" s="168" customFormat="1" ht="15" customHeight="1" x14ac:dyDescent="0.2">
      <c r="A74" s="220" t="s">
        <v>205</v>
      </c>
      <c r="B74" s="211" t="s">
        <v>206</v>
      </c>
      <c r="C74" s="238"/>
      <c r="D74" s="239"/>
      <c r="E74" s="240"/>
      <c r="F74" s="185"/>
      <c r="G74" s="185"/>
      <c r="H74" s="185"/>
      <c r="I74" s="185"/>
      <c r="J74" s="185"/>
      <c r="K74" s="186"/>
    </row>
    <row r="75" spans="1:11" s="168" customFormat="1" ht="15" customHeight="1" x14ac:dyDescent="0.2">
      <c r="A75" s="241" t="s">
        <v>207</v>
      </c>
      <c r="B75" s="237" t="s">
        <v>187</v>
      </c>
      <c r="C75" s="242"/>
      <c r="D75" s="243">
        <v>1</v>
      </c>
      <c r="E75" s="244" t="s">
        <v>27</v>
      </c>
      <c r="F75" s="174">
        <v>6197</v>
      </c>
      <c r="G75" s="178">
        <f>F75*D75</f>
        <v>6197</v>
      </c>
      <c r="H75" s="174">
        <v>826</v>
      </c>
      <c r="I75" s="178">
        <f>H75*D75</f>
        <v>826</v>
      </c>
      <c r="J75" s="179"/>
      <c r="K75" s="178">
        <f>I75+G75</f>
        <v>7023</v>
      </c>
    </row>
    <row r="76" spans="1:11" s="168" customFormat="1" ht="25.5" customHeight="1" x14ac:dyDescent="0.2">
      <c r="A76" s="245">
        <v>3.4</v>
      </c>
      <c r="B76" s="495" t="s">
        <v>208</v>
      </c>
      <c r="C76" s="496"/>
      <c r="D76" s="243">
        <v>1</v>
      </c>
      <c r="E76" s="173" t="s">
        <v>29</v>
      </c>
      <c r="F76" s="174">
        <v>26440</v>
      </c>
      <c r="G76" s="178">
        <f>F76*D76</f>
        <v>26440</v>
      </c>
      <c r="H76" s="174">
        <v>6610</v>
      </c>
      <c r="I76" s="178">
        <f>H76*D76</f>
        <v>6610</v>
      </c>
      <c r="J76" s="179"/>
      <c r="K76" s="178">
        <f>I76+G76</f>
        <v>33050</v>
      </c>
    </row>
    <row r="77" spans="1:11" s="168" customFormat="1" ht="25.5" customHeight="1" thickBot="1" x14ac:dyDescent="0.25">
      <c r="A77" s="245">
        <v>3.5</v>
      </c>
      <c r="B77" s="495" t="s">
        <v>209</v>
      </c>
      <c r="C77" s="496"/>
      <c r="D77" s="243">
        <v>1</v>
      </c>
      <c r="E77" s="173" t="s">
        <v>29</v>
      </c>
      <c r="F77" s="174">
        <v>0</v>
      </c>
      <c r="G77" s="178">
        <f>F77*D77</f>
        <v>0</v>
      </c>
      <c r="H77" s="174">
        <v>12394</v>
      </c>
      <c r="I77" s="178">
        <f>H77*D77</f>
        <v>12394</v>
      </c>
      <c r="J77" s="179"/>
      <c r="K77" s="178">
        <f>I77+G77</f>
        <v>12394</v>
      </c>
    </row>
    <row r="78" spans="1:11" s="168" customFormat="1" ht="15" customHeight="1" thickBot="1" x14ac:dyDescent="0.25">
      <c r="A78" s="482" t="s">
        <v>33</v>
      </c>
      <c r="B78" s="483"/>
      <c r="C78" s="483"/>
      <c r="D78" s="483"/>
      <c r="E78" s="484"/>
      <c r="F78" s="201"/>
      <c r="G78" s="202">
        <f>SUM(G60:G77)</f>
        <v>250702</v>
      </c>
      <c r="H78" s="201"/>
      <c r="I78" s="202">
        <f>SUM(I60:I77)</f>
        <v>69319</v>
      </c>
      <c r="J78" s="203"/>
      <c r="K78" s="202">
        <f>SUM(K60:K77)</f>
        <v>320021</v>
      </c>
    </row>
    <row r="79" spans="1:11" s="168" customFormat="1" ht="14.45" customHeight="1" x14ac:dyDescent="0.2">
      <c r="A79" s="246">
        <v>4</v>
      </c>
      <c r="B79" s="247" t="s">
        <v>210</v>
      </c>
      <c r="C79" s="248"/>
      <c r="D79" s="249"/>
      <c r="E79" s="250"/>
      <c r="F79" s="46"/>
      <c r="G79" s="46"/>
      <c r="H79" s="46"/>
      <c r="I79" s="46"/>
      <c r="J79" s="46"/>
      <c r="K79" s="251"/>
    </row>
    <row r="80" spans="1:11" s="168" customFormat="1" ht="25.5" customHeight="1" x14ac:dyDescent="0.2">
      <c r="A80" s="252">
        <v>4.0999999999999996</v>
      </c>
      <c r="B80" s="490" t="s">
        <v>211</v>
      </c>
      <c r="C80" s="491"/>
      <c r="D80" s="253">
        <v>3</v>
      </c>
      <c r="E80" s="253" t="s">
        <v>26</v>
      </c>
      <c r="F80" s="174">
        <v>133854</v>
      </c>
      <c r="G80" s="178">
        <f t="shared" ref="G80:G88" si="3">F80*D80</f>
        <v>401562</v>
      </c>
      <c r="H80" s="174">
        <v>8263</v>
      </c>
      <c r="I80" s="178">
        <f t="shared" ref="I80:I88" si="4">H80*D80</f>
        <v>24789</v>
      </c>
      <c r="J80" s="179"/>
      <c r="K80" s="178">
        <f t="shared" ref="K80:K88" si="5">I80+G80</f>
        <v>426351</v>
      </c>
    </row>
    <row r="81" spans="1:11" s="168" customFormat="1" ht="25.5" customHeight="1" x14ac:dyDescent="0.2">
      <c r="A81" s="252">
        <v>4.2</v>
      </c>
      <c r="B81" s="490" t="s">
        <v>212</v>
      </c>
      <c r="C81" s="491"/>
      <c r="D81" s="253">
        <v>3</v>
      </c>
      <c r="E81" s="253" t="s">
        <v>26</v>
      </c>
      <c r="F81" s="174">
        <v>82626</v>
      </c>
      <c r="G81" s="178">
        <f t="shared" si="3"/>
        <v>247878</v>
      </c>
      <c r="H81" s="174">
        <v>6610</v>
      </c>
      <c r="I81" s="178">
        <f t="shared" si="4"/>
        <v>19830</v>
      </c>
      <c r="J81" s="179"/>
      <c r="K81" s="178">
        <f t="shared" si="5"/>
        <v>267708</v>
      </c>
    </row>
    <row r="82" spans="1:11" s="168" customFormat="1" ht="25.5" customHeight="1" x14ac:dyDescent="0.2">
      <c r="A82" s="252">
        <v>4.3</v>
      </c>
      <c r="B82" s="490" t="s">
        <v>213</v>
      </c>
      <c r="C82" s="491"/>
      <c r="D82" s="253">
        <v>3</v>
      </c>
      <c r="E82" s="253" t="s">
        <v>26</v>
      </c>
      <c r="F82" s="174">
        <v>45444</v>
      </c>
      <c r="G82" s="178">
        <f t="shared" si="3"/>
        <v>136332</v>
      </c>
      <c r="H82" s="174">
        <v>6610</v>
      </c>
      <c r="I82" s="178">
        <f t="shared" si="4"/>
        <v>19830</v>
      </c>
      <c r="J82" s="179"/>
      <c r="K82" s="178">
        <f t="shared" si="5"/>
        <v>156162</v>
      </c>
    </row>
    <row r="83" spans="1:11" s="168" customFormat="1" ht="25.5" customHeight="1" x14ac:dyDescent="0.2">
      <c r="A83" s="252">
        <v>4.4000000000000004</v>
      </c>
      <c r="B83" s="490" t="s">
        <v>214</v>
      </c>
      <c r="C83" s="491"/>
      <c r="D83" s="253">
        <v>1</v>
      </c>
      <c r="E83" s="253" t="s">
        <v>27</v>
      </c>
      <c r="F83" s="174">
        <v>59491</v>
      </c>
      <c r="G83" s="178">
        <f t="shared" si="3"/>
        <v>59491</v>
      </c>
      <c r="H83" s="174">
        <v>4958</v>
      </c>
      <c r="I83" s="178">
        <f t="shared" si="4"/>
        <v>4958</v>
      </c>
      <c r="J83" s="179"/>
      <c r="K83" s="178">
        <f t="shared" si="5"/>
        <v>64449</v>
      </c>
    </row>
    <row r="84" spans="1:11" s="168" customFormat="1" ht="25.5" customHeight="1" x14ac:dyDescent="0.2">
      <c r="A84" s="252">
        <v>4.5</v>
      </c>
      <c r="B84" s="490" t="s">
        <v>215</v>
      </c>
      <c r="C84" s="491"/>
      <c r="D84" s="253">
        <v>3</v>
      </c>
      <c r="E84" s="253" t="s">
        <v>26</v>
      </c>
      <c r="F84" s="174">
        <v>11981</v>
      </c>
      <c r="G84" s="178">
        <f t="shared" si="3"/>
        <v>35943</v>
      </c>
      <c r="H84" s="174">
        <v>826</v>
      </c>
      <c r="I84" s="178">
        <f t="shared" si="4"/>
        <v>2478</v>
      </c>
      <c r="J84" s="179"/>
      <c r="K84" s="178">
        <f t="shared" si="5"/>
        <v>38421</v>
      </c>
    </row>
    <row r="85" spans="1:11" s="168" customFormat="1" ht="15" customHeight="1" x14ac:dyDescent="0.2">
      <c r="A85" s="252">
        <v>4.5999999999999996</v>
      </c>
      <c r="B85" s="254" t="s">
        <v>216</v>
      </c>
      <c r="C85" s="255"/>
      <c r="D85" s="253">
        <v>3</v>
      </c>
      <c r="E85" s="253" t="s">
        <v>26</v>
      </c>
      <c r="F85" s="174">
        <v>6610</v>
      </c>
      <c r="G85" s="178">
        <f t="shared" si="3"/>
        <v>19830</v>
      </c>
      <c r="H85" s="174">
        <v>413</v>
      </c>
      <c r="I85" s="178">
        <f t="shared" si="4"/>
        <v>1239</v>
      </c>
      <c r="J85" s="179"/>
      <c r="K85" s="178">
        <f t="shared" si="5"/>
        <v>21069</v>
      </c>
    </row>
    <row r="86" spans="1:11" s="168" customFormat="1" ht="15" customHeight="1" x14ac:dyDescent="0.2">
      <c r="A86" s="252">
        <v>4.7</v>
      </c>
      <c r="B86" s="254" t="s">
        <v>217</v>
      </c>
      <c r="C86" s="255"/>
      <c r="D86" s="253">
        <v>5</v>
      </c>
      <c r="E86" s="253" t="s">
        <v>26</v>
      </c>
      <c r="F86" s="174">
        <v>9089</v>
      </c>
      <c r="G86" s="178">
        <f t="shared" si="3"/>
        <v>45445</v>
      </c>
      <c r="H86" s="174">
        <v>826</v>
      </c>
      <c r="I86" s="178">
        <f t="shared" si="4"/>
        <v>4130</v>
      </c>
      <c r="J86" s="179"/>
      <c r="K86" s="178">
        <f t="shared" si="5"/>
        <v>49575</v>
      </c>
    </row>
    <row r="87" spans="1:11" s="168" customFormat="1" ht="25.5" customHeight="1" x14ac:dyDescent="0.2">
      <c r="A87" s="252">
        <v>4.8</v>
      </c>
      <c r="B87" s="495" t="s">
        <v>218</v>
      </c>
      <c r="C87" s="496"/>
      <c r="D87" s="256">
        <v>1</v>
      </c>
      <c r="E87" s="257" t="s">
        <v>27</v>
      </c>
      <c r="F87" s="174">
        <v>8474</v>
      </c>
      <c r="G87" s="178">
        <f t="shared" si="3"/>
        <v>8474</v>
      </c>
      <c r="H87" s="174">
        <v>826</v>
      </c>
      <c r="I87" s="178">
        <f t="shared" si="4"/>
        <v>826</v>
      </c>
      <c r="J87" s="179"/>
      <c r="K87" s="178">
        <f t="shared" si="5"/>
        <v>9300</v>
      </c>
    </row>
    <row r="88" spans="1:11" s="216" customFormat="1" ht="25.5" customHeight="1" thickBot="1" x14ac:dyDescent="0.25">
      <c r="A88" s="252">
        <v>4.9000000000000004</v>
      </c>
      <c r="B88" s="490" t="s">
        <v>219</v>
      </c>
      <c r="C88" s="491"/>
      <c r="D88" s="253">
        <v>3</v>
      </c>
      <c r="E88" s="253" t="s">
        <v>26</v>
      </c>
      <c r="F88" s="174">
        <v>65274</v>
      </c>
      <c r="G88" s="178">
        <f t="shared" si="3"/>
        <v>195822</v>
      </c>
      <c r="H88" s="174">
        <v>2479</v>
      </c>
      <c r="I88" s="178">
        <f t="shared" si="4"/>
        <v>7437</v>
      </c>
      <c r="J88" s="179"/>
      <c r="K88" s="178">
        <f t="shared" si="5"/>
        <v>203259</v>
      </c>
    </row>
    <row r="89" spans="1:11" s="168" customFormat="1" ht="15" customHeight="1" thickBot="1" x14ac:dyDescent="0.25">
      <c r="A89" s="482" t="s">
        <v>33</v>
      </c>
      <c r="B89" s="483"/>
      <c r="C89" s="483"/>
      <c r="D89" s="483"/>
      <c r="E89" s="484"/>
      <c r="F89" s="201"/>
      <c r="G89" s="202">
        <f>SUM(G80:G88)</f>
        <v>1150777</v>
      </c>
      <c r="H89" s="201"/>
      <c r="I89" s="202">
        <f>SUM(I80:I88)</f>
        <v>85517</v>
      </c>
      <c r="J89" s="203"/>
      <c r="K89" s="202">
        <f>SUM(K80:K88)</f>
        <v>1236294</v>
      </c>
    </row>
    <row r="90" spans="1:11" s="160" customFormat="1" ht="15" customHeight="1" x14ac:dyDescent="0.2">
      <c r="A90" s="258">
        <v>5</v>
      </c>
      <c r="B90" s="259" t="s">
        <v>4</v>
      </c>
      <c r="C90" s="260"/>
      <c r="D90" s="260"/>
      <c r="E90" s="261"/>
      <c r="F90" s="262"/>
      <c r="G90" s="165"/>
      <c r="H90" s="262"/>
      <c r="I90" s="165"/>
      <c r="J90" s="262"/>
      <c r="K90" s="166"/>
    </row>
    <row r="91" spans="1:11" s="168" customFormat="1" ht="15" customHeight="1" x14ac:dyDescent="0.2">
      <c r="A91" s="263">
        <v>5.0999999999999996</v>
      </c>
      <c r="B91" s="264" t="s">
        <v>220</v>
      </c>
      <c r="C91" s="265"/>
      <c r="D91" s="243">
        <v>1</v>
      </c>
      <c r="E91" s="257" t="s">
        <v>29</v>
      </c>
      <c r="F91" s="174">
        <v>24788</v>
      </c>
      <c r="G91" s="178">
        <f>F91*D91</f>
        <v>24788</v>
      </c>
      <c r="H91" s="174">
        <v>41313</v>
      </c>
      <c r="I91" s="178">
        <f>H91*D91</f>
        <v>41313</v>
      </c>
      <c r="J91" s="179"/>
      <c r="K91" s="178">
        <f>I91+G91</f>
        <v>66101</v>
      </c>
    </row>
    <row r="92" spans="1:11" s="168" customFormat="1" ht="15" customHeight="1" x14ac:dyDescent="0.2">
      <c r="A92" s="263">
        <v>5.2</v>
      </c>
      <c r="B92" s="264" t="s">
        <v>30</v>
      </c>
      <c r="C92" s="265"/>
      <c r="D92" s="243">
        <v>1</v>
      </c>
      <c r="E92" s="257" t="s">
        <v>29</v>
      </c>
      <c r="F92" s="174">
        <v>0</v>
      </c>
      <c r="G92" s="178">
        <f>F92*D92</f>
        <v>0</v>
      </c>
      <c r="H92" s="174">
        <v>12394</v>
      </c>
      <c r="I92" s="178">
        <f>H92*D92</f>
        <v>12394</v>
      </c>
      <c r="J92" s="179"/>
      <c r="K92" s="178">
        <f>I92+G92</f>
        <v>12394</v>
      </c>
    </row>
    <row r="93" spans="1:11" s="168" customFormat="1" ht="15" customHeight="1" x14ac:dyDescent="0.2">
      <c r="A93" s="263">
        <v>5.3</v>
      </c>
      <c r="B93" s="264" t="s">
        <v>31</v>
      </c>
      <c r="C93" s="265"/>
      <c r="D93" s="243">
        <v>1</v>
      </c>
      <c r="E93" s="257" t="s">
        <v>29</v>
      </c>
      <c r="F93" s="174">
        <v>0</v>
      </c>
      <c r="G93" s="178">
        <f>F93*D93</f>
        <v>0</v>
      </c>
      <c r="H93" s="174">
        <v>8263</v>
      </c>
      <c r="I93" s="178">
        <f>H93*D93</f>
        <v>8263</v>
      </c>
      <c r="J93" s="179"/>
      <c r="K93" s="178">
        <f>I93+G93</f>
        <v>8263</v>
      </c>
    </row>
    <row r="94" spans="1:11" s="168" customFormat="1" ht="25.35" customHeight="1" x14ac:dyDescent="0.2">
      <c r="A94" s="263">
        <v>5.4</v>
      </c>
      <c r="B94" s="485" t="s">
        <v>221</v>
      </c>
      <c r="C94" s="486"/>
      <c r="D94" s="243">
        <v>1</v>
      </c>
      <c r="E94" s="257" t="s">
        <v>29</v>
      </c>
      <c r="F94" s="174">
        <v>16525</v>
      </c>
      <c r="G94" s="178">
        <f>F94*D94</f>
        <v>16525</v>
      </c>
      <c r="H94" s="174">
        <v>2479</v>
      </c>
      <c r="I94" s="178">
        <f>H94*D94</f>
        <v>2479</v>
      </c>
      <c r="J94" s="179"/>
      <c r="K94" s="178">
        <f>I94+G94</f>
        <v>19004</v>
      </c>
    </row>
    <row r="95" spans="1:11" s="168" customFormat="1" ht="25.35" customHeight="1" thickBot="1" x14ac:dyDescent="0.25">
      <c r="A95" s="263">
        <v>5.5</v>
      </c>
      <c r="B95" s="485" t="s">
        <v>222</v>
      </c>
      <c r="C95" s="486"/>
      <c r="D95" s="243">
        <v>1</v>
      </c>
      <c r="E95" s="257" t="s">
        <v>29</v>
      </c>
      <c r="F95" s="174">
        <v>0</v>
      </c>
      <c r="G95" s="178">
        <f>F95*D95</f>
        <v>0</v>
      </c>
      <c r="H95" s="174">
        <v>9915</v>
      </c>
      <c r="I95" s="178">
        <f>H95*D95</f>
        <v>9915</v>
      </c>
      <c r="J95" s="179"/>
      <c r="K95" s="178">
        <f>I95+G95</f>
        <v>9915</v>
      </c>
    </row>
    <row r="96" spans="1:11" s="168" customFormat="1" ht="15" customHeight="1" thickBot="1" x14ac:dyDescent="0.25">
      <c r="A96" s="487" t="s">
        <v>33</v>
      </c>
      <c r="B96" s="488"/>
      <c r="C96" s="488"/>
      <c r="D96" s="488"/>
      <c r="E96" s="489"/>
      <c r="F96" s="266"/>
      <c r="G96" s="202">
        <f>SUM(G91:G95)</f>
        <v>41313</v>
      </c>
      <c r="H96" s="266"/>
      <c r="I96" s="202">
        <f>SUM(I91:I95)</f>
        <v>74364</v>
      </c>
      <c r="J96" s="267"/>
      <c r="K96" s="202">
        <f>SUM(K91:K95)</f>
        <v>115677</v>
      </c>
    </row>
    <row r="97" spans="1:11" s="168" customFormat="1" ht="15" customHeight="1" thickBot="1" x14ac:dyDescent="0.25">
      <c r="A97" s="487" t="s">
        <v>124</v>
      </c>
      <c r="B97" s="488"/>
      <c r="C97" s="488"/>
      <c r="D97" s="488"/>
      <c r="E97" s="489"/>
      <c r="F97" s="266"/>
      <c r="G97" s="202">
        <f>G96+G89+G78+G57+G34</f>
        <v>2403937.5</v>
      </c>
      <c r="H97" s="266"/>
      <c r="I97" s="202">
        <f>I96+I89+I78+I57+I34</f>
        <v>354315.5</v>
      </c>
      <c r="J97" s="267"/>
      <c r="K97" s="202">
        <f>K96+K89+K78+K57+K34</f>
        <v>2758253</v>
      </c>
    </row>
  </sheetData>
  <mergeCells count="39">
    <mergeCell ref="A1:C1"/>
    <mergeCell ref="A4:K4"/>
    <mergeCell ref="B6:C6"/>
    <mergeCell ref="A7:A10"/>
    <mergeCell ref="B7:C10"/>
    <mergeCell ref="D7:D10"/>
    <mergeCell ref="E7:E10"/>
    <mergeCell ref="F7:G7"/>
    <mergeCell ref="H7:I7"/>
    <mergeCell ref="J7:K7"/>
    <mergeCell ref="B59:K59"/>
    <mergeCell ref="B12:K12"/>
    <mergeCell ref="B29:C29"/>
    <mergeCell ref="B30:C30"/>
    <mergeCell ref="B31:C31"/>
    <mergeCell ref="B32:C32"/>
    <mergeCell ref="B33:C33"/>
    <mergeCell ref="A34:E34"/>
    <mergeCell ref="B53:C53"/>
    <mergeCell ref="B54:C54"/>
    <mergeCell ref="B56:C56"/>
    <mergeCell ref="A57:E57"/>
    <mergeCell ref="B88:C88"/>
    <mergeCell ref="B65:K65"/>
    <mergeCell ref="B69:K69"/>
    <mergeCell ref="B76:C76"/>
    <mergeCell ref="B77:C77"/>
    <mergeCell ref="A78:E78"/>
    <mergeCell ref="B80:C80"/>
    <mergeCell ref="B81:C81"/>
    <mergeCell ref="B82:C82"/>
    <mergeCell ref="B83:C83"/>
    <mergeCell ref="B84:C84"/>
    <mergeCell ref="B87:C87"/>
    <mergeCell ref="A89:E89"/>
    <mergeCell ref="B94:C94"/>
    <mergeCell ref="B95:C95"/>
    <mergeCell ref="A96:E96"/>
    <mergeCell ref="A97:E97"/>
  </mergeCells>
  <printOptions horizontalCentered="1" gridLinesSet="0"/>
  <pageMargins left="0.27559055118110198" right="0.23622047244094499" top="0.74803149606299202" bottom="0.43307086614173201" header="0.31496062992126" footer="0.15748031496063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9" max="10" man="1"/>
    <brk id="8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2023-06-22T13:45:06Z</cp:lastPrinted>
  <dcterms:created xsi:type="dcterms:W3CDTF">1996-06-15T06:21:35Z</dcterms:created>
  <dcterms:modified xsi:type="dcterms:W3CDTF">2023-09-02T09:31:02Z</dcterms:modified>
</cp:coreProperties>
</file>