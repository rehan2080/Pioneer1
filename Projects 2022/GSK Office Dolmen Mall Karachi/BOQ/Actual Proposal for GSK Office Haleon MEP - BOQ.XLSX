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defaultThemeVersion="124226"/>
  <mc:AlternateContent xmlns:mc="http://schemas.openxmlformats.org/markup-compatibility/2006">
    <mc:Choice Requires="x15">
      <x15ac:absPath xmlns:x15ac="http://schemas.microsoft.com/office/spreadsheetml/2010/11/ac" url="H:\Projects 2022\GSK Office Dolmen Mall Karachi\"/>
    </mc:Choice>
  </mc:AlternateContent>
  <bookViews>
    <workbookView xWindow="0" yWindow="0" windowWidth="20490" windowHeight="7755" tabRatio="749"/>
  </bookViews>
  <sheets>
    <sheet name="GRAND SUMMARY" sheetId="2" r:id="rId1"/>
    <sheet name="HVAC BOQ" sheetId="13" r:id="rId2"/>
    <sheet name="Data Center AC work" sheetId="17" r:id="rId3"/>
    <sheet name="FSS - BOQ" sheetId="1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a">#N/A</definedName>
    <definedName name="\b">#N/A</definedName>
    <definedName name="\c">#N/A</definedName>
    <definedName name="\p">#N/A</definedName>
    <definedName name="\s">#N/A</definedName>
    <definedName name="\z">#N/A</definedName>
    <definedName name="_______hp10"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ig541">#REF!</definedName>
    <definedName name="_____hp10" hidden="1">{#N/A,#N/A,TRUE,"Front";#N/A,#N/A,TRUE,"Simple Letter";#N/A,#N/A,TRUE,"Inside";#N/A,#N/A,TRUE,"Contents";#N/A,#N/A,TRUE,"Basis";#N/A,#N/A,TRUE,"Inclusions";#N/A,#N/A,TRUE,"Exclusions";#N/A,#N/A,TRUE,"Areas";#N/A,#N/A,TRUE,"Summary";#N/A,#N/A,TRUE,"Detail"}</definedName>
    <definedName name="_____ig541">#REF!</definedName>
    <definedName name="____d2" hidden="1">{#N/A,#N/A,FALSE,"mgtsum.XLS";#N/A,#N/A,FALSE,"CAPONE";#N/A,#N/A,FALSE,"CAPTWO";#N/A,#N/A,FALSE,"CAPTHREE"}</definedName>
    <definedName name="____hp10" hidden="1">{#N/A,#N/A,TRUE,"Front";#N/A,#N/A,TRUE,"Simple Letter";#N/A,#N/A,TRUE,"Inside";#N/A,#N/A,TRUE,"Contents";#N/A,#N/A,TRUE,"Basis";#N/A,#N/A,TRUE,"Inclusions";#N/A,#N/A,TRUE,"Exclusions";#N/A,#N/A,TRUE,"Areas";#N/A,#N/A,TRUE,"Summary";#N/A,#N/A,TRUE,"Detail"}</definedName>
    <definedName name="____ig541">#REF!</definedName>
    <definedName name="___d2" hidden="1">{#N/A,#N/A,FALSE,"mgtsum.XLS";#N/A,#N/A,FALSE,"CAPONE";#N/A,#N/A,FALSE,"CAPTWO";#N/A,#N/A,FALSE,"CAPTHREE"}</definedName>
    <definedName name="___hp10" hidden="1">{#N/A,#N/A,TRUE,"Front";#N/A,#N/A,TRUE,"Simple Letter";#N/A,#N/A,TRUE,"Inside";#N/A,#N/A,TRUE,"Contents";#N/A,#N/A,TRUE,"Basis";#N/A,#N/A,TRUE,"Inclusions";#N/A,#N/A,TRUE,"Exclusions";#N/A,#N/A,TRUE,"Areas";#N/A,#N/A,TRUE,"Summary";#N/A,#N/A,TRUE,"Detail"}</definedName>
    <definedName name="___ig541">#REF!</definedName>
    <definedName name="__d2" hidden="1">{#N/A,#N/A,FALSE,"mgtsum.XLS";#N/A,#N/A,FALSE,"CAPONE";#N/A,#N/A,FALSE,"CAPTWO";#N/A,#N/A,FALSE,"CAPTHREE"}</definedName>
    <definedName name="__FDS_HYPERLINK_TOGGLE_STATE__" hidden="1">"ON"</definedName>
    <definedName name="__hp10" hidden="1">{#N/A,#N/A,TRUE,"Front";#N/A,#N/A,TRUE,"Simple Letter";#N/A,#N/A,TRUE,"Inside";#N/A,#N/A,TRUE,"Contents";#N/A,#N/A,TRUE,"Basis";#N/A,#N/A,TRUE,"Inclusions";#N/A,#N/A,TRUE,"Exclusions";#N/A,#N/A,TRUE,"Areas";#N/A,#N/A,TRUE,"Summary";#N/A,#N/A,TRUE,"Detail"}</definedName>
    <definedName name="__ig541">#REF!</definedName>
    <definedName name="__key2" hidden="1">#REF!</definedName>
    <definedName name="_1__123Graph_AChart_1AJ" hidden="1">#REF!</definedName>
    <definedName name="_2__123Graph_AChart_1Q" hidden="1">#REF!</definedName>
    <definedName name="_3__123Graph_BChart_1Q" hidden="1">#REF!</definedName>
    <definedName name="_30cd___Horizontal_Strobe_light_speaker__wall_mounted">#REF!</definedName>
    <definedName name="_30cd__Vertical_strobe_light__wall_mounted">#REF!</definedName>
    <definedName name="_96.12.30">'[1]Fee Rate Summary'!#REF!</definedName>
    <definedName name="_A">#N/A</definedName>
    <definedName name="_am1">[2]Costcal!#REF!</definedName>
    <definedName name="_B">#N/A</definedName>
    <definedName name="_d2" hidden="1">{#N/A,#N/A,FALSE,"mgtsum.XLS";#N/A,#N/A,FALSE,"CAPONE";#N/A,#N/A,FALSE,"CAPTWO";#N/A,#N/A,FALSE,"CAPTHREE"}</definedName>
    <definedName name="_Fill" hidden="1">#REF!</definedName>
    <definedName name="_xlnm._FilterDatabase" localSheetId="1" hidden="1">'HVAC BOQ'!$C$13:$H$86</definedName>
    <definedName name="_hp10" hidden="1">{#N/A,#N/A,TRUE,"Front";#N/A,#N/A,TRUE,"Simple Letter";#N/A,#N/A,TRUE,"Inside";#N/A,#N/A,TRUE,"Contents";#N/A,#N/A,TRUE,"Basis";#N/A,#N/A,TRUE,"Inclusions";#N/A,#N/A,TRUE,"Exclusions";#N/A,#N/A,TRUE,"Areas";#N/A,#N/A,TRUE,"Summary";#N/A,#N/A,TRUE,"Detail"}</definedName>
    <definedName name="_ig541">#REF!</definedName>
    <definedName name="_Key1" hidden="1">#REF!</definedName>
    <definedName name="_Key2" hidden="1">#REF!</definedName>
    <definedName name="_L1" hidden="1">{#N/A,#N/A,FALSE,"mgtsum.XLS";#N/A,#N/A,FALSE,"CAPONE";#N/A,#N/A,FALSE,"CAPTWO";#N/A,#N/A,FALSE,"CAPTHREE"}</definedName>
    <definedName name="_Order1" hidden="1">255</definedName>
    <definedName name="_Order2" hidden="1">255</definedName>
    <definedName name="_Sort" hidden="1">#REF!</definedName>
    <definedName name="_Table2_In1" hidden="1">#REF!</definedName>
    <definedName name="_Table2_In2" hidden="1">#REF!</definedName>
    <definedName name="_Table2_Out" hidden="1">#REF!</definedName>
    <definedName name="a">'[3]Bill 1'!$A$4:$F$29</definedName>
    <definedName name="aa">#REF!</definedName>
    <definedName name="aaa" hidden="1">{#N/A,#N/A,FALSE,"mgtsum.XLS";#N/A,#N/A,FALSE,"CAPONE";#N/A,#N/A,FALSE,"CAPTWO";#N/A,#N/A,FALSE,"CAPTHREE"}</definedName>
    <definedName name="aakdf" hidden="1">{#N/A,#N/A,FALSE,"mgtsum.XLS";#N/A,#N/A,FALSE,"CAPONE";#N/A,#N/A,FALSE,"CAPTWO";#N/A,#N/A,FALSE,"CAPTHREE"}</definedName>
    <definedName name="abcdefg" hidden="1">{#N/A,#N/A,FALSE,"mgtsum.XLS";#N/A,#N/A,FALSE,"CAPONE";#N/A,#N/A,FALSE,"CAPTWO";#N/A,#N/A,FALSE,"CAPTHREE"}</definedName>
    <definedName name="abcxyz" hidden="1">{#N/A,#N/A,FALSE,"mgtsum.XLS";#N/A,#N/A,FALSE,"CAPONE";#N/A,#N/A,FALSE,"CAPTWO";#N/A,#N/A,FALSE,"CAPTHREE"}</definedName>
    <definedName name="Abs" hidden="1">#REF!</definedName>
    <definedName name="AccessDatabase" hidden="1">"C:\data\excel\temp.mdb"</definedName>
    <definedName name="aD" hidden="1">{#N/A,#N/A,FALSE,"mgtsum.XLS";#N/A,#N/A,FALSE,"CAPONE";#N/A,#N/A,FALSE,"CAPTWO";#N/A,#N/A,FALSE,"CAPTHREE"}</definedName>
    <definedName name="Alarm_current_Amp_In_Minutes">#REF!</definedName>
    <definedName name="ALLLLLLLLL" hidden="1">{#N/A,#N/A,TRUE,"Front";#N/A,#N/A,TRUE,"Simple Letter";#N/A,#N/A,TRUE,"Inside";#N/A,#N/A,TRUE,"Contents";#N/A,#N/A,TRUE,"Basis";#N/A,#N/A,TRUE,"Inclusions";#N/A,#N/A,TRUE,"Exclusions";#N/A,#N/A,TRUE,"Areas";#N/A,#N/A,TRUE,"Summary";#N/A,#N/A,TRUE,"Detail"}</definedName>
    <definedName name="am">[2]Costcal!#REF!</definedName>
    <definedName name="anscount" hidden="1">1</definedName>
    <definedName name="ARCHITECTURAL">#REF!</definedName>
    <definedName name="ASDFSDFF" hidden="1">{#N/A,#N/A,FALSE,"mgtsum.XLS";#N/A,#N/A,FALSE,"CAPONE";#N/A,#N/A,FALSE,"CAPTWO";#N/A,#N/A,FALSE,"CAPTHREE"}</definedName>
    <definedName name="ASFS" hidden="1">{#N/A,#N/A,FALSE,"mgtsum.XLS";#N/A,#N/A,FALSE,"CAPONE";#N/A,#N/A,FALSE,"CAPTWO";#N/A,#N/A,FALSE,"CAPTHREE"}</definedName>
    <definedName name="B">#REF!</definedName>
    <definedName name="bbb">#REF!</definedName>
    <definedName name="BeginBorder">#REF!</definedName>
    <definedName name="BELL__Polarised">#REF!</definedName>
    <definedName name="Blank3" hidden="1">[4]Sheet1!$AI$6</definedName>
    <definedName name="Blank4" hidden="1">[4]Sheet1!$AJ$6</definedName>
    <definedName name="Blank5" hidden="1">[4]Sheet1!$AK$6</definedName>
    <definedName name="Blank6" hidden="1">[4]Sheet1!$AL$6</definedName>
    <definedName name="Blank7" hidden="1">[4]Sheet1!$AM$6</definedName>
    <definedName name="Blank8" hidden="1">[4]Sheet1!$AN$6</definedName>
    <definedName name="box_speaker">#REF!</definedName>
    <definedName name="BuiltIn_Print_Area___0">#REF!</definedName>
    <definedName name="cabinet">#REF!</definedName>
    <definedName name="CABLE">#REF!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eiling_speaker">#REF!</definedName>
    <definedName name="Ceiling_Speaker_Unsupervised">#REF!</definedName>
    <definedName name="cf" hidden="1">{#N/A,#N/A,TRUE,"Front";#N/A,#N/A,TRUE,"Simple Letter";#N/A,#N/A,TRUE,"Inside";#N/A,#N/A,TRUE,"Contents";#N/A,#N/A,TRUE,"Basis";#N/A,#N/A,TRUE,"Inclusions";#N/A,#N/A,TRUE,"Exclusions";#N/A,#N/A,TRUE,"Areas";#N/A,#N/A,TRUE,"Summary";#N/A,#N/A,TRUE,"Detail"}</definedName>
    <definedName name="check">City&amp;" "&amp;State</definedName>
    <definedName name="CIVIL">#REF!</definedName>
    <definedName name="CompanyName2" hidden="1">[4]Sheet1!$J$6</definedName>
    <definedName name="CompRange1Main" hidden="1">[4]Sheet1!$H$1:$H$65536</definedName>
    <definedName name="CompRange2Main" hidden="1">[4]Sheet1!$K$1:$K$65536</definedName>
    <definedName name="ControlFunction">[5]Admin!$B$1:$B$17</definedName>
    <definedName name="CSDCSDSAS" hidden="1">#REF!</definedName>
    <definedName name="D" hidden="1">{#N/A,#N/A,TRUE,"Front";#N/A,#N/A,TRUE,"Simple Letter";#N/A,#N/A,TRUE,"Inside";#N/A,#N/A,TRUE,"Contents";#N/A,#N/A,TRUE,"Basis";#N/A,#N/A,TRUE,"Inclusions";#N/A,#N/A,TRUE,"Exclusions";#N/A,#N/A,TRUE,"Areas";#N/A,#N/A,TRUE,"Summary";#N/A,#N/A,TRUE,"Detail"}</definedName>
    <definedName name="d31z" hidden="1">{#N/A,#N/A,FALSE,"mgtsum.XLS";#N/A,#N/A,FALSE,"CAPONE";#N/A,#N/A,FALSE,"CAPTWO";#N/A,#N/A,FALSE,"CAPTHREE"}</definedName>
    <definedName name="_xlnm.Database">#REF!</definedName>
    <definedName name="Date">'[6]Fill this out first...'!$D$14</definedName>
    <definedName name="DateRangeCompMain" hidden="1">[4]Sheet1!$F$1:$F$65536</definedName>
    <definedName name="DEPTH">#REF!</definedName>
    <definedName name="DHTML" hidden="1">{"'Sheet1'!$A$4386:$N$4591"}</definedName>
    <definedName name="dlist" localSheetId="1">#REF!</definedName>
    <definedName name="dlist">#REF!</definedName>
    <definedName name="ELECTRICAL">#REF!</definedName>
    <definedName name="EndBorder">#REF!</definedName>
    <definedName name="Excavation_for_foundations__substructures__trenches__sumps__tunnels__pits_etc._in_all_types_of_ordinary_and_hard_soils_including_hard_murum__including_necessary_shoring__strutting__stacking_selected_material_for_backfilling_or_disposing_excess_excavated_m">[7]GBW!#REF!</definedName>
    <definedName name="Excel_BuiltIn_Print_Titles_13">'[8]extra work elec bill '!#REF!</definedName>
    <definedName name="f">'[8]extra work elec bill '!#REF!</definedName>
    <definedName name="fd" hidden="1">{"'Sheet1'!$A$4386:$N$4591"}</definedName>
    <definedName name="FIRE">#REF!</definedName>
    <definedName name="fsd" hidden="1">{#N/A,#N/A,FALSE,"mgtsum.XLS";#N/A,#N/A,FALSE,"CAPONE";#N/A,#N/A,FALSE,"CAPTWO";#N/A,#N/A,FALSE,"CAPTHREE"}</definedName>
    <definedName name="fsds" hidden="1">{#N/A,#N/A,FALSE,"mgtsum.XLS";#N/A,#N/A,FALSE,"CAPONE";#N/A,#N/A,FALSE,"CAPTWO";#N/A,#N/A,FALSE,"CAPTHREE"}</definedName>
    <definedName name="gjgf">City&amp;" "&amp;State</definedName>
    <definedName name="Horn_Speaker">#REF!</definedName>
    <definedName name="HTML_CodePage" hidden="1">1252</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V">#REF!</definedName>
    <definedName name="ING" hidden="1">{#N/A,#N/A,TRUE,"Front";#N/A,#N/A,TRUE,"Simple Letter";#N/A,#N/A,TRUE,"Inside";#N/A,#N/A,TRUE,"Contents";#N/A,#N/A,TRUE,"Basis";#N/A,#N/A,TRUE,"Inclusions";#N/A,#N/A,TRUE,"Exclusions";#N/A,#N/A,TRUE,"Areas";#N/A,#N/A,TRUE,"Summary";#N/A,#N/A,TRUE,"Detail"}</definedName>
    <definedName name="Interio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39125.8198842593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jkjkjkj">#REF!</definedName>
    <definedName name="la" hidden="1">{#N/A,#N/A,TRUE,"Front";#N/A,#N/A,TRUE,"Simple Letter";#N/A,#N/A,TRUE,"Inside";#N/A,#N/A,TRUE,"Contents";#N/A,#N/A,TRUE,"Basis";#N/A,#N/A,TRUE,"Inclusions";#N/A,#N/A,TRUE,"Exclusions";#N/A,#N/A,TRUE,"Areas";#N/A,#N/A,TRUE,"Summary";#N/A,#N/A,TRUE,"Detail"}</definedName>
    <definedName name="LALA" hidden="1">{#N/A,#N/A,TRUE,"Front";#N/A,#N/A,TRUE,"Simple Letter";#N/A,#N/A,TRUE,"Inside";#N/A,#N/A,TRUE,"Contents";#N/A,#N/A,TRUE,"Basis";#N/A,#N/A,TRUE,"Inclusions";#N/A,#N/A,TRUE,"Exclusions";#N/A,#N/A,TRUE,"Areas";#N/A,#N/A,TRUE,"Summary";#N/A,#N/A,TRUE,"Detail"}</definedName>
    <definedName name="limcount" hidden="1">1</definedName>
    <definedName name="list" localSheetId="1">#REF!</definedName>
    <definedName name="list">#REF!</definedName>
    <definedName name="lk" hidden="1">{#N/A,#N/A,FALSE,"mgtsum.XLS";#N/A,#N/A,FALSE,"CAPONE";#N/A,#N/A,FALSE,"CAPTWO";#N/A,#N/A,FALSE,"CAPTHREE"}</definedName>
    <definedName name="LLALALLA" hidden="1">{#N/A,#N/A,TRUE,"Front";#N/A,#N/A,TRUE,"Simple Letter";#N/A,#N/A,TRUE,"Inside";#N/A,#N/A,TRUE,"Contents";#N/A,#N/A,TRUE,"Basis";#N/A,#N/A,TRUE,"Inclusions";#N/A,#N/A,TRUE,"Exclusions";#N/A,#N/A,TRUE,"Areas";#N/A,#N/A,TRUE,"Summary";#N/A,#N/A,TRUE,"Detail"}</definedName>
    <definedName name="Location">City&amp;" "&amp;State</definedName>
    <definedName name="LSD_4100">#REF!</definedName>
    <definedName name="Lump_Sum_Discount">#REF!</definedName>
    <definedName name="mak" hidden="1">#REF!</definedName>
    <definedName name="Mandatory">[9]Admin!$R$1:$R$2</definedName>
    <definedName name="Measr">#REF!</definedName>
    <definedName name="MECHANICAL">#REF!</definedName>
    <definedName name="Nitin" hidden="1">'[10]Sheet3 (2)'!$A$60:$A$76</definedName>
    <definedName name="nnn">#REF!</definedName>
    <definedName name="nnnnm">#REF!</definedName>
    <definedName name="okay" hidden="1">{#N/A,#N/A,FALSE,"mgtsum.XLS";#N/A,#N/A,FALSE,"CAPONE";#N/A,#N/A,FALSE,"CAPTWO";#N/A,#N/A,FALSE,"CAPTHREE"}</definedName>
    <definedName name="ooopp">#REF!</definedName>
    <definedName name="P1R">'[6]Fill this out first...'!#REF!</definedName>
    <definedName name="P2R">'[6]Fill this out first...'!#REF!</definedName>
    <definedName name="P3R">'[6]Fill this out first...'!#REF!</definedName>
    <definedName name="P4R">'[6]Fill this out first...'!#REF!</definedName>
    <definedName name="P5R">'[6]Fill this out first...'!#REF!</definedName>
    <definedName name="parse" hidden="1">#REF!</definedName>
    <definedName name="PhaseCode">'[6]Fill this out first...'!$D$17</definedName>
    <definedName name="PrevYears">'[6]Fill this out first...'!#REF!</definedName>
    <definedName name="_xlnm.Print_Area" localSheetId="3">'FSS - BOQ'!$A$1:$K$29</definedName>
    <definedName name="_xlnm.Print_Area" localSheetId="0">'GRAND SUMMARY'!$A$1:$C$26</definedName>
    <definedName name="_xlnm.Print_Area" localSheetId="1">'HVAC BOQ'!$A$1:$K$86</definedName>
    <definedName name="_xlnm.Print_Area">#REF!</definedName>
    <definedName name="Print_Area_MI" localSheetId="3">#REF!</definedName>
    <definedName name="Print_Area_MI">#REF!</definedName>
    <definedName name="_xlnm.Print_Titles" localSheetId="3">'FSS - BOQ'!$1:$8</definedName>
    <definedName name="_xlnm.Print_Titles" localSheetId="1">'HVAC BOQ'!$1:$8</definedName>
    <definedName name="ProjectLocation">'[6]Fill this out first...'!$D$10</definedName>
    <definedName name="ProjectNumber">'[6]Fill this out first...'!$D$16</definedName>
    <definedName name="ProjectSubtitle">'[6]Fill this out first...'!$D$9</definedName>
    <definedName name="ProjectTitle">'[6]Fill this out first...'!$D$8</definedName>
    <definedName name="PUB_FileID" hidden="1">"L10003363.xls"</definedName>
    <definedName name="PUB_UserID" hidden="1">"MAYERX"</definedName>
    <definedName name="qq" hidden="1">{#N/A,#N/A,FALSE,"mgtsum.XLS";#N/A,#N/A,FALSE,"CAPONE";#N/A,#N/A,FALSE,"CAPTWO";#N/A,#N/A,FALSE,"CAPTHREE"}</definedName>
    <definedName name="Rate">#REF!</definedName>
    <definedName name="Regional" hidden="1">{#N/A,#N/A,FALSE,"mgtsum.XLS";#N/A,#N/A,FALSE,"CAPONE";#N/A,#N/A,FALSE,"CAPTWO";#N/A,#N/A,FALSE,"CAPTHREE"}</definedName>
    <definedName name="reuse" hidden="1">{#N/A,#N/A,FALSE,"mgtsum.XLS";#N/A,#N/A,FALSE,"CAPONE";#N/A,#N/A,FALSE,"CAPTWO";#N/A,#N/A,FALSE,"CAPTHREE"}</definedName>
    <definedName name="SAFSF" hidden="1">{#N/A,#N/A,FALSE,"mgtsum.XLS";#N/A,#N/A,FALSE,"CAPONE";#N/A,#N/A,FALSE,"CAPTWO";#N/A,#N/A,FALSE,"CAPTHREE"}</definedName>
    <definedName name="SDAF" hidden="1">{#N/A,#N/A,FALSE,"mgtsum.XLS";#N/A,#N/A,FALSE,"CAPONE";#N/A,#N/A,FALSE,"CAPTWO";#N/A,#N/A,FALSE,"CAPTHREE"}</definedName>
    <definedName name="sdf" hidden="1">{#N/A,#N/A,FALSE,"mgtsum.XLS";#N/A,#N/A,FALSE,"CAPONE";#N/A,#N/A,FALSE,"CAPTWO";#N/A,#N/A,FALSE,"CAPTHREE"}</definedName>
    <definedName name="sencount" hidden="1">1</definedName>
    <definedName name="SITEWORKS">#REF!</definedName>
    <definedName name="ska"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RB" hidden="1">{"'Sheet1'!$A$4386:$N$4591"}</definedName>
    <definedName name="ss">#REF!</definedName>
    <definedName name="Stage">'[6]Fill this out first...'!$D$12</definedName>
    <definedName name="STRUCTURAL">#REF!</definedName>
    <definedName name="Table1">#REF!</definedName>
    <definedName name="Table2">#REF!</definedName>
    <definedName name="Table3">#REF!</definedName>
    <definedName name="Table4">#REF!</definedName>
    <definedName name="Table5">#REF!</definedName>
    <definedName name="tem" hidden="1">{#N/A,#N/A,TRUE,"Front";#N/A,#N/A,TRUE,"Simple Letter";#N/A,#N/A,TRUE,"Inside";#N/A,#N/A,TRUE,"Contents";#N/A,#N/A,TRUE,"Basis";#N/A,#N/A,TRUE,"Inclusions";#N/A,#N/A,TRUE,"Exclusions";#N/A,#N/A,TRUE,"Areas";#N/A,#N/A,TRUE,"Summary";#N/A,#N/A,TRUE,"Detail"}</definedName>
    <definedName name="TEMP">#REF!</definedName>
    <definedName name="temp1" hidden="1">{#N/A,#N/A,TRUE,"Front";#N/A,#N/A,TRUE,"Simple Letter";#N/A,#N/A,TRUE,"Inside";#N/A,#N/A,TRUE,"Contents";#N/A,#N/A,TRUE,"Basis";#N/A,#N/A,TRUE,"Inclusions";#N/A,#N/A,TRUE,"Exclusions";#N/A,#N/A,TRUE,"Areas";#N/A,#N/A,TRUE,"Summary";#N/A,#N/A,TRUE,"Detail"}</definedName>
    <definedName name="TO" localSheetId="1">#REF!</definedName>
    <definedName name="TO">#REF!</definedName>
    <definedName name="tty">City&amp;" "&amp;State</definedName>
    <definedName name="type">'[6]Fill this out first...'!$D$13</definedName>
    <definedName name="valve2">#REF!</definedName>
    <definedName name="valve3">#REF!</definedName>
    <definedName name="valves">#REF!</definedName>
    <definedName name="vvv">#REF!</definedName>
    <definedName name="w">#REF!</definedName>
    <definedName name="wqd" hidden="1">{#N/A,#N/A,FALSE,"mgtsum.XLS";#N/A,#N/A,FALSE,"CAPONE";#N/A,#N/A,FALSE,"CAPTWO";#N/A,#N/A,FALSE,"CAPTHREE"}</definedName>
    <definedName name="wrn.ALL." hidden="1">{#N/A,#N/A,FALSE,"Engr Data";#N/A,#N/A,FALSE,"Engr Cur";#N/A,#N/A,FALSE,"DsnDraft";#N/A,#N/A,FALSE,"DsnDftCur";#N/A,#N/A,FALSE,"Supports";#N/A,#N/A,FALSE,"SptCur";#N/A,#N/A,FALSE,"Total";#N/A,#N/A,FALSE,"TotCur";#N/A,#N/A,FALSE,"Client";#N/A,#N/A,FALSE,"Instructions"}</definedName>
    <definedName name="wrn.clntrpt." hidden="1">{#N/A,#N/A,FALSE,"CLIENT HOPSR";#N/A,#N/A,FALSE,"JEG GRAPH";#N/A,#N/A,FALSE,"PROCESS";#N/A,#N/A,FALSE,"CIVIL";#N/A,#N/A,FALSE,"ELECTRICAL";#N/A,#N/A,FALSE,"CNTRL SYS";#N/A,#N/A,FALSE,"MECH";#N/A,#N/A,FALSE,"PIPE"}</definedName>
    <definedName name="wrn.Detail." hidden="1">{"Detail",#N/A,FALSE,"Assump";"Detail",#N/A,FALSE,"Muni";"Detail",#N/A,FALSE,"Proj";"Detail",#N/A,FALSE,"Calc";"Present",#N/A,FALSE,"Cover"}</definedName>
    <definedName name="wrn.Full._.Report." hidden="1">{#N/A,#N/A,TRUE,"Front";#N/A,#N/A,TRUE,"Simple Letter";#N/A,#N/A,TRUE,"Inside";#N/A,#N/A,TRUE,"Contents";#N/A,#N/A,TRUE,"Basis";#N/A,#N/A,TRUE,"Inclusions";#N/A,#N/A,TRUE,"Exclusions";#N/A,#N/A,TRUE,"Areas";#N/A,#N/A,TRUE,"Summary";#N/A,#N/A,TRUE,"Detail"}</definedName>
    <definedName name="wrn.GENSERV." hidden="1">{#N/A,#N/A,FALSE,"VISTAF"}</definedName>
    <definedName name="wrn.jegrpt." hidden="1">{#N/A,#N/A,FALSE,"PJT STATUS RVW";#N/A,#N/A,FALSE,"MAPS CKLIST";#N/A,#N/A,FALSE,"HOPSR-BASE-IHOCS";#N/A,#N/A,FALSE,"HOPSR-BASE FOR REPORT";#N/A,#N/A,FALSE,"GEN SERVICES";#N/A,#N/A,FALSE,"FINANCIAL";#N/A,#N/A,FALSE,"CONTRACT CURVES";#N/A,#N/A,FALSE,"JEG GRAPH";#N/A,#N/A,FALSE,"JEG GRAPH (2)"}</definedName>
    <definedName name="wrn.MARGIN." hidden="1">{#N/A,#N/A,FALSE,"VISTAF"}</definedName>
    <definedName name="wrn.mhrfcst." hidden="1">{#N/A,#N/A,FALSE,"MANHR FCST-BASE"}</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resent." hidden="1">{"Present",#N/A,FALSE,"Assump";"Present",#N/A,FALSE,"Calc";"Present",#N/A,FALSE,"Cover"}</definedName>
    <definedName name="wwwww" hidden="1">#REF!</definedName>
    <definedName name="x">'[1]Fee Rate Summary'!#REF!</definedName>
    <definedName name="X980210_payment_printing_List">#REF!</definedName>
    <definedName name="z" hidden="1">{#N/A,#N/A,TRUE,"Front";#N/A,#N/A,TRUE,"Simple Letter";#N/A,#N/A,TRUE,"Inside";#N/A,#N/A,TRUE,"Contents";#N/A,#N/A,TRUE,"Basis";#N/A,#N/A,TRUE,"Inclusions";#N/A,#N/A,TRUE,"Exclusions";#N/A,#N/A,TRUE,"Areas";#N/A,#N/A,TRUE,"Summary";#N/A,#N/A,TRUE,"Detail"}</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zz">#REF!</definedName>
    <definedName name="ZZZZZZZZZZZZZZ" hidden="1">#REF!</definedName>
    <definedName name="っｋ" hidden="1">#REF!</definedName>
  </definedNames>
  <calcPr calcId="15251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3" i="2" l="1"/>
  <c r="C12" i="2"/>
  <c r="I64" i="17"/>
  <c r="G64" i="17"/>
  <c r="I63" i="17"/>
  <c r="G63" i="17"/>
  <c r="I62" i="17"/>
  <c r="G62" i="17"/>
  <c r="I60" i="17"/>
  <c r="G60" i="17"/>
  <c r="I58" i="17"/>
  <c r="G58" i="17"/>
  <c r="I56" i="17"/>
  <c r="G56" i="17"/>
  <c r="I54" i="17"/>
  <c r="G54" i="17"/>
  <c r="I51" i="17"/>
  <c r="G51" i="17"/>
  <c r="I50" i="17"/>
  <c r="G50" i="17"/>
  <c r="I49" i="17"/>
  <c r="G49" i="17"/>
  <c r="I48" i="17"/>
  <c r="G48" i="17"/>
  <c r="I45" i="17"/>
  <c r="G45" i="17"/>
  <c r="I13" i="17"/>
  <c r="J13" i="17" s="1"/>
  <c r="G13" i="17"/>
  <c r="I12" i="17"/>
  <c r="G12" i="17"/>
  <c r="C48" i="17"/>
  <c r="C34" i="17"/>
  <c r="E32" i="17"/>
  <c r="E34" i="17" s="1"/>
  <c r="E36" i="17" s="1"/>
  <c r="G36" i="17" s="1"/>
  <c r="C21" i="17"/>
  <c r="C23" i="17" s="1"/>
  <c r="E19" i="17"/>
  <c r="E21" i="17" s="1"/>
  <c r="E23" i="17" s="1"/>
  <c r="G23" i="17" s="1"/>
  <c r="D15" i="17"/>
  <c r="A14" i="17"/>
  <c r="A16" i="17" s="1"/>
  <c r="D13" i="17"/>
  <c r="D12" i="17"/>
  <c r="B12" i="17"/>
  <c r="B13" i="17" s="1"/>
  <c r="I34" i="17" l="1"/>
  <c r="J48" i="17"/>
  <c r="I21" i="17"/>
  <c r="I19" i="17"/>
  <c r="I23" i="17"/>
  <c r="J23" i="17" s="1"/>
  <c r="I32" i="17"/>
  <c r="J32" i="17" s="1"/>
  <c r="I36" i="17"/>
  <c r="D19" i="17"/>
  <c r="D34" i="17"/>
  <c r="G21" i="17"/>
  <c r="J21" i="17" s="1"/>
  <c r="G34" i="17"/>
  <c r="G19" i="17"/>
  <c r="G32" i="17"/>
  <c r="J51" i="17"/>
  <c r="J64" i="17"/>
  <c r="J63" i="17"/>
  <c r="J62" i="17"/>
  <c r="J60" i="17"/>
  <c r="J58" i="17"/>
  <c r="J56" i="17"/>
  <c r="J54" i="17"/>
  <c r="J50" i="17"/>
  <c r="J49" i="17"/>
  <c r="J45" i="17"/>
  <c r="J36" i="17"/>
  <c r="J34" i="17"/>
  <c r="J12" i="17"/>
  <c r="E27" i="17"/>
  <c r="E24" i="17"/>
  <c r="B18" i="17"/>
  <c r="B20" i="17" s="1"/>
  <c r="B22" i="17" s="1"/>
  <c r="B24" i="17" s="1"/>
  <c r="B25" i="17" s="1"/>
  <c r="B26" i="17" s="1"/>
  <c r="B28" i="17" s="1"/>
  <c r="B29" i="17" s="1"/>
  <c r="B31" i="17" s="1"/>
  <c r="B33" i="17" s="1"/>
  <c r="B35" i="17" s="1"/>
  <c r="B37" i="17" s="1"/>
  <c r="B39" i="17" s="1"/>
  <c r="B41" i="17" s="1"/>
  <c r="B42" i="17" s="1"/>
  <c r="B43" i="17" s="1"/>
  <c r="A44" i="17"/>
  <c r="D23" i="17"/>
  <c r="E38" i="17"/>
  <c r="E40" i="17"/>
  <c r="D21" i="17"/>
  <c r="C36" i="17"/>
  <c r="D32" i="17"/>
  <c r="B15" i="17"/>
  <c r="J19" i="17" l="1"/>
  <c r="I38" i="17"/>
  <c r="J38" i="17" s="1"/>
  <c r="G38" i="17"/>
  <c r="I24" i="17"/>
  <c r="G24" i="17"/>
  <c r="G27" i="17"/>
  <c r="I27" i="17"/>
  <c r="G40" i="17"/>
  <c r="I40" i="17"/>
  <c r="A46" i="17"/>
  <c r="B45" i="17"/>
  <c r="E41" i="17"/>
  <c r="D40" i="17"/>
  <c r="E25" i="17"/>
  <c r="D24" i="17"/>
  <c r="D36" i="17"/>
  <c r="C38" i="17"/>
  <c r="D38" i="17" s="1"/>
  <c r="E28" i="17"/>
  <c r="D27" i="17"/>
  <c r="I41" i="17" l="1"/>
  <c r="G41" i="17"/>
  <c r="J24" i="17"/>
  <c r="G28" i="17"/>
  <c r="I28" i="17"/>
  <c r="D25" i="17"/>
  <c r="G25" i="17"/>
  <c r="I25" i="17"/>
  <c r="J25" i="17" s="1"/>
  <c r="J27" i="17"/>
  <c r="J40" i="17"/>
  <c r="D41" i="17"/>
  <c r="E42" i="17"/>
  <c r="E43" i="17"/>
  <c r="E29" i="17"/>
  <c r="D28" i="17"/>
  <c r="A49" i="17"/>
  <c r="A50" i="17" s="1"/>
  <c r="A51" i="17" s="1"/>
  <c r="A52" i="17" s="1"/>
  <c r="B48" i="17"/>
  <c r="J28" i="17" l="1"/>
  <c r="I29" i="17"/>
  <c r="G29" i="17"/>
  <c r="I43" i="17"/>
  <c r="G43" i="17"/>
  <c r="J41" i="17"/>
  <c r="G42" i="17"/>
  <c r="I42" i="17"/>
  <c r="B53" i="17"/>
  <c r="B55" i="17" s="1"/>
  <c r="A57" i="17"/>
  <c r="J43" i="17" l="1"/>
  <c r="J42" i="17"/>
  <c r="J29" i="17"/>
  <c r="J65" i="17" s="1"/>
  <c r="A59" i="17"/>
  <c r="B58" i="17"/>
  <c r="B60" i="17" l="1"/>
  <c r="A61" i="17"/>
  <c r="J12" i="13"/>
  <c r="H12" i="13"/>
  <c r="J11" i="13"/>
  <c r="H11" i="13"/>
  <c r="D12" i="13"/>
  <c r="D11" i="13"/>
  <c r="B11" i="13"/>
  <c r="B12" i="13" s="1"/>
  <c r="A63" i="17" l="1"/>
  <c r="A64" i="17" s="1"/>
  <c r="B62" i="17"/>
  <c r="K11" i="13"/>
  <c r="K12" i="13"/>
  <c r="J28" i="14"/>
  <c r="H28" i="14"/>
  <c r="K28" i="14" s="1"/>
  <c r="J27" i="14"/>
  <c r="K27" i="14" s="1"/>
  <c r="H27" i="14"/>
  <c r="J26" i="14"/>
  <c r="H26" i="14"/>
  <c r="J25" i="14"/>
  <c r="H25" i="14"/>
  <c r="J24" i="14"/>
  <c r="H24" i="14"/>
  <c r="J23" i="14"/>
  <c r="K23" i="14" s="1"/>
  <c r="H23" i="14"/>
  <c r="J22" i="14"/>
  <c r="H22" i="14"/>
  <c r="J21" i="14"/>
  <c r="K21" i="14" s="1"/>
  <c r="H21" i="14"/>
  <c r="J20" i="14"/>
  <c r="H20" i="14"/>
  <c r="J19" i="14"/>
  <c r="H19" i="14"/>
  <c r="J18" i="14"/>
  <c r="H18" i="14"/>
  <c r="J17" i="14"/>
  <c r="K17" i="14" s="1"/>
  <c r="H17" i="14"/>
  <c r="J16" i="14"/>
  <c r="H16" i="14"/>
  <c r="J15" i="14"/>
  <c r="H15" i="14"/>
  <c r="J14" i="14"/>
  <c r="H14" i="14"/>
  <c r="J13" i="14"/>
  <c r="H13" i="14"/>
  <c r="H12" i="14"/>
  <c r="J12" i="14"/>
  <c r="K18" i="14" l="1"/>
  <c r="K16" i="14"/>
  <c r="K26" i="14"/>
  <c r="K25" i="14"/>
  <c r="K24" i="14"/>
  <c r="K22" i="14"/>
  <c r="K20" i="14"/>
  <c r="K19" i="14"/>
  <c r="K15" i="14"/>
  <c r="K12" i="14"/>
  <c r="K14" i="14"/>
  <c r="K13" i="14"/>
  <c r="J85" i="13"/>
  <c r="H85" i="13"/>
  <c r="J84" i="13"/>
  <c r="H84" i="13"/>
  <c r="J83" i="13"/>
  <c r="H83" i="13"/>
  <c r="J82" i="13"/>
  <c r="H82" i="13"/>
  <c r="J81" i="13"/>
  <c r="H81" i="13"/>
  <c r="J79" i="13"/>
  <c r="H79" i="13"/>
  <c r="J78" i="13"/>
  <c r="H78" i="13"/>
  <c r="J77" i="13"/>
  <c r="H77" i="13"/>
  <c r="J75" i="13"/>
  <c r="H75" i="13"/>
  <c r="J74" i="13"/>
  <c r="H74" i="13"/>
  <c r="J72" i="13"/>
  <c r="H72" i="13"/>
  <c r="J70" i="13"/>
  <c r="H70" i="13"/>
  <c r="J69" i="13"/>
  <c r="H69" i="13"/>
  <c r="J67" i="13"/>
  <c r="H67" i="13"/>
  <c r="J66" i="13"/>
  <c r="H66" i="13"/>
  <c r="J64" i="13"/>
  <c r="H64" i="13"/>
  <c r="J63" i="13"/>
  <c r="H63" i="13"/>
  <c r="J62" i="13"/>
  <c r="H62" i="13"/>
  <c r="J61" i="13"/>
  <c r="H61" i="13"/>
  <c r="J60" i="13"/>
  <c r="H60" i="13"/>
  <c r="J58" i="13"/>
  <c r="H58" i="13"/>
  <c r="J56" i="13"/>
  <c r="H56" i="13"/>
  <c r="J14" i="13"/>
  <c r="H14" i="13"/>
  <c r="J41" i="13"/>
  <c r="H41" i="13"/>
  <c r="J40" i="13"/>
  <c r="H40" i="13"/>
  <c r="J39" i="13"/>
  <c r="H39" i="13"/>
  <c r="J37" i="13"/>
  <c r="H37" i="13"/>
  <c r="J36" i="13"/>
  <c r="H36" i="13"/>
  <c r="J35" i="13"/>
  <c r="H35" i="13"/>
  <c r="J34" i="13"/>
  <c r="H34" i="13"/>
  <c r="J33" i="13"/>
  <c r="H33" i="13"/>
  <c r="J32" i="13"/>
  <c r="H32" i="13"/>
  <c r="J31" i="13"/>
  <c r="H31" i="13"/>
  <c r="J30" i="13"/>
  <c r="H30" i="13"/>
  <c r="J29" i="13"/>
  <c r="H29" i="13"/>
  <c r="J28" i="13"/>
  <c r="H28" i="13"/>
  <c r="J27" i="13"/>
  <c r="H27" i="13"/>
  <c r="J26" i="13"/>
  <c r="H26" i="13"/>
  <c r="J25" i="13"/>
  <c r="H25" i="13"/>
  <c r="J24" i="13"/>
  <c r="H24" i="13"/>
  <c r="J23" i="13"/>
  <c r="H23" i="13"/>
  <c r="J22" i="13"/>
  <c r="H22" i="13"/>
  <c r="J21" i="13"/>
  <c r="H21" i="13"/>
  <c r="J20" i="13"/>
  <c r="H20" i="13"/>
  <c r="J19" i="13"/>
  <c r="H19" i="13"/>
  <c r="J18" i="13"/>
  <c r="H18" i="13"/>
  <c r="J17" i="13"/>
  <c r="H17" i="13"/>
  <c r="K58" i="13" l="1"/>
  <c r="K63" i="13"/>
  <c r="K66" i="13"/>
  <c r="K75" i="13"/>
  <c r="K85" i="13"/>
  <c r="K60" i="13"/>
  <c r="K62" i="13"/>
  <c r="K77" i="13"/>
  <c r="K33" i="13"/>
  <c r="K19" i="13"/>
  <c r="K83" i="13"/>
  <c r="K84" i="13"/>
  <c r="K37" i="13"/>
  <c r="K35" i="13"/>
  <c r="K27" i="13"/>
  <c r="K25" i="13"/>
  <c r="K20" i="13"/>
  <c r="K22" i="13"/>
  <c r="K29" i="14"/>
  <c r="K82" i="13"/>
  <c r="K81" i="13"/>
  <c r="K79" i="13"/>
  <c r="K78" i="13"/>
  <c r="K74" i="13"/>
  <c r="K72" i="13"/>
  <c r="K70" i="13"/>
  <c r="K69" i="13"/>
  <c r="K67" i="13"/>
  <c r="K64" i="13"/>
  <c r="K61" i="13"/>
  <c r="K56" i="13"/>
  <c r="K18" i="13"/>
  <c r="K17" i="13"/>
  <c r="K41" i="13"/>
  <c r="K40" i="13"/>
  <c r="K39" i="13"/>
  <c r="K24" i="13"/>
  <c r="K28" i="13"/>
  <c r="K32" i="13"/>
  <c r="K21" i="13"/>
  <c r="K34" i="13"/>
  <c r="K36" i="13"/>
  <c r="K26" i="13"/>
  <c r="K30" i="13"/>
  <c r="K23" i="13"/>
  <c r="K29" i="13"/>
  <c r="K31" i="13"/>
  <c r="K14" i="13"/>
  <c r="C11" i="2" l="1"/>
  <c r="D23" i="14"/>
  <c r="D22" i="14"/>
  <c r="D20" i="14"/>
  <c r="D19" i="14"/>
  <c r="A18" i="14"/>
  <c r="A21" i="14" s="1"/>
  <c r="A24" i="14" s="1"/>
  <c r="A25" i="14" s="1"/>
  <c r="A26" i="14" s="1"/>
  <c r="A27" i="14" s="1"/>
  <c r="D78" i="13"/>
  <c r="D77" i="13"/>
  <c r="D61" i="13"/>
  <c r="D60" i="13"/>
  <c r="C46" i="13"/>
  <c r="C48" i="13" s="1"/>
  <c r="E44" i="13"/>
  <c r="D44" i="13"/>
  <c r="A15" i="13"/>
  <c r="A42" i="13" s="1"/>
  <c r="D14" i="13"/>
  <c r="B14" i="13"/>
  <c r="E46" i="13" l="1"/>
  <c r="H44" i="13"/>
  <c r="J44" i="13"/>
  <c r="D46" i="13"/>
  <c r="B43" i="13"/>
  <c r="B45" i="13" s="1"/>
  <c r="B47" i="13" s="1"/>
  <c r="B49" i="13" s="1"/>
  <c r="B50" i="13" s="1"/>
  <c r="B51" i="13" s="1"/>
  <c r="B53" i="13" s="1"/>
  <c r="B54" i="13" s="1"/>
  <c r="A55" i="13"/>
  <c r="K44" i="13" l="1"/>
  <c r="E48" i="13"/>
  <c r="J46" i="13"/>
  <c r="H46" i="13"/>
  <c r="A57" i="13"/>
  <c r="B56" i="13"/>
  <c r="K46" i="13" l="1"/>
  <c r="H48" i="13"/>
  <c r="J48" i="13"/>
  <c r="K48" i="13" s="1"/>
  <c r="E49" i="13"/>
  <c r="E52" i="13"/>
  <c r="D48" i="13"/>
  <c r="A59" i="13"/>
  <c r="B58" i="13"/>
  <c r="J49" i="13" l="1"/>
  <c r="H49" i="13"/>
  <c r="E50" i="13"/>
  <c r="D49" i="13"/>
  <c r="J52" i="13"/>
  <c r="H52" i="13"/>
  <c r="E53" i="13"/>
  <c r="D52" i="13"/>
  <c r="B60" i="13"/>
  <c r="B61" i="13" s="1"/>
  <c r="A62" i="13"/>
  <c r="A63" i="13" s="1"/>
  <c r="A64" i="13" s="1"/>
  <c r="A65" i="13" s="1"/>
  <c r="H53" i="13" l="1"/>
  <c r="J53" i="13"/>
  <c r="E54" i="13"/>
  <c r="D53" i="13"/>
  <c r="D50" i="13"/>
  <c r="H50" i="13"/>
  <c r="J50" i="13"/>
  <c r="K52" i="13"/>
  <c r="K49" i="13"/>
  <c r="B66" i="13"/>
  <c r="B67" i="13" s="1"/>
  <c r="B68" i="13" s="1"/>
  <c r="B71" i="13" s="1"/>
  <c r="A73" i="13"/>
  <c r="K50" i="13" l="1"/>
  <c r="J54" i="13"/>
  <c r="H54" i="13"/>
  <c r="K53" i="13"/>
  <c r="A76" i="13"/>
  <c r="B74" i="13"/>
  <c r="B75" i="13" s="1"/>
  <c r="K54" i="13" l="1"/>
  <c r="K86" i="13" s="1"/>
  <c r="C10" i="2" s="1"/>
  <c r="C15" i="2" s="1"/>
  <c r="B77" i="13"/>
  <c r="B78" i="13" s="1"/>
  <c r="A79" i="13"/>
  <c r="A80" i="13" s="1"/>
  <c r="A82" i="13" l="1"/>
  <c r="A83" i="13" s="1"/>
  <c r="A84" i="13" s="1"/>
  <c r="B81" i="13"/>
</calcChain>
</file>

<file path=xl/sharedStrings.xml><?xml version="1.0" encoding="utf-8"?>
<sst xmlns="http://schemas.openxmlformats.org/spreadsheetml/2006/main" count="351" uniqueCount="200">
  <si>
    <t>Bill of Quantities</t>
  </si>
  <si>
    <t>S.No.</t>
  </si>
  <si>
    <t>DESCRIPTION</t>
  </si>
  <si>
    <t>Qty</t>
  </si>
  <si>
    <t>Rate</t>
  </si>
  <si>
    <t>Amount</t>
  </si>
  <si>
    <t>A</t>
  </si>
  <si>
    <t>S.No</t>
  </si>
  <si>
    <t>Activity.</t>
  </si>
  <si>
    <t>AMOUNT</t>
  </si>
  <si>
    <t>TOTAL RS.</t>
  </si>
  <si>
    <t>TOTAL ESTIMATED COST OF PROJECT RS.</t>
  </si>
  <si>
    <t>LESS REBATE ____% RS.</t>
  </si>
  <si>
    <t>SUMMARY OF COST</t>
  </si>
  <si>
    <t>No.</t>
  </si>
  <si>
    <t>COVERED AREA</t>
  </si>
  <si>
    <t>RATE PER SFT.</t>
  </si>
  <si>
    <t>Nos.</t>
  </si>
  <si>
    <t>B</t>
  </si>
  <si>
    <t>Model/Make</t>
  </si>
  <si>
    <t>QTY</t>
  </si>
  <si>
    <t>UNIT</t>
  </si>
  <si>
    <t>Rm.</t>
  </si>
  <si>
    <t>ACMV Works</t>
  </si>
  <si>
    <t>GSK Office</t>
  </si>
  <si>
    <t>Rev.00</t>
  </si>
  <si>
    <t>Dolmen Mall, Karachi.</t>
  </si>
  <si>
    <t>Date: 17-08-2022</t>
  </si>
  <si>
    <t>MATERIAL</t>
  </si>
  <si>
    <t>LABOUR</t>
  </si>
  <si>
    <t>TOTAL</t>
  </si>
  <si>
    <t>S.NO.</t>
  </si>
  <si>
    <t xml:space="preserve">RATE </t>
  </si>
  <si>
    <t>AMOUNT Rs.</t>
  </si>
  <si>
    <t>All air conditioning &amp; mechanical ventilation works shall be completed, tested and commissioned as per drawings, specifications and as per instruction of Consultant</t>
  </si>
  <si>
    <t>DFCU-01</t>
  </si>
  <si>
    <t>VAVs</t>
  </si>
  <si>
    <t xml:space="preserve">i. </t>
  </si>
  <si>
    <t>VAV-01</t>
  </si>
  <si>
    <t xml:space="preserve">ii. </t>
  </si>
  <si>
    <t>VAV-02</t>
  </si>
  <si>
    <t xml:space="preserve">iii. </t>
  </si>
  <si>
    <t>VAV-03</t>
  </si>
  <si>
    <t xml:space="preserve">iv. </t>
  </si>
  <si>
    <t>VAV-04</t>
  </si>
  <si>
    <t xml:space="preserve">v. </t>
  </si>
  <si>
    <t>VAV-05</t>
  </si>
  <si>
    <t xml:space="preserve">vi. </t>
  </si>
  <si>
    <t>VAV-06</t>
  </si>
  <si>
    <t xml:space="preserve">vii. </t>
  </si>
  <si>
    <t>VAV-07</t>
  </si>
  <si>
    <t xml:space="preserve">viii. </t>
  </si>
  <si>
    <t>VAV-08</t>
  </si>
  <si>
    <t xml:space="preserve">ix. </t>
  </si>
  <si>
    <t>VAV-09</t>
  </si>
  <si>
    <t xml:space="preserve">x. </t>
  </si>
  <si>
    <t>VAV-10</t>
  </si>
  <si>
    <t>xi.</t>
  </si>
  <si>
    <t>VAV-11</t>
  </si>
  <si>
    <t>xii.</t>
  </si>
  <si>
    <t>VAV-12</t>
  </si>
  <si>
    <t>xiii.</t>
  </si>
  <si>
    <t>VAV-13</t>
  </si>
  <si>
    <t xml:space="preserve">xiv. </t>
  </si>
  <si>
    <t>VAV-14</t>
  </si>
  <si>
    <t xml:space="preserve">xv. </t>
  </si>
  <si>
    <t>VAV-15</t>
  </si>
  <si>
    <t xml:space="preserve">xvi. </t>
  </si>
  <si>
    <t>VAV-16</t>
  </si>
  <si>
    <t xml:space="preserve">xvii. </t>
  </si>
  <si>
    <t>VAV-17</t>
  </si>
  <si>
    <t xml:space="preserve">xviii. </t>
  </si>
  <si>
    <t>VAV-18</t>
  </si>
  <si>
    <t xml:space="preserve">xix. </t>
  </si>
  <si>
    <t>VAV-19</t>
  </si>
  <si>
    <t xml:space="preserve">xx. </t>
  </si>
  <si>
    <t>VAV-20</t>
  </si>
  <si>
    <t>xxi.</t>
  </si>
  <si>
    <t>VAV-21</t>
  </si>
  <si>
    <t>CAVs</t>
  </si>
  <si>
    <t>CAV-01</t>
  </si>
  <si>
    <t>CAV-02</t>
  </si>
  <si>
    <t>CAV-03</t>
  </si>
  <si>
    <t>Supply &amp; installation of valves &amp; accessories for DFCU with lindaptor supports, hangers, flanges, gas kits, nut &amp; bolts where it required, etc. complete in all respects as per specifications, drawings and as per instructions of consultant.</t>
  </si>
  <si>
    <t>Ball  Valve</t>
  </si>
  <si>
    <t>i.</t>
  </si>
  <si>
    <t xml:space="preserve">25mm dia </t>
  </si>
  <si>
    <t>Strainers</t>
  </si>
  <si>
    <t>Balancing Valve (with self sealing measuring nipples)</t>
  </si>
  <si>
    <t>Thermometer 150mm Height Scale Type (with Thermo well) 0 ºC to 60 ºC</t>
  </si>
  <si>
    <t>Pressure Gauge with  Ball Valve &amp; Siphon, Liquid filled Dial type range
0 psi to 100 psi. (100mm dial Size)</t>
  </si>
  <si>
    <t>2-Way Motorized Valve with Actuator (0-100% modulating)</t>
  </si>
  <si>
    <t xml:space="preserve">Digital Decorative Thermostat Controller (BMS Interfacable) with Duct Mounted Sensor </t>
  </si>
  <si>
    <t>Control wiring from controller to sensors, motorized valve and power wiring, up to 15' radius</t>
  </si>
  <si>
    <t>Job.</t>
  </si>
  <si>
    <t>Supply &amp; installation of SCH-40 M.S.(As per ASME &amp; API standard, Heavy Quality with standard SCH 40 wall thickness) pipes &amp; fitting for chilled &amp; cooling water circulation system complete with bends, tees, unions, sockets, specials, lindaptor support, hangers &amp; anchors, M.S. angle, U channel, roller support, bolts, rods, clamps, concrete fasteners etc as required to complete in all respects ready to operate as per specification, drawings and as per instruction of consultant.</t>
  </si>
  <si>
    <t>25mm dia</t>
  </si>
  <si>
    <t>Rm</t>
  </si>
  <si>
    <t>25mm dia (chilled water pipes only)</t>
  </si>
  <si>
    <t>Supply, installation  of Ventilation Fans including  electrical connection, flexible duct connection / connector, lindaptor support &amp; hangers complete in all respects ready to operate as per drawings, specification and as per instruction of consultant.</t>
  </si>
  <si>
    <t>RAF-01</t>
  </si>
  <si>
    <t>TAF-01 Wall Mounted Fan (50 cfm)</t>
  </si>
  <si>
    <t>Supply, fabrication and installation of machine made G.I sheet metal duct different  sections supply, return, fresh &amp; exhaust air including plenums, splitter dampers, guide vanes, flexible duct connector / connection, access door, transformation, plenums chambers, wooden frame, anchors supports &amp; hangers complete in all respects ready to operate as per drawings, specification, instruction and approval of Consultant.</t>
  </si>
  <si>
    <t>Sqm</t>
  </si>
  <si>
    <t>Supply &amp; installation of adhesive 20mm thick rubber foam (XLPE) insulation with aluminum foil over supply &amp; return duct and plenums, complete in all respects ready to operate as per specification, drawings and as per instruction of consultant.</t>
  </si>
  <si>
    <t>Supply &amp; installation of acoustical duct sound liner (adhesive 12mm thick) in supply air &amp; return air duct etc, complete in all respects ready to operate as per drawings, specification and as per instruction of consultant.</t>
  </si>
  <si>
    <t>Supply &amp; installation of aluminum fabricated, powder coated grills, diffusers and registers etc for supply, return, exhaust &amp; fresh air of different sizes (Grade A) wooden frame, lindaptor supports and other accessories etc. complete in all respects ready to operate as per specification, drawings and as per instruction of Consultant.</t>
  </si>
  <si>
    <t>Supply &amp; Return Air Diffuser with Damper</t>
  </si>
  <si>
    <t>S.S Wire Mesh with G.I Frame</t>
  </si>
  <si>
    <t>Linear Slots 6000 Series with bird mesh</t>
  </si>
  <si>
    <t>1 Slot of 20mm</t>
  </si>
  <si>
    <t>ii.</t>
  </si>
  <si>
    <t>2 Slots of 3/4"</t>
  </si>
  <si>
    <t>Disc Valves</t>
  </si>
  <si>
    <t>150mm dia</t>
  </si>
  <si>
    <t xml:space="preserve">Supply &amp; installation of flexible duct including hangers, jubilee clamp complete in all respects as per specification, drawings &amp; as per instruction of consultant.
</t>
  </si>
  <si>
    <t>200mm dia</t>
  </si>
  <si>
    <t>Supply &amp; installation of butterfly damper for above flexible duct with gas kits, nut bolts, complete in all respects, ready to operate as per specification, drawings &amp; as per instruction of consultant.</t>
  </si>
  <si>
    <t>Supply, Installation of Volume Control Damper in 16 SWG G.I sheet metal with gas kits, nut bolts, etc, complete in all respects ready to operate as per specification, drawings and as per instruction, approval of consultant.</t>
  </si>
  <si>
    <t>Supply &amp; istallation of uPVC (Sch 40.) drain pipe insulated with 3/8" thick rubber foam insulation including clamps, bends, tees, drain plugs, sockets, protection treatment, PVC tape wrapping, lindaptor supports &amp; hangers  complete in all respects as per specifications, drawings &amp; as per instructions of Consultant.</t>
  </si>
  <si>
    <t>Painting &amp; Identification work on pipes &amp; exhaust duct, supports, hangers etc. complete in all respects with one coat of ICI make Red lead oxide primer &amp; two coats of ICI make enamel paint as per instruction of Consultant.</t>
  </si>
  <si>
    <t>Testing, balancing and commissioning of water &amp; air side of the system (from independent agency) complete in all respects including flow measurement &amp; balancing, temp, pressure, electrical data of related equipment etc. as per specifications and as per instructions of Consultant.</t>
  </si>
  <si>
    <t>Making of Shop drawings on Auto CAD 2016 with section details, equipment foundation details and Making of As Built drawings, Documentation Technical / Operational Manual &amp; LOG Book for each equipment as per instruction of Consultant.</t>
  </si>
  <si>
    <t>Total Cost of ACMV Works Rs.</t>
  </si>
  <si>
    <t>Fire Suppression Services</t>
  </si>
  <si>
    <t xml:space="preserve">GSK Office  </t>
  </si>
  <si>
    <t>11th. Floor Dolmen Mall, Karachi.</t>
  </si>
  <si>
    <t>Description</t>
  </si>
  <si>
    <t>Unit</t>
  </si>
  <si>
    <t>Material</t>
  </si>
  <si>
    <t>Labour</t>
  </si>
  <si>
    <t xml:space="preserve">Total </t>
  </si>
  <si>
    <t>FIRE FIGHTING SERVICES</t>
  </si>
  <si>
    <t>Supply, installation, testing &amp; commissioning of fire suppression system including all equipment, pipe works and accessories ready to operate as per specifications, drawings and instructions of consultants.</t>
  </si>
  <si>
    <t>MS Sch-40 seamless pipes including all specials fittings UL listed &amp; FM approved, threaded, welded joints, flexible pipe, flanges, coupling, masking plates, bends, tees, clamps, supports and hangers, sleeves, masking plates chiseling, cutting holes, making good where required, painting and protection treatment etc. Complete in all respects.</t>
  </si>
  <si>
    <t>Dia  25 mm          (Threaded fitting)</t>
  </si>
  <si>
    <t>Dia  32 mm          (Threaded fitting)</t>
  </si>
  <si>
    <t>iii.</t>
  </si>
  <si>
    <t>Dia  40 mm          (Threaded fitting)</t>
  </si>
  <si>
    <t>iv.</t>
  </si>
  <si>
    <t>Dia  50 mm          (Threaded fitting)</t>
  </si>
  <si>
    <t>v.</t>
  </si>
  <si>
    <t>Dia  65 mm          (Welded joints fitting)</t>
  </si>
  <si>
    <t>vi.</t>
  </si>
  <si>
    <t>Dia  75 mm          (Welded joints fitting)</t>
  </si>
  <si>
    <t>Fire extinguishers with fixing accessories.</t>
  </si>
  <si>
    <t>Type Class A,B&amp;C  FX-4  (6 Kg. Dry Chemical Powder)</t>
  </si>
  <si>
    <t xml:space="preserve">Sprinkler Heads </t>
  </si>
  <si>
    <t>Sprinkler Upright K = 5.6 (Opening Temperature 68ºc)</t>
  </si>
  <si>
    <t>Sprinkler Pendent type with cover plate, K = 5.6  (Opening Temperature 57ºC)</t>
  </si>
  <si>
    <t>Making of As-Built &amp; Shop Drawings on AutoCAD 2018 or latest version with sectional details complete in all respects as per instructions of consultant.</t>
  </si>
  <si>
    <t xml:space="preserve">Painting, identification and tagging to the installations and equipments. </t>
  </si>
  <si>
    <t xml:space="preserve">Flushing of entire fire pipe work according to (NFPA-13). </t>
  </si>
  <si>
    <t>Testing, and commissioning of entire fire fighting installation as per Consultant's approval.</t>
  </si>
  <si>
    <t>Total Cost of Fire Suppression Services Rs.</t>
  </si>
  <si>
    <t>Certified/Qualified full time Health and Safety Supervisor other than the Resident Engineer/Site Supervisor, having prior expertise in HVAC H&amp;S area.</t>
  </si>
  <si>
    <t>Certified/Qualified full time Health and Safety Supervisor other than the Resident Engineer/Site Supervisor, having prior expertise in Firefighting H&amp;S area.</t>
  </si>
  <si>
    <t>HVAC</t>
  </si>
  <si>
    <t>Fire Fighting System</t>
  </si>
  <si>
    <t>Terms &amp; Conditions</t>
  </si>
  <si>
    <t>1) Quotation is valid for 15 days</t>
  </si>
  <si>
    <t>2) Quoted prices are exclusive of Taxes.</t>
  </si>
  <si>
    <r>
      <t xml:space="preserve">Supply, installation, testing and commissioning of of ducted fan coil unit of different capacities complete in all respects, ready to operate including </t>
    </r>
    <r>
      <rPr>
        <b/>
        <sz val="12"/>
        <color theme="1"/>
        <rFont val="Calibri"/>
        <family val="2"/>
        <scheme val="minor"/>
      </rPr>
      <t>supply and installation</t>
    </r>
    <r>
      <rPr>
        <sz val="12"/>
        <color theme="1"/>
        <rFont val="Calibri"/>
        <family val="2"/>
        <scheme val="minor"/>
      </rPr>
      <t xml:space="preserve"> of all accessories, lindaptor supports, hanger steel base, vibration isolators, including interconnecting power &amp; control wiring (terminal connection) with inlet &amp; outlet chilled water connections, drain connection, flexible rubber duct connection / connector etc. complete in all respects ready to operate as per schedule, specification, drawings and as per instruction of consultant.</t>
    </r>
  </si>
  <si>
    <r>
      <t xml:space="preserve">Unloading, installation, testing and commissioning of  VAV &amp; CAV Boxes as per mentioned in schedule with digital thermostat controller, pressure sensor, control wiring, including </t>
    </r>
    <r>
      <rPr>
        <b/>
        <sz val="12"/>
        <rFont val="Calibri"/>
        <family val="2"/>
        <scheme val="minor"/>
      </rPr>
      <t>supply &amp; installation</t>
    </r>
    <r>
      <rPr>
        <sz val="12"/>
        <rFont val="Calibri"/>
        <family val="2"/>
        <scheme val="minor"/>
      </rPr>
      <t xml:space="preserve"> of flexible duct connection / connector, electrical connection, lindaptor support &amp; hangers complete in all respects ready to operate as per drawings, specification, instruction and approval of Consultant.</t>
    </r>
  </si>
  <si>
    <r>
      <t>Supply &amp; installation of Pre Formed Polystyrene (Thermopore)  insulation (32 kg/m</t>
    </r>
    <r>
      <rPr>
        <vertAlign val="superscript"/>
        <sz val="12"/>
        <rFont val="Calibri"/>
        <family val="2"/>
        <scheme val="minor"/>
      </rPr>
      <t>3</t>
    </r>
    <r>
      <rPr>
        <sz val="12"/>
        <rFont val="Calibri"/>
        <family val="2"/>
        <scheme val="minor"/>
      </rPr>
      <t xml:space="preserve"> density) for </t>
    </r>
    <r>
      <rPr>
        <b/>
        <sz val="12"/>
        <rFont val="Calibri"/>
        <family val="2"/>
        <scheme val="minor"/>
      </rPr>
      <t>chilled water pipes</t>
    </r>
    <r>
      <rPr>
        <sz val="12"/>
        <rFont val="Calibri"/>
        <family val="2"/>
        <scheme val="minor"/>
      </rPr>
      <t>, bends, tees, unions, sockets, valves and on specials protected with Kraft paper, wrapped with 8oz Canvas cloth than paint with anti fungus paint complete in all respects ready to operate as per specification, drawings and as per instruction of consultant.</t>
    </r>
  </si>
  <si>
    <r>
      <t>Type Class B&amp;C FX-3  (5 Kg. CO</t>
    </r>
    <r>
      <rPr>
        <sz val="8"/>
        <rFont val="Calibri"/>
        <family val="2"/>
        <scheme val="minor"/>
      </rPr>
      <t>2</t>
    </r>
    <r>
      <rPr>
        <sz val="10"/>
        <rFont val="Calibri"/>
        <family val="2"/>
        <scheme val="minor"/>
      </rPr>
      <t xml:space="preserve"> Carbon Dioxide Gas)</t>
    </r>
  </si>
  <si>
    <t>Supply, installation, testing and commissioning of of chilled water ducted fan coil &amp; cooling water, water cooled package unit complete in all respects, ready to operate including supply and installation of all accessories, hanger steel base, vibration isolators, including interconnecting power &amp; control wiring (terminal connection) with inlet &amp; outlet cooling water connections, drain connection, flexible rubber duct connection / connector etc. complete in all respects ready to operate as per schedule, specification, drawings and as per instruction of consultant.</t>
  </si>
  <si>
    <t>WCPU-01</t>
  </si>
  <si>
    <t>HVAC, Fire &amp; Plumbing Work</t>
  </si>
  <si>
    <t>Deleted</t>
  </si>
  <si>
    <t>Data Centre AC Works</t>
  </si>
  <si>
    <t>Rev.01</t>
  </si>
  <si>
    <t>Date: 15-08-2022</t>
  </si>
  <si>
    <t>Supply, installation, testing and commissioning of VAV Boxe with digital thermostat controller, pressure sensor, control wiring, including supply &amp; installation of flexible duct connection, electrical connection, support &amp; hangers complete in all respects ready to operate as per schedule, specification, drawings and as per instruction of consultant.</t>
  </si>
  <si>
    <t>Supply &amp; installation of valves &amp; accessories for DFCU &amp; WCPU with supports, hangers, flanges, gas kits, nut &amp; bolts where it required, etc. complete in all respects as per specifications, drawings and as per instructions of consultant.</t>
  </si>
  <si>
    <t>For DFCU, Chilled Water Connection</t>
  </si>
  <si>
    <t>Thermometer 6" Height Scale Type (with Thermo well) 0 ºC to 60 ºC</t>
  </si>
  <si>
    <t>Pressure Gauge with  Ball Valve &amp; Siphon, Liquid filled Dial type range
0 psi to 100 psi. (4" dial Size)</t>
  </si>
  <si>
    <t xml:space="preserve">Digital Decorative Thermostat Controller (BMS Interfacable)
with Duct Mounted Sensor </t>
  </si>
  <si>
    <t>Control wiring from controller to sensors, motorized valve
and Power wiring, up to 15' radius</t>
  </si>
  <si>
    <t>For WCPU Cooling Water Connection</t>
  </si>
  <si>
    <t>Flexible Connector</t>
  </si>
  <si>
    <t xml:space="preserve">Flow Switch </t>
  </si>
  <si>
    <t>Lot</t>
  </si>
  <si>
    <t>Chilled Water Pipes</t>
  </si>
  <si>
    <t>Supply, fabrication and installation of machine made G.I sheet metal duct for supply &amp; return air duct, complete in all respects including splitter dampers, guide vanes, flexible duct connection, access door, transformation, plenums chambers, lindaptor, supports, hangers, anchors, wooden frame complete in all respects ready to operate as per drawings, specification, instruction of consultant.</t>
  </si>
  <si>
    <t>Supply &amp; installation of adhesive 19mm thick insulation with aluminum foil over supply &amp; return duct, complete in all respects ready to operate as per specification, drawings and as per instruction of consultant.</t>
  </si>
  <si>
    <t>Supply &amp; installation of acoustical duct sound liner (adhesive 12mm thick) in supply air duct complete in all respects ready to operate as per specification, drawings and as per instruction of Consultant.</t>
  </si>
  <si>
    <t>Linear Bar Grill 4,000 Series</t>
  </si>
  <si>
    <t>150mm width</t>
  </si>
  <si>
    <t>Return Air Grill</t>
  </si>
  <si>
    <t>400mm x 300mm</t>
  </si>
  <si>
    <t>Supply and installation of Back Draft Damper framing in 16 SWG G.I sheet &amp; auto gravity shutter in 26 SWG sheet, with gas kits, nut botls. complete in all respects ready to operate as per specification, drawings &amp; as per instruction of Consultant.</t>
  </si>
  <si>
    <t>500mm x 200mm</t>
  </si>
  <si>
    <t>Supply and installation of fire damper with linkage &amp; fuse etc, complete in all respects as per specifications, drawings &amp; as per instructions of Consultant.</t>
  </si>
  <si>
    <t>Supply, Installation, testing and commissioning of uPVC (Sch 40.) drain pipe insulated with 3/8" thick rubber foam insulation including clamps, bends, tees, drain plugs, sockets, protection treatment, PVC tape wrapping complete in all respects as per specifications, drawings &amp; as per instructions of Consultant.</t>
  </si>
  <si>
    <t>Total Cost of Works Rs.</t>
  </si>
  <si>
    <r>
      <t>Supply &amp; installation of Pre Formed Polystyrene (Thermopore)  insulation (32 kg/m</t>
    </r>
    <r>
      <rPr>
        <vertAlign val="superscript"/>
        <sz val="10"/>
        <rFont val="Calibri"/>
        <family val="2"/>
        <scheme val="minor"/>
      </rPr>
      <t>3</t>
    </r>
    <r>
      <rPr>
        <sz val="10"/>
        <rFont val="Calibri"/>
        <family val="2"/>
        <scheme val="minor"/>
      </rPr>
      <t xml:space="preserve"> density) for chilled water pipes, bends, tees, unions, sockets, valves and on specials protected with Kraft paper, wrapped with 8oz Canvas cloth than paint with anti fungus paint complete in all respects ready to operate as per specification, drawings and as per instruction of consultant.</t>
    </r>
  </si>
  <si>
    <t>C</t>
  </si>
  <si>
    <t>Date Cener AC Work</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</si>
</sst>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1" formatCode="_(* #,##0_);_(* \(#,##0\);_(* &quot;-&quot;_);_(@_)"/>
    <numFmt numFmtId="43" formatCode="_(* #,##0.00_);_(* \(#,##0.00\);_(* &quot;-&quot;??_);_(@_)"/>
    <numFmt numFmtId="164" formatCode="_-* #,##0.00_-;\-* #,##0.00_-;_-* &quot;-&quot;??_-;_-@_-"/>
    <numFmt numFmtId="165" formatCode="_(* #,##0_);_(* \(#,##0\);_(* &quot;-&quot;??_);_(@_)"/>
    <numFmt numFmtId="166" formatCode="0.0"/>
    <numFmt numFmtId="167" formatCode="General_)"/>
    <numFmt numFmtId="168" formatCode="_(* #,##0.00_);_(* \(#,##0.00\);_(* &quot;-&quot;_);_(@_)"/>
    <numFmt numFmtId="169" formatCode="#,##0.0"/>
  </numFmts>
  <fonts count="38" x14ac:knownFonts="1">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name val="Arial"/>
      <family val="2"/>
    </font>
    <font>
      <sz val="11"/>
      <color indexed="8"/>
      <name val="Calibri"/>
      <family val="2"/>
    </font>
    <font>
      <sz val="10"/>
      <name val="Times New Roman"/>
      <family val="1"/>
    </font>
    <font>
      <sz val="10"/>
      <name val="Arial"/>
      <family val="2"/>
    </font>
    <font>
      <sz val="10"/>
      <name val="Century Gothic"/>
      <family val="2"/>
    </font>
    <font>
      <sz val="11"/>
      <color theme="1"/>
      <name val="Calibri"/>
      <family val="2"/>
      <scheme val="minor"/>
    </font>
    <font>
      <sz val="11"/>
      <name val="Arial"/>
      <family val="2"/>
    </font>
    <font>
      <sz val="10"/>
      <name val="Helv"/>
    </font>
    <font>
      <b/>
      <sz val="12"/>
      <name val="Calibri"/>
      <family val="2"/>
      <scheme val="minor"/>
    </font>
    <font>
      <sz val="12"/>
      <color theme="1"/>
      <name val="Calibri"/>
      <family val="2"/>
      <scheme val="minor"/>
    </font>
    <font>
      <sz val="11"/>
      <name val="Calibri"/>
      <family val="2"/>
      <scheme val="minor"/>
    </font>
    <font>
      <i/>
      <sz val="11"/>
      <name val="Calibri"/>
      <family val="2"/>
      <scheme val="minor"/>
    </font>
    <font>
      <b/>
      <sz val="11"/>
      <name val="Calibri"/>
      <family val="2"/>
      <scheme val="minor"/>
    </font>
    <font>
      <sz val="10"/>
      <name val="Calibri"/>
      <family val="2"/>
      <scheme val="minor"/>
    </font>
    <font>
      <b/>
      <sz val="10"/>
      <name val="Calibri"/>
      <family val="2"/>
      <scheme val="minor"/>
    </font>
    <font>
      <sz val="9"/>
      <name val="Calibri"/>
      <family val="2"/>
      <scheme val="minor"/>
    </font>
    <font>
      <sz val="9"/>
      <color theme="1"/>
      <name val="Calibri"/>
      <family val="2"/>
      <scheme val="minor"/>
    </font>
    <font>
      <sz val="12"/>
      <name val="Calibri"/>
      <family val="2"/>
      <scheme val="minor"/>
    </font>
    <font>
      <b/>
      <sz val="14"/>
      <name val="Calibri"/>
      <family val="2"/>
      <scheme val="minor"/>
    </font>
    <font>
      <b/>
      <sz val="12"/>
      <color theme="1"/>
      <name val="Calibri"/>
      <family val="2"/>
      <scheme val="minor"/>
    </font>
    <font>
      <b/>
      <sz val="16"/>
      <name val="Calibri"/>
      <family val="2"/>
      <scheme val="minor"/>
    </font>
    <font>
      <b/>
      <sz val="16"/>
      <color theme="1"/>
      <name val="Calibri"/>
      <family val="2"/>
      <scheme val="minor"/>
    </font>
    <font>
      <sz val="16"/>
      <color theme="1"/>
      <name val="Calibri"/>
      <family val="2"/>
      <scheme val="minor"/>
    </font>
    <font>
      <sz val="16"/>
      <name val="Calibri"/>
      <family val="2"/>
      <scheme val="minor"/>
    </font>
    <font>
      <i/>
      <sz val="12"/>
      <name val="Calibri"/>
      <family val="2"/>
      <scheme val="minor"/>
    </font>
    <font>
      <sz val="12"/>
      <color theme="0"/>
      <name val="Calibri"/>
      <family val="2"/>
      <scheme val="minor"/>
    </font>
    <font>
      <vertAlign val="superscript"/>
      <sz val="12"/>
      <name val="Calibri"/>
      <family val="2"/>
      <scheme val="minor"/>
    </font>
    <font>
      <b/>
      <u/>
      <sz val="10"/>
      <name val="Calibri"/>
      <family val="2"/>
      <scheme val="minor"/>
    </font>
    <font>
      <sz val="8"/>
      <name val="Calibri"/>
      <family val="2"/>
      <scheme val="minor"/>
    </font>
    <font>
      <sz val="10"/>
      <color theme="1"/>
      <name val="Calibri"/>
      <family val="2"/>
      <scheme val="minor"/>
    </font>
    <font>
      <sz val="10"/>
      <color theme="0"/>
      <name val="Calibri"/>
      <family val="2"/>
      <scheme val="minor"/>
    </font>
    <font>
      <b/>
      <sz val="10"/>
      <color theme="1"/>
      <name val="Calibri"/>
      <family val="2"/>
      <scheme val="minor"/>
    </font>
    <font>
      <vertAlign val="superscript"/>
      <sz val="1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4" tint="-0.249977111117893"/>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medium">
        <color auto="1"/>
      </top>
      <bottom/>
      <diagonal/>
    </border>
    <border>
      <left style="medium">
        <color indexed="64"/>
      </left>
      <right/>
      <top/>
      <bottom/>
      <diagonal/>
    </border>
    <border>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style="medium">
        <color auto="1"/>
      </left>
      <right style="thin">
        <color auto="1"/>
      </right>
      <top style="medium">
        <color indexed="64"/>
      </top>
      <bottom/>
      <diagonal/>
    </border>
    <border>
      <left style="medium">
        <color indexed="64"/>
      </left>
      <right/>
      <top/>
      <bottom style="double">
        <color indexed="64"/>
      </bottom>
      <diagonal/>
    </border>
    <border>
      <left style="medium">
        <color indexed="64"/>
      </left>
      <right/>
      <top style="double">
        <color indexed="64"/>
      </top>
      <bottom style="medium">
        <color indexed="64"/>
      </bottom>
      <diagonal/>
    </border>
    <border>
      <left/>
      <right style="thin">
        <color indexed="64"/>
      </right>
      <top style="double">
        <color indexed="64"/>
      </top>
      <bottom style="medium">
        <color indexed="64"/>
      </bottom>
      <diagonal/>
    </border>
    <border>
      <left/>
      <right/>
      <top style="medium">
        <color indexed="64"/>
      </top>
      <bottom/>
      <diagonal/>
    </border>
    <border>
      <left/>
      <right/>
      <top/>
      <bottom style="double">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35">
    <xf numFmtId="0" fontId="0" fillId="0" borderId="0"/>
    <xf numFmtId="43" fontId="3" fillId="0" borderId="0" applyFont="0" applyFill="0" applyBorder="0" applyAlignment="0" applyProtection="0"/>
    <xf numFmtId="41" fontId="3"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64"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4" fillId="0" borderId="0"/>
    <xf numFmtId="0" fontId="4" fillId="0" borderId="0"/>
    <xf numFmtId="0" fontId="10" fillId="0" borderId="0"/>
    <xf numFmtId="0" fontId="5" fillId="0" borderId="0"/>
    <xf numFmtId="0" fontId="4" fillId="0" borderId="0"/>
    <xf numFmtId="0" fontId="4" fillId="0" borderId="0"/>
    <xf numFmtId="0" fontId="10" fillId="0" borderId="0"/>
    <xf numFmtId="165" fontId="5" fillId="0" borderId="0"/>
    <xf numFmtId="0" fontId="5" fillId="0" borderId="0"/>
    <xf numFmtId="0" fontId="7" fillId="0" borderId="0"/>
    <xf numFmtId="0" fontId="6" fillId="0" borderId="0"/>
    <xf numFmtId="0" fontId="9" fillId="0" borderId="0"/>
    <xf numFmtId="0" fontId="10" fillId="0" borderId="0"/>
    <xf numFmtId="0" fontId="10" fillId="0" borderId="0"/>
    <xf numFmtId="0" fontId="10" fillId="0" borderId="0"/>
    <xf numFmtId="0" fontId="2" fillId="0" borderId="0"/>
    <xf numFmtId="0" fontId="7" fillId="0" borderId="0"/>
    <xf numFmtId="0" fontId="11" fillId="0" borderId="0"/>
    <xf numFmtId="0" fontId="12" fillId="0" borderId="0"/>
    <xf numFmtId="43"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cellStyleXfs>
  <cellXfs count="293">
    <xf numFmtId="0" fontId="0" fillId="0" borderId="0" xfId="0"/>
    <xf numFmtId="167" fontId="13" fillId="0" borderId="0" xfId="30" applyNumberFormat="1" applyFont="1" applyAlignment="1">
      <alignment horizontal="left" vertical="center"/>
    </xf>
    <xf numFmtId="167" fontId="14" fillId="0" borderId="0" xfId="30" applyNumberFormat="1" applyFont="1" applyAlignment="1">
      <alignment horizontal="left" vertical="center"/>
    </xf>
    <xf numFmtId="0" fontId="18" fillId="0" borderId="1" xfId="30" applyFont="1" applyBorder="1" applyAlignment="1">
      <alignment horizontal="center"/>
    </xf>
    <xf numFmtId="3" fontId="18" fillId="0" borderId="1" xfId="30" applyNumberFormat="1" applyFont="1" applyBorder="1" applyAlignment="1">
      <alignment horizontal="center"/>
    </xf>
    <xf numFmtId="0" fontId="18" fillId="0" borderId="1" xfId="30" applyFont="1" applyBorder="1" applyAlignment="1">
      <alignment horizontal="center" vertical="center"/>
    </xf>
    <xf numFmtId="3" fontId="18" fillId="0" borderId="1" xfId="30" applyNumberFormat="1" applyFont="1" applyBorder="1" applyAlignment="1">
      <alignment horizontal="center" vertical="center"/>
    </xf>
    <xf numFmtId="165" fontId="18" fillId="3" borderId="1" xfId="1" applyNumberFormat="1" applyFont="1" applyFill="1" applyBorder="1" applyAlignment="1">
      <alignment vertical="center"/>
    </xf>
    <xf numFmtId="167" fontId="18" fillId="0" borderId="1" xfId="30" applyNumberFormat="1" applyFont="1" applyBorder="1" applyAlignment="1">
      <alignment horizontal="justify" vertical="top"/>
    </xf>
    <xf numFmtId="167" fontId="18" fillId="0" borderId="1" xfId="30" applyNumberFormat="1" applyFont="1" applyBorder="1" applyAlignment="1">
      <alignment horizontal="center" vertical="center"/>
    </xf>
    <xf numFmtId="0" fontId="18" fillId="0" borderId="1" xfId="30" applyFont="1" applyBorder="1" applyAlignment="1">
      <alignment horizontal="justify" vertical="top" wrapText="1"/>
    </xf>
    <xf numFmtId="167" fontId="18" fillId="0" borderId="1" xfId="30" applyNumberFormat="1" applyFont="1" applyBorder="1" applyAlignment="1">
      <alignment horizontal="center"/>
    </xf>
    <xf numFmtId="167" fontId="13" fillId="0" borderId="1" xfId="30" applyNumberFormat="1" applyFont="1" applyBorder="1" applyAlignment="1">
      <alignment horizontal="right" vertical="center"/>
    </xf>
    <xf numFmtId="0" fontId="22" fillId="0" borderId="1" xfId="30" applyFont="1" applyBorder="1" applyAlignment="1">
      <alignment horizontal="center" vertical="center"/>
    </xf>
    <xf numFmtId="3" fontId="13" fillId="3" borderId="1" xfId="30" applyNumberFormat="1" applyFont="1" applyFill="1" applyBorder="1" applyAlignment="1">
      <alignment vertical="center"/>
    </xf>
    <xf numFmtId="0" fontId="15" fillId="0" borderId="0" xfId="30" applyFont="1"/>
    <xf numFmtId="0" fontId="15" fillId="3" borderId="0" xfId="30" applyFont="1" applyFill="1"/>
    <xf numFmtId="165" fontId="13" fillId="0" borderId="1" xfId="1" applyNumberFormat="1" applyFont="1" applyBorder="1" applyAlignment="1">
      <alignment vertical="center"/>
    </xf>
    <xf numFmtId="0" fontId="27" fillId="0" borderId="0" xfId="15" applyFont="1"/>
    <xf numFmtId="165" fontId="28" fillId="0" borderId="0" xfId="4" applyNumberFormat="1" applyFont="1" applyAlignment="1">
      <alignment horizontal="center"/>
    </xf>
    <xf numFmtId="0" fontId="25" fillId="0" borderId="0" xfId="15" applyFont="1" applyBorder="1"/>
    <xf numFmtId="0" fontId="25" fillId="0" borderId="0" xfId="15" applyFont="1" applyBorder="1" applyAlignment="1">
      <alignment horizontal="right"/>
    </xf>
    <xf numFmtId="0" fontId="25" fillId="0" borderId="0" xfId="15" applyFont="1" applyAlignment="1">
      <alignment horizontal="right"/>
    </xf>
    <xf numFmtId="0" fontId="26" fillId="0" borderId="0" xfId="15" applyFont="1" applyAlignment="1">
      <alignment horizontal="right"/>
    </xf>
    <xf numFmtId="0" fontId="27" fillId="0" borderId="0" xfId="15" applyFont="1" applyAlignment="1">
      <alignment horizontal="right"/>
    </xf>
    <xf numFmtId="0" fontId="25" fillId="0" borderId="0" xfId="15" applyFont="1" applyAlignment="1">
      <alignment horizontal="left"/>
    </xf>
    <xf numFmtId="0" fontId="28" fillId="0" borderId="1" xfId="15" applyFont="1" applyBorder="1" applyAlignment="1">
      <alignment horizontal="center" vertical="center"/>
    </xf>
    <xf numFmtId="0" fontId="27" fillId="0" borderId="0" xfId="15" applyFont="1" applyAlignment="1">
      <alignment horizontal="center" vertical="center"/>
    </xf>
    <xf numFmtId="165" fontId="28" fillId="0" borderId="1" xfId="1" applyNumberFormat="1" applyFont="1" applyBorder="1" applyAlignment="1">
      <alignment horizontal="center" vertical="center"/>
    </xf>
    <xf numFmtId="0" fontId="28" fillId="0" borderId="1" xfId="15" applyFont="1" applyBorder="1" applyAlignment="1">
      <alignment horizontal="center" vertical="center" wrapText="1"/>
    </xf>
    <xf numFmtId="0" fontId="25" fillId="0" borderId="1" xfId="15" applyFont="1" applyBorder="1" applyAlignment="1">
      <alignment horizontal="right" vertical="center" wrapText="1"/>
    </xf>
    <xf numFmtId="165" fontId="25" fillId="0" borderId="1" xfId="1" applyNumberFormat="1" applyFont="1" applyBorder="1" applyAlignment="1">
      <alignment vertical="center"/>
    </xf>
    <xf numFmtId="43" fontId="27" fillId="0" borderId="0" xfId="15" applyNumberFormat="1" applyFont="1"/>
    <xf numFmtId="43" fontId="25" fillId="0" borderId="1" xfId="4" applyNumberFormat="1" applyFont="1" applyBorder="1" applyAlignment="1">
      <alignment vertical="center"/>
    </xf>
    <xf numFmtId="165" fontId="25" fillId="2" borderId="1" xfId="1" applyNumberFormat="1" applyFont="1" applyFill="1" applyBorder="1" applyAlignment="1">
      <alignment vertical="center"/>
    </xf>
    <xf numFmtId="0" fontId="28" fillId="0" borderId="1" xfId="15" applyFont="1" applyBorder="1" applyAlignment="1">
      <alignment vertical="center"/>
    </xf>
    <xf numFmtId="168" fontId="27" fillId="0" borderId="1" xfId="2" applyNumberFormat="1" applyFont="1" applyBorder="1" applyAlignment="1">
      <alignment vertical="center"/>
    </xf>
    <xf numFmtId="0" fontId="28" fillId="0" borderId="0" xfId="15" applyFont="1" applyAlignment="1">
      <alignment horizontal="left"/>
    </xf>
    <xf numFmtId="0" fontId="28" fillId="0" borderId="0" xfId="15" applyFont="1"/>
    <xf numFmtId="0" fontId="28" fillId="0" borderId="0" xfId="15" applyFont="1" applyAlignment="1">
      <alignment horizontal="right"/>
    </xf>
    <xf numFmtId="0" fontId="28" fillId="0" borderId="0" xfId="15" applyFont="1" applyAlignment="1">
      <alignment horizontal="right" wrapText="1"/>
    </xf>
    <xf numFmtId="0" fontId="28" fillId="0" borderId="0" xfId="15" applyFont="1" applyAlignment="1"/>
    <xf numFmtId="0" fontId="28" fillId="0" borderId="0" xfId="15" applyFont="1" applyAlignment="1">
      <alignment horizontal="center"/>
    </xf>
    <xf numFmtId="0" fontId="28" fillId="0" borderId="0" xfId="15" applyFont="1" applyAlignment="1">
      <alignment wrapText="1"/>
    </xf>
    <xf numFmtId="0" fontId="25" fillId="0" borderId="0" xfId="15" applyFont="1" applyAlignment="1">
      <alignment horizontal="right" wrapText="1"/>
    </xf>
    <xf numFmtId="0" fontId="22" fillId="0" borderId="0" xfId="30" applyFont="1" applyAlignment="1">
      <alignment vertical="center"/>
    </xf>
    <xf numFmtId="167" fontId="22" fillId="0" borderId="0" xfId="30" applyNumberFormat="1" applyFont="1" applyAlignment="1">
      <alignment horizontal="left" vertical="center"/>
    </xf>
    <xf numFmtId="0" fontId="15" fillId="0" borderId="0" xfId="30" applyFont="1" applyAlignment="1">
      <alignment horizontal="center"/>
    </xf>
    <xf numFmtId="0" fontId="29" fillId="0" borderId="0" xfId="30" applyFont="1" applyAlignment="1">
      <alignment horizontal="center" vertical="center"/>
    </xf>
    <xf numFmtId="3" fontId="29" fillId="0" borderId="0" xfId="30" applyNumberFormat="1" applyFont="1" applyAlignment="1">
      <alignment horizontal="center" vertical="center"/>
    </xf>
    <xf numFmtId="3" fontId="22" fillId="3" borderId="0" xfId="30" applyNumberFormat="1" applyFont="1" applyFill="1" applyAlignment="1">
      <alignment vertical="center"/>
    </xf>
    <xf numFmtId="3" fontId="22" fillId="3" borderId="0" xfId="30" applyNumberFormat="1" applyFont="1" applyFill="1" applyAlignment="1">
      <alignment horizontal="right" vertical="center"/>
    </xf>
    <xf numFmtId="3" fontId="22" fillId="0" borderId="0" xfId="30" applyNumberFormat="1" applyFont="1" applyAlignment="1">
      <alignment horizontal="center" vertical="center"/>
    </xf>
    <xf numFmtId="0" fontId="13" fillId="0" borderId="10" xfId="30" applyFont="1" applyBorder="1" applyAlignment="1">
      <alignment horizontal="center" vertical="center"/>
    </xf>
    <xf numFmtId="167" fontId="13" fillId="0" borderId="1" xfId="30" applyNumberFormat="1" applyFont="1" applyBorder="1" applyAlignment="1">
      <alignment horizontal="center" vertical="center"/>
    </xf>
    <xf numFmtId="3" fontId="13" fillId="0" borderId="1" xfId="30" applyNumberFormat="1" applyFont="1" applyBorder="1" applyAlignment="1">
      <alignment horizontal="center" vertical="center"/>
    </xf>
    <xf numFmtId="3" fontId="13" fillId="3" borderId="1" xfId="30" applyNumberFormat="1" applyFont="1" applyFill="1" applyBorder="1" applyAlignment="1">
      <alignment horizontal="center" vertical="center"/>
    </xf>
    <xf numFmtId="0" fontId="13" fillId="4" borderId="0" xfId="30" applyFont="1" applyFill="1" applyAlignment="1">
      <alignment vertical="center"/>
    </xf>
    <xf numFmtId="0" fontId="22" fillId="0" borderId="1" xfId="30" applyFont="1" applyBorder="1" applyAlignment="1">
      <alignment horizontal="center"/>
    </xf>
    <xf numFmtId="0" fontId="14" fillId="0" borderId="1" xfId="30" applyFont="1" applyBorder="1" applyAlignment="1">
      <alignment horizontal="left"/>
    </xf>
    <xf numFmtId="0" fontId="22" fillId="0" borderId="1" xfId="30" applyFont="1" applyBorder="1" applyAlignment="1">
      <alignment horizontal="justify" vertical="center"/>
    </xf>
    <xf numFmtId="3" fontId="22" fillId="0" borderId="1" xfId="30" applyNumberFormat="1" applyFont="1" applyBorder="1" applyAlignment="1">
      <alignment horizontal="center"/>
    </xf>
    <xf numFmtId="3" fontId="22" fillId="3" borderId="1" xfId="30" applyNumberFormat="1" applyFont="1" applyFill="1" applyBorder="1"/>
    <xf numFmtId="0" fontId="22" fillId="0" borderId="0" xfId="30" applyFont="1"/>
    <xf numFmtId="0" fontId="22" fillId="0" borderId="1" xfId="30" applyFont="1" applyBorder="1" applyAlignment="1">
      <alignment horizontal="center" vertical="top"/>
    </xf>
    <xf numFmtId="0" fontId="14" fillId="0" borderId="1" xfId="30" applyFont="1" applyBorder="1" applyAlignment="1">
      <alignment horizontal="left" vertical="top"/>
    </xf>
    <xf numFmtId="0" fontId="14" fillId="0" borderId="1" xfId="30" applyFont="1" applyBorder="1" applyAlignment="1">
      <alignment horizontal="justify" vertical="top"/>
    </xf>
    <xf numFmtId="3" fontId="22" fillId="0" borderId="1" xfId="30" applyNumberFormat="1" applyFont="1" applyBorder="1" applyAlignment="1">
      <alignment horizontal="center" vertical="center"/>
    </xf>
    <xf numFmtId="3" fontId="22" fillId="3" borderId="1" xfId="30" applyNumberFormat="1" applyFont="1" applyFill="1" applyBorder="1" applyAlignment="1">
      <alignment vertical="center"/>
    </xf>
    <xf numFmtId="3" fontId="22" fillId="0" borderId="1" xfId="30" applyNumberFormat="1" applyFont="1" applyBorder="1" applyAlignment="1">
      <alignment vertical="center"/>
    </xf>
    <xf numFmtId="0" fontId="22" fillId="0" borderId="1" xfId="30" applyFont="1" applyBorder="1" applyAlignment="1">
      <alignment vertical="center"/>
    </xf>
    <xf numFmtId="166" fontId="30" fillId="3" borderId="1" xfId="30" applyNumberFormat="1" applyFont="1" applyFill="1" applyBorder="1" applyAlignment="1">
      <alignment horizontal="center" vertical="center"/>
    </xf>
    <xf numFmtId="0" fontId="14" fillId="0" borderId="1" xfId="30" applyFont="1" applyBorder="1" applyAlignment="1">
      <alignment horizontal="left" vertical="center"/>
    </xf>
    <xf numFmtId="165" fontId="22" fillId="3" borderId="1" xfId="1" applyNumberFormat="1" applyFont="1" applyFill="1" applyBorder="1" applyAlignment="1">
      <alignment vertical="center"/>
    </xf>
    <xf numFmtId="1" fontId="22" fillId="0" borderId="1" xfId="30" applyNumberFormat="1" applyFont="1" applyBorder="1" applyAlignment="1">
      <alignment horizontal="center" vertical="top"/>
    </xf>
    <xf numFmtId="1" fontId="14" fillId="0" borderId="1" xfId="30" applyNumberFormat="1" applyFont="1" applyBorder="1" applyAlignment="1">
      <alignment horizontal="left" vertical="top"/>
    </xf>
    <xf numFmtId="0" fontId="22" fillId="0" borderId="1" xfId="30" applyFont="1" applyBorder="1" applyAlignment="1">
      <alignment horizontal="justify" vertical="top"/>
    </xf>
    <xf numFmtId="1" fontId="24" fillId="0" borderId="1" xfId="30" applyNumberFormat="1" applyFont="1" applyBorder="1" applyAlignment="1">
      <alignment horizontal="left" vertical="center"/>
    </xf>
    <xf numFmtId="0" fontId="13" fillId="0" borderId="1" xfId="30" applyFont="1" applyBorder="1" applyAlignment="1">
      <alignment horizontal="justify" vertical="center"/>
    </xf>
    <xf numFmtId="0" fontId="13" fillId="0" borderId="1" xfId="30" applyFont="1" applyBorder="1" applyAlignment="1">
      <alignment vertical="center"/>
    </xf>
    <xf numFmtId="3" fontId="22" fillId="0" borderId="1" xfId="30" applyNumberFormat="1" applyFont="1" applyBorder="1"/>
    <xf numFmtId="3" fontId="22" fillId="3" borderId="1" xfId="30" applyNumberFormat="1" applyFont="1" applyFill="1" applyBorder="1" applyAlignment="1">
      <alignment horizontal="center" vertical="center"/>
    </xf>
    <xf numFmtId="0" fontId="13" fillId="0" borderId="1" xfId="30" applyFont="1" applyBorder="1" applyAlignment="1">
      <alignment horizontal="center" vertical="center"/>
    </xf>
    <xf numFmtId="167" fontId="22" fillId="0" borderId="1" xfId="30" applyNumberFormat="1" applyFont="1" applyBorder="1" applyAlignment="1">
      <alignment horizontal="justify" vertical="center"/>
    </xf>
    <xf numFmtId="167" fontId="22" fillId="0" borderId="1" xfId="30" applyNumberFormat="1" applyFont="1" applyBorder="1" applyAlignment="1">
      <alignment horizontal="justify" vertical="center" wrapText="1"/>
    </xf>
    <xf numFmtId="1" fontId="22" fillId="0" borderId="1" xfId="30" quotePrefix="1" applyNumberFormat="1" applyFont="1" applyBorder="1" applyAlignment="1">
      <alignment horizontal="center" vertical="top"/>
    </xf>
    <xf numFmtId="0" fontId="14" fillId="0" borderId="1" xfId="30" quotePrefix="1" applyFont="1" applyBorder="1" applyAlignment="1">
      <alignment horizontal="left" vertical="top"/>
    </xf>
    <xf numFmtId="166" fontId="14" fillId="0" borderId="1" xfId="30" applyNumberFormat="1" applyFont="1" applyBorder="1" applyAlignment="1">
      <alignment horizontal="left" vertical="center"/>
    </xf>
    <xf numFmtId="0" fontId="22" fillId="0" borderId="1" xfId="30" quotePrefix="1" applyFont="1" applyBorder="1" applyAlignment="1">
      <alignment horizontal="center" vertical="top"/>
    </xf>
    <xf numFmtId="0" fontId="22" fillId="0" borderId="1" xfId="30" quotePrefix="1" applyFont="1" applyBorder="1" applyAlignment="1">
      <alignment horizontal="center" vertical="center"/>
    </xf>
    <xf numFmtId="166" fontId="14" fillId="0" borderId="1" xfId="30" quotePrefix="1" applyNumberFormat="1" applyFont="1" applyBorder="1" applyAlignment="1">
      <alignment horizontal="left" vertical="center"/>
    </xf>
    <xf numFmtId="0" fontId="22" fillId="0" borderId="1" xfId="30" applyFont="1" applyBorder="1" applyAlignment="1">
      <alignment horizontal="left" vertical="center"/>
    </xf>
    <xf numFmtId="167" fontId="22" fillId="0" borderId="1" xfId="30" applyNumberFormat="1" applyFont="1" applyBorder="1" applyAlignment="1">
      <alignment horizontal="center" vertical="top"/>
    </xf>
    <xf numFmtId="167" fontId="14" fillId="0" borderId="1" xfId="30" applyNumberFormat="1" applyFont="1" applyBorder="1" applyAlignment="1">
      <alignment horizontal="left" vertical="top"/>
    </xf>
    <xf numFmtId="167" fontId="22" fillId="0" borderId="1" xfId="30" applyNumberFormat="1" applyFont="1" applyBorder="1" applyAlignment="1">
      <alignment horizontal="justify" vertical="top"/>
    </xf>
    <xf numFmtId="167" fontId="22" fillId="0" borderId="1" xfId="30" quotePrefix="1" applyNumberFormat="1" applyFont="1" applyBorder="1" applyAlignment="1">
      <alignment horizontal="center" vertical="top"/>
    </xf>
    <xf numFmtId="167" fontId="14" fillId="0" borderId="1" xfId="30" quotePrefix="1" applyNumberFormat="1" applyFont="1" applyBorder="1" applyAlignment="1">
      <alignment horizontal="left" vertical="top"/>
    </xf>
    <xf numFmtId="167" fontId="22" fillId="0" borderId="1" xfId="30" quotePrefix="1" applyNumberFormat="1" applyFont="1" applyBorder="1" applyAlignment="1">
      <alignment horizontal="justify" vertical="top"/>
    </xf>
    <xf numFmtId="3" fontId="22" fillId="3" borderId="1" xfId="30" applyNumberFormat="1" applyFont="1" applyFill="1" applyBorder="1" applyAlignment="1">
      <alignment horizontal="right"/>
    </xf>
    <xf numFmtId="3" fontId="22" fillId="0" borderId="1" xfId="30" applyNumberFormat="1" applyFont="1" applyBorder="1" applyAlignment="1">
      <alignment horizontal="right"/>
    </xf>
    <xf numFmtId="167" fontId="14" fillId="0" borderId="1" xfId="30" applyNumberFormat="1" applyFont="1" applyBorder="1" applyAlignment="1">
      <alignment horizontal="left" vertical="center"/>
    </xf>
    <xf numFmtId="167" fontId="22" fillId="0" borderId="1" xfId="30" applyNumberFormat="1" applyFont="1" applyBorder="1" applyAlignment="1">
      <alignment horizontal="left" vertical="center"/>
    </xf>
    <xf numFmtId="167" fontId="22" fillId="0" borderId="1" xfId="30" applyNumberFormat="1" applyFont="1" applyBorder="1" applyAlignment="1">
      <alignment horizontal="center" vertical="center"/>
    </xf>
    <xf numFmtId="169" fontId="22" fillId="0" borderId="1" xfId="30" applyNumberFormat="1" applyFont="1" applyBorder="1" applyAlignment="1">
      <alignment horizontal="center" vertical="center"/>
    </xf>
    <xf numFmtId="0" fontId="22" fillId="0" borderId="1" xfId="30" applyFont="1" applyBorder="1" applyAlignment="1">
      <alignment horizontal="justify" vertical="top" wrapText="1"/>
    </xf>
    <xf numFmtId="167" fontId="22" fillId="0" borderId="1" xfId="30" applyNumberFormat="1" applyFont="1" applyBorder="1" applyAlignment="1">
      <alignment horizontal="center"/>
    </xf>
    <xf numFmtId="167" fontId="14" fillId="0" borderId="1" xfId="30" quotePrefix="1" applyNumberFormat="1" applyFont="1" applyBorder="1" applyAlignment="1">
      <alignment horizontal="left" vertical="center"/>
    </xf>
    <xf numFmtId="1" fontId="22" fillId="0" borderId="0" xfId="30" applyNumberFormat="1" applyFont="1" applyAlignment="1">
      <alignment vertical="center"/>
    </xf>
    <xf numFmtId="0" fontId="22" fillId="3" borderId="0" xfId="30" applyFont="1" applyFill="1" applyAlignment="1">
      <alignment horizontal="center"/>
    </xf>
    <xf numFmtId="0" fontId="14" fillId="3" borderId="0" xfId="30" applyFont="1" applyFill="1" applyAlignment="1">
      <alignment horizontal="left"/>
    </xf>
    <xf numFmtId="3" fontId="22" fillId="3" borderId="0" xfId="30" applyNumberFormat="1" applyFont="1" applyFill="1" applyAlignment="1">
      <alignment horizontal="center"/>
    </xf>
    <xf numFmtId="3" fontId="22" fillId="3" borderId="0" xfId="30" applyNumberFormat="1" applyFont="1" applyFill="1"/>
    <xf numFmtId="0" fontId="22" fillId="3" borderId="0" xfId="30" applyFont="1" applyFill="1"/>
    <xf numFmtId="0" fontId="22" fillId="0" borderId="0" xfId="30" applyFont="1" applyAlignment="1">
      <alignment horizontal="center"/>
    </xf>
    <xf numFmtId="0" fontId="14" fillId="0" borderId="0" xfId="30" applyFont="1" applyAlignment="1">
      <alignment horizontal="left"/>
    </xf>
    <xf numFmtId="3" fontId="22" fillId="0" borderId="0" xfId="30" applyNumberFormat="1" applyFont="1" applyAlignment="1">
      <alignment horizontal="center"/>
    </xf>
    <xf numFmtId="167" fontId="13" fillId="0" borderId="0" xfId="30" applyNumberFormat="1" applyFont="1"/>
    <xf numFmtId="167" fontId="23" fillId="0" borderId="0" xfId="30" applyNumberFormat="1" applyFont="1"/>
    <xf numFmtId="0" fontId="25" fillId="0" borderId="0" xfId="30" applyFont="1" applyAlignment="1">
      <alignment horizontal="left"/>
    </xf>
    <xf numFmtId="0" fontId="16" fillId="0" borderId="0" xfId="30" applyFont="1" applyAlignment="1">
      <alignment horizontal="center"/>
    </xf>
    <xf numFmtId="0" fontId="18" fillId="3" borderId="0" xfId="30" applyFont="1" applyFill="1"/>
    <xf numFmtId="167" fontId="15" fillId="0" borderId="0" xfId="30" applyNumberFormat="1" applyFont="1"/>
    <xf numFmtId="167" fontId="18" fillId="0" borderId="0" xfId="30" applyNumberFormat="1" applyFont="1"/>
    <xf numFmtId="0" fontId="22" fillId="0" borderId="0" xfId="30" applyFont="1" applyAlignment="1">
      <alignment horizontal="left" vertical="center"/>
    </xf>
    <xf numFmtId="0" fontId="23" fillId="0" borderId="0" xfId="30" applyFont="1"/>
    <xf numFmtId="0" fontId="18" fillId="0" borderId="0" xfId="30" applyFont="1" applyAlignment="1">
      <alignment horizontal="right"/>
    </xf>
    <xf numFmtId="167" fontId="15" fillId="0" borderId="0" xfId="30" applyNumberFormat="1" applyFont="1" applyAlignment="1">
      <alignment horizontal="left"/>
    </xf>
    <xf numFmtId="167" fontId="13" fillId="0" borderId="0" xfId="30" applyNumberFormat="1" applyFont="1" applyAlignment="1">
      <alignment horizontal="left"/>
    </xf>
    <xf numFmtId="0" fontId="17" fillId="0" borderId="0" xfId="30" applyFont="1" applyAlignment="1">
      <alignment horizontal="center" vertical="center"/>
    </xf>
    <xf numFmtId="3" fontId="18" fillId="0" borderId="0" xfId="30" applyNumberFormat="1" applyFont="1" applyAlignment="1">
      <alignment horizontal="right"/>
    </xf>
    <xf numFmtId="167" fontId="22" fillId="0" borderId="0" xfId="30" applyNumberFormat="1" applyFont="1" applyAlignment="1">
      <alignment horizontal="left"/>
    </xf>
    <xf numFmtId="167" fontId="19" fillId="0" borderId="1" xfId="30" applyNumberFormat="1" applyFont="1" applyBorder="1" applyAlignment="1">
      <alignment horizontal="center" vertical="center" wrapText="1"/>
    </xf>
    <xf numFmtId="167" fontId="19" fillId="0" borderId="1" xfId="31" applyNumberFormat="1" applyFont="1" applyBorder="1" applyAlignment="1">
      <alignment horizontal="center" vertical="center"/>
    </xf>
    <xf numFmtId="167" fontId="15" fillId="3" borderId="0" xfId="31" applyNumberFormat="1" applyFont="1" applyFill="1"/>
    <xf numFmtId="0" fontId="19" fillId="0" borderId="5" xfId="30" quotePrefix="1" applyFont="1" applyBorder="1" applyAlignment="1">
      <alignment horizontal="left"/>
    </xf>
    <xf numFmtId="0" fontId="19" fillId="0" borderId="6" xfId="30" quotePrefix="1" applyFont="1" applyBorder="1" applyAlignment="1">
      <alignment horizontal="left"/>
    </xf>
    <xf numFmtId="167" fontId="19" fillId="0" borderId="1" xfId="30" applyNumberFormat="1" applyFont="1" applyBorder="1" applyAlignment="1">
      <alignment horizontal="left" vertical="center" wrapText="1"/>
    </xf>
    <xf numFmtId="167" fontId="32" fillId="0" borderId="1" xfId="30" applyNumberFormat="1" applyFont="1" applyBorder="1" applyAlignment="1">
      <alignment horizontal="left" vertical="center"/>
    </xf>
    <xf numFmtId="167" fontId="18" fillId="0" borderId="5" xfId="30" applyNumberFormat="1" applyFont="1" applyBorder="1" applyAlignment="1">
      <alignment horizontal="center" vertical="top"/>
    </xf>
    <xf numFmtId="167" fontId="18" fillId="0" borderId="6" xfId="30" applyNumberFormat="1" applyFont="1" applyBorder="1" applyAlignment="1">
      <alignment horizontal="center" vertical="top"/>
    </xf>
    <xf numFmtId="167" fontId="18" fillId="0" borderId="1" xfId="30" applyNumberFormat="1" applyFont="1" applyBorder="1" applyAlignment="1">
      <alignment horizontal="justify" vertical="top" wrapText="1"/>
    </xf>
    <xf numFmtId="1" fontId="18" fillId="0" borderId="5" xfId="30" applyNumberFormat="1" applyFont="1" applyBorder="1" applyAlignment="1">
      <alignment horizontal="center" vertical="top"/>
    </xf>
    <xf numFmtId="0" fontId="18" fillId="0" borderId="6" xfId="30" applyFont="1" applyBorder="1" applyAlignment="1">
      <alignment horizontal="center" vertical="top"/>
    </xf>
    <xf numFmtId="165" fontId="18" fillId="0" borderId="1" xfId="30" applyNumberFormat="1" applyFont="1" applyBorder="1" applyAlignment="1">
      <alignment horizontal="center"/>
    </xf>
    <xf numFmtId="165" fontId="18" fillId="0" borderId="1" xfId="7" applyNumberFormat="1" applyFont="1" applyFill="1" applyBorder="1" applyAlignment="1">
      <alignment horizontal="right"/>
    </xf>
    <xf numFmtId="165" fontId="18" fillId="0" borderId="1" xfId="30" applyNumberFormat="1" applyFont="1" applyBorder="1"/>
    <xf numFmtId="0" fontId="18" fillId="0" borderId="5" xfId="30" applyFont="1" applyBorder="1" applyAlignment="1">
      <alignment horizontal="center" vertical="top"/>
    </xf>
    <xf numFmtId="0" fontId="20" fillId="0" borderId="6" xfId="30" applyFont="1" applyBorder="1" applyAlignment="1">
      <alignment horizontal="right" vertical="top"/>
    </xf>
    <xf numFmtId="0" fontId="18" fillId="0" borderId="1" xfId="30" applyFont="1" applyBorder="1" applyAlignment="1">
      <alignment horizontal="justify" vertical="center" wrapText="1"/>
    </xf>
    <xf numFmtId="0" fontId="15" fillId="4" borderId="0" xfId="30" applyFont="1" applyFill="1"/>
    <xf numFmtId="1" fontId="18" fillId="0" borderId="6" xfId="30" applyNumberFormat="1" applyFont="1" applyBorder="1" applyAlignment="1">
      <alignment horizontal="center" vertical="center"/>
    </xf>
    <xf numFmtId="0" fontId="19" fillId="0" borderId="1" xfId="30" applyFont="1" applyBorder="1" applyAlignment="1">
      <alignment horizontal="justify" vertical="center" wrapText="1"/>
    </xf>
    <xf numFmtId="165" fontId="18" fillId="0" borderId="1" xfId="30" applyNumberFormat="1" applyFont="1" applyBorder="1" applyAlignment="1">
      <alignment horizontal="center" vertical="center"/>
    </xf>
    <xf numFmtId="0" fontId="15" fillId="3" borderId="0" xfId="30" applyFont="1" applyFill="1" applyAlignment="1">
      <alignment vertical="center"/>
    </xf>
    <xf numFmtId="1" fontId="18" fillId="0" borderId="5" xfId="30" applyNumberFormat="1" applyFont="1" applyBorder="1" applyAlignment="1">
      <alignment horizontal="center"/>
    </xf>
    <xf numFmtId="0" fontId="20" fillId="0" borderId="6" xfId="30" applyFont="1" applyBorder="1" applyAlignment="1">
      <alignment horizontal="right"/>
    </xf>
    <xf numFmtId="0" fontId="18" fillId="0" borderId="1" xfId="30" applyFont="1" applyBorder="1" applyAlignment="1">
      <alignment horizontal="justify" wrapText="1"/>
    </xf>
    <xf numFmtId="1" fontId="18" fillId="0" borderId="5" xfId="30" applyNumberFormat="1" applyFont="1" applyBorder="1" applyAlignment="1">
      <alignment horizontal="center" vertical="center"/>
    </xf>
    <xf numFmtId="0" fontId="18" fillId="0" borderId="6" xfId="30" applyFont="1" applyBorder="1" applyAlignment="1">
      <alignment horizontal="center" vertical="center"/>
    </xf>
    <xf numFmtId="0" fontId="18" fillId="0" borderId="5" xfId="30" applyFont="1" applyBorder="1" applyAlignment="1">
      <alignment horizontal="center" vertical="center"/>
    </xf>
    <xf numFmtId="0" fontId="18" fillId="0" borderId="6" xfId="30" applyFont="1" applyBorder="1" applyAlignment="1">
      <alignment horizontal="right" vertical="center"/>
    </xf>
    <xf numFmtId="0" fontId="15" fillId="4" borderId="0" xfId="30" applyFont="1" applyFill="1" applyAlignment="1">
      <alignment vertical="center"/>
    </xf>
    <xf numFmtId="0" fontId="18" fillId="0" borderId="6" xfId="30" applyFont="1" applyBorder="1" applyAlignment="1">
      <alignment horizontal="right" vertical="top"/>
    </xf>
    <xf numFmtId="0" fontId="18" fillId="0" borderId="7" xfId="30" applyFont="1" applyBorder="1" applyAlignment="1">
      <alignment horizontal="center" vertical="top"/>
    </xf>
    <xf numFmtId="0" fontId="18" fillId="0" borderId="8" xfId="30" applyFont="1" applyBorder="1" applyAlignment="1">
      <alignment horizontal="center" vertical="center"/>
    </xf>
    <xf numFmtId="0" fontId="18" fillId="0" borderId="13" xfId="30" applyFont="1" applyBorder="1" applyAlignment="1">
      <alignment horizontal="center" vertical="top"/>
    </xf>
    <xf numFmtId="0" fontId="18" fillId="0" borderId="14" xfId="30" applyFont="1" applyBorder="1" applyAlignment="1">
      <alignment horizontal="center" vertical="top"/>
    </xf>
    <xf numFmtId="0" fontId="17" fillId="0" borderId="1" xfId="30" applyFont="1" applyBorder="1" applyAlignment="1">
      <alignment horizontal="right" vertical="center"/>
    </xf>
    <xf numFmtId="0" fontId="17" fillId="0" borderId="1" xfId="30" applyFont="1" applyBorder="1" applyAlignment="1">
      <alignment horizontal="center" vertical="center"/>
    </xf>
    <xf numFmtId="165" fontId="17" fillId="0" borderId="1" xfId="30" applyNumberFormat="1" applyFont="1" applyBorder="1" applyAlignment="1">
      <alignment vertical="center"/>
    </xf>
    <xf numFmtId="0" fontId="15" fillId="0" borderId="0" xfId="30" applyFont="1" applyFill="1"/>
    <xf numFmtId="0" fontId="15" fillId="5" borderId="0" xfId="30" applyFont="1" applyFill="1" applyAlignment="1">
      <alignment horizontal="center"/>
    </xf>
    <xf numFmtId="0" fontId="15" fillId="5" borderId="0" xfId="30" applyFont="1" applyFill="1"/>
    <xf numFmtId="166" fontId="4" fillId="0" borderId="0" xfId="30" applyNumberFormat="1" applyFont="1" applyBorder="1" applyAlignment="1">
      <alignment vertical="top"/>
    </xf>
    <xf numFmtId="0" fontId="4" fillId="0" borderId="0" xfId="30" applyFont="1" applyBorder="1" applyAlignment="1">
      <alignment vertical="center"/>
    </xf>
    <xf numFmtId="0" fontId="28" fillId="0" borderId="3" xfId="15" applyFont="1" applyBorder="1" applyAlignment="1">
      <alignment horizontal="center" vertical="center"/>
    </xf>
    <xf numFmtId="165" fontId="28" fillId="0" borderId="3" xfId="1" applyNumberFormat="1" applyFont="1" applyBorder="1" applyAlignment="1">
      <alignment horizontal="center" vertical="center"/>
    </xf>
    <xf numFmtId="0" fontId="25" fillId="2" borderId="18" xfId="15" applyFont="1" applyFill="1" applyBorder="1" applyAlignment="1">
      <alignment horizontal="center" vertical="center"/>
    </xf>
    <xf numFmtId="0" fontId="25" fillId="2" borderId="19" xfId="15" applyFont="1" applyFill="1" applyBorder="1" applyAlignment="1">
      <alignment horizontal="center" vertical="center"/>
    </xf>
    <xf numFmtId="0" fontId="25" fillId="2" borderId="20" xfId="15" applyFont="1" applyFill="1" applyBorder="1" applyAlignment="1">
      <alignment horizontal="center" vertical="center"/>
    </xf>
    <xf numFmtId="3" fontId="13" fillId="3" borderId="2" xfId="30" applyNumberFormat="1" applyFont="1" applyFill="1" applyBorder="1" applyAlignment="1">
      <alignment horizontal="center" vertical="center"/>
    </xf>
    <xf numFmtId="3" fontId="22" fillId="3" borderId="2" xfId="30" applyNumberFormat="1" applyFont="1" applyFill="1" applyBorder="1"/>
    <xf numFmtId="165" fontId="22" fillId="3" borderId="2" xfId="1" applyNumberFormat="1" applyFont="1" applyFill="1" applyBorder="1" applyAlignment="1">
      <alignment vertical="center"/>
    </xf>
    <xf numFmtId="3" fontId="22" fillId="3" borderId="2" xfId="30" applyNumberFormat="1" applyFont="1" applyFill="1" applyBorder="1" applyAlignment="1">
      <alignment vertical="center"/>
    </xf>
    <xf numFmtId="3" fontId="13" fillId="3" borderId="2" xfId="30" applyNumberFormat="1" applyFont="1" applyFill="1" applyBorder="1" applyAlignment="1">
      <alignment vertical="center"/>
    </xf>
    <xf numFmtId="167" fontId="22" fillId="3" borderId="1" xfId="30" applyNumberFormat="1" applyFont="1" applyFill="1" applyBorder="1" applyAlignment="1">
      <alignment horizontal="justify" vertical="center"/>
    </xf>
    <xf numFmtId="0" fontId="22" fillId="3" borderId="1" xfId="30" quotePrefix="1" applyFont="1" applyFill="1" applyBorder="1" applyAlignment="1">
      <alignment horizontal="justify" vertical="center"/>
    </xf>
    <xf numFmtId="0" fontId="25" fillId="2" borderId="1" xfId="15" applyFont="1" applyFill="1" applyBorder="1" applyAlignment="1">
      <alignment horizontal="center" vertical="center" wrapText="1"/>
    </xf>
    <xf numFmtId="0" fontId="25" fillId="0" borderId="0" xfId="15" applyFont="1" applyAlignment="1">
      <alignment horizontal="left" wrapText="1"/>
    </xf>
    <xf numFmtId="0" fontId="26" fillId="0" borderId="0" xfId="15" applyFont="1" applyAlignment="1">
      <alignment horizontal="left"/>
    </xf>
    <xf numFmtId="0" fontId="25" fillId="0" borderId="0" xfId="15" applyFont="1" applyAlignment="1">
      <alignment horizontal="left"/>
    </xf>
    <xf numFmtId="0" fontId="26" fillId="0" borderId="0" xfId="15" applyFont="1" applyAlignment="1">
      <alignment horizontal="right"/>
    </xf>
    <xf numFmtId="3" fontId="13" fillId="3" borderId="11" xfId="30" applyNumberFormat="1" applyFont="1" applyFill="1" applyBorder="1" applyAlignment="1">
      <alignment horizontal="center" vertical="center"/>
    </xf>
    <xf numFmtId="3" fontId="13" fillId="3" borderId="4" xfId="30" applyNumberFormat="1" applyFont="1" applyFill="1" applyBorder="1" applyAlignment="1">
      <alignment horizontal="center" vertical="center"/>
    </xf>
    <xf numFmtId="167" fontId="13" fillId="0" borderId="1" xfId="30" applyNumberFormat="1" applyFont="1" applyBorder="1" applyAlignment="1">
      <alignment horizontal="center" vertical="center"/>
    </xf>
    <xf numFmtId="0" fontId="17" fillId="0" borderId="0" xfId="30" applyFont="1" applyBorder="1" applyAlignment="1">
      <alignment horizontal="center" vertical="center"/>
    </xf>
    <xf numFmtId="167" fontId="19" fillId="0" borderId="9" xfId="30" applyNumberFormat="1" applyFont="1" applyBorder="1" applyAlignment="1">
      <alignment horizontal="center" vertical="center"/>
    </xf>
    <xf numFmtId="167" fontId="19" fillId="0" borderId="15" xfId="30" applyNumberFormat="1" applyFont="1" applyBorder="1" applyAlignment="1">
      <alignment horizontal="center" vertical="center"/>
    </xf>
    <xf numFmtId="167" fontId="19" fillId="0" borderId="12" xfId="30" applyNumberFormat="1" applyFont="1" applyBorder="1" applyAlignment="1">
      <alignment horizontal="center" vertical="center"/>
    </xf>
    <xf numFmtId="167" fontId="19" fillId="0" borderId="16" xfId="30" applyNumberFormat="1" applyFont="1" applyBorder="1" applyAlignment="1">
      <alignment horizontal="center" vertical="center"/>
    </xf>
    <xf numFmtId="167" fontId="19" fillId="0" borderId="1" xfId="30" applyNumberFormat="1" applyFont="1" applyBorder="1" applyAlignment="1">
      <alignment horizontal="center" vertical="center"/>
    </xf>
    <xf numFmtId="167" fontId="19" fillId="0" borderId="1" xfId="30" applyNumberFormat="1" applyFont="1" applyBorder="1" applyAlignment="1">
      <alignment horizontal="center" vertical="center" wrapText="1"/>
    </xf>
    <xf numFmtId="167" fontId="13" fillId="0" borderId="0" xfId="30" applyNumberFormat="1" applyFont="1" applyBorder="1" applyAlignment="1" applyProtection="1">
      <alignment horizontal="left" vertical="center"/>
    </xf>
    <xf numFmtId="167" fontId="14" fillId="0" borderId="0" xfId="30" applyNumberFormat="1" applyFont="1" applyBorder="1" applyAlignment="1" applyProtection="1">
      <alignment horizontal="left" vertical="center"/>
    </xf>
    <xf numFmtId="0" fontId="22" fillId="0" borderId="0" xfId="30" applyFont="1" applyFill="1" applyAlignment="1">
      <alignment vertical="center"/>
    </xf>
    <xf numFmtId="0" fontId="16" fillId="0" borderId="0" xfId="30" applyFont="1" applyAlignment="1">
      <alignment horizontal="center" vertical="center"/>
    </xf>
    <xf numFmtId="3" fontId="16" fillId="0" borderId="0" xfId="30" applyNumberFormat="1" applyFont="1" applyFill="1" applyAlignment="1">
      <alignment horizontal="center" vertical="center"/>
    </xf>
    <xf numFmtId="3" fontId="17" fillId="3" borderId="0" xfId="30" applyNumberFormat="1" applyFont="1" applyFill="1" applyAlignment="1">
      <alignment horizontal="center" vertical="center"/>
    </xf>
    <xf numFmtId="0" fontId="18" fillId="0" borderId="0" xfId="30" applyFont="1" applyBorder="1" applyAlignment="1">
      <alignment vertical="center"/>
    </xf>
    <xf numFmtId="167" fontId="22" fillId="0" borderId="0" xfId="30" applyNumberFormat="1" applyFont="1" applyBorder="1" applyAlignment="1" applyProtection="1">
      <alignment horizontal="left" vertical="center"/>
    </xf>
    <xf numFmtId="3" fontId="15" fillId="3" borderId="0" xfId="30" applyNumberFormat="1" applyFont="1" applyFill="1" applyAlignment="1">
      <alignment vertical="center"/>
    </xf>
    <xf numFmtId="3" fontId="18" fillId="3" borderId="0" xfId="30" applyNumberFormat="1" applyFont="1" applyFill="1" applyAlignment="1">
      <alignment vertical="center"/>
    </xf>
    <xf numFmtId="0" fontId="15" fillId="0" borderId="0" xfId="30" applyFont="1" applyBorder="1" applyAlignment="1">
      <alignment vertical="center"/>
    </xf>
    <xf numFmtId="0" fontId="15" fillId="0" borderId="0" xfId="30" applyFont="1" applyFill="1" applyAlignment="1">
      <alignment vertical="center"/>
    </xf>
    <xf numFmtId="3" fontId="15" fillId="3" borderId="0" xfId="30" applyNumberFormat="1" applyFont="1" applyFill="1" applyBorder="1" applyAlignment="1">
      <alignment horizontal="right" vertical="center"/>
    </xf>
    <xf numFmtId="0" fontId="15" fillId="3" borderId="0" xfId="30" applyFont="1" applyFill="1" applyAlignment="1">
      <alignment horizontal="center"/>
    </xf>
    <xf numFmtId="0" fontId="1" fillId="3" borderId="0" xfId="30" applyFont="1" applyFill="1" applyAlignment="1">
      <alignment horizontal="left"/>
    </xf>
    <xf numFmtId="3" fontId="15" fillId="3" borderId="0" xfId="30" applyNumberFormat="1" applyFont="1" applyFill="1" applyAlignment="1">
      <alignment horizontal="center"/>
    </xf>
    <xf numFmtId="3" fontId="15" fillId="3" borderId="0" xfId="30" applyNumberFormat="1" applyFont="1" applyFill="1" applyAlignment="1"/>
    <xf numFmtId="0" fontId="15" fillId="3" borderId="0" xfId="30" applyFont="1" applyFill="1" applyBorder="1"/>
    <xf numFmtId="0" fontId="1" fillId="0" borderId="0" xfId="30" applyFont="1" applyAlignment="1">
      <alignment horizontal="left"/>
    </xf>
    <xf numFmtId="3" fontId="15" fillId="0" borderId="0" xfId="30" applyNumberFormat="1" applyFont="1" applyFill="1" applyAlignment="1">
      <alignment horizontal="center"/>
    </xf>
    <xf numFmtId="0" fontId="15" fillId="0" borderId="0" xfId="30" applyFont="1" applyBorder="1"/>
    <xf numFmtId="0" fontId="18" fillId="0" borderId="1" xfId="30" applyFont="1" applyFill="1" applyBorder="1" applyAlignment="1">
      <alignment horizontal="center"/>
    </xf>
    <xf numFmtId="0" fontId="34" fillId="0" borderId="1" xfId="30" applyFont="1" applyFill="1" applyBorder="1" applyAlignment="1">
      <alignment horizontal="left"/>
    </xf>
    <xf numFmtId="3" fontId="18" fillId="0" borderId="1" xfId="30" applyNumberFormat="1" applyFont="1" applyFill="1" applyBorder="1" applyAlignment="1">
      <alignment horizontal="center"/>
    </xf>
    <xf numFmtId="3" fontId="18" fillId="0" borderId="1" xfId="30" applyNumberFormat="1" applyFont="1" applyFill="1" applyBorder="1" applyAlignment="1"/>
    <xf numFmtId="0" fontId="19" fillId="0" borderId="1" xfId="30" applyFont="1" applyFill="1" applyBorder="1" applyAlignment="1">
      <alignment horizontal="center"/>
    </xf>
    <xf numFmtId="3" fontId="19" fillId="0" borderId="1" xfId="30" applyNumberFormat="1" applyFont="1" applyFill="1" applyBorder="1" applyAlignment="1">
      <alignment horizontal="center"/>
    </xf>
    <xf numFmtId="3" fontId="19" fillId="0" borderId="1" xfId="30" applyNumberFormat="1" applyFont="1" applyFill="1" applyBorder="1" applyAlignment="1"/>
    <xf numFmtId="3" fontId="18" fillId="0" borderId="1" xfId="30" applyNumberFormat="1" applyFont="1" applyFill="1" applyBorder="1" applyAlignment="1">
      <alignment horizontal="right"/>
    </xf>
    <xf numFmtId="167" fontId="18" fillId="0" borderId="1" xfId="30" applyNumberFormat="1" applyFont="1" applyBorder="1" applyAlignment="1" applyProtection="1">
      <alignment horizontal="center"/>
    </xf>
    <xf numFmtId="167" fontId="17" fillId="0" borderId="21" xfId="30" applyNumberFormat="1" applyFont="1" applyFill="1" applyBorder="1" applyAlignment="1" applyProtection="1">
      <alignment horizontal="center"/>
    </xf>
    <xf numFmtId="167" fontId="17" fillId="0" borderId="22" xfId="30" applyNumberFormat="1" applyFont="1" applyFill="1" applyBorder="1" applyAlignment="1" applyProtection="1">
      <alignment horizontal="center"/>
    </xf>
    <xf numFmtId="167" fontId="17" fillId="0" borderId="24" xfId="30" applyNumberFormat="1" applyFont="1" applyFill="1" applyBorder="1" applyAlignment="1" applyProtection="1">
      <alignment horizontal="center"/>
    </xf>
    <xf numFmtId="3" fontId="17" fillId="0" borderId="24" xfId="30" applyNumberFormat="1" applyFont="1" applyFill="1" applyBorder="1" applyAlignment="1" applyProtection="1">
      <alignment horizontal="center"/>
    </xf>
    <xf numFmtId="3" fontId="17" fillId="3" borderId="1" xfId="30" applyNumberFormat="1" applyFont="1" applyFill="1" applyBorder="1" applyAlignment="1">
      <alignment horizontal="center"/>
    </xf>
    <xf numFmtId="0" fontId="17" fillId="0" borderId="1" xfId="30" applyFont="1" applyBorder="1" applyAlignment="1">
      <alignment horizontal="center"/>
    </xf>
    <xf numFmtId="0" fontId="15" fillId="0" borderId="0" xfId="30" applyFont="1" applyBorder="1" applyAlignment="1"/>
    <xf numFmtId="167" fontId="17" fillId="0" borderId="23" xfId="30" applyNumberFormat="1" applyFont="1" applyFill="1" applyBorder="1" applyAlignment="1" applyProtection="1">
      <alignment horizontal="center"/>
    </xf>
    <xf numFmtId="167" fontId="17" fillId="0" borderId="17" xfId="30" applyNumberFormat="1" applyFont="1" applyFill="1" applyBorder="1" applyAlignment="1" applyProtection="1">
      <alignment horizontal="center"/>
    </xf>
    <xf numFmtId="167" fontId="17" fillId="0" borderId="3" xfId="30" applyNumberFormat="1" applyFont="1" applyFill="1" applyBorder="1" applyAlignment="1" applyProtection="1">
      <alignment horizontal="center"/>
    </xf>
    <xf numFmtId="3" fontId="17" fillId="0" borderId="3" xfId="30" applyNumberFormat="1" applyFont="1" applyFill="1" applyBorder="1" applyAlignment="1" applyProtection="1">
      <alignment horizontal="center"/>
    </xf>
    <xf numFmtId="3" fontId="17" fillId="3" borderId="1" xfId="30" applyNumberFormat="1" applyFont="1" applyFill="1" applyBorder="1" applyAlignment="1">
      <alignment horizontal="center"/>
    </xf>
    <xf numFmtId="0" fontId="17" fillId="4" borderId="0" xfId="30" applyFont="1" applyFill="1" applyBorder="1" applyAlignment="1"/>
    <xf numFmtId="167" fontId="17" fillId="0" borderId="1" xfId="30" applyNumberFormat="1" applyFont="1" applyFill="1" applyBorder="1" applyAlignment="1" applyProtection="1">
      <alignment horizontal="center"/>
    </xf>
    <xf numFmtId="3" fontId="17" fillId="0" borderId="1" xfId="30" applyNumberFormat="1" applyFont="1" applyFill="1" applyBorder="1" applyAlignment="1" applyProtection="1">
      <alignment horizontal="center"/>
    </xf>
    <xf numFmtId="0" fontId="18" fillId="0" borderId="1" xfId="30" applyFont="1" applyFill="1" applyBorder="1" applyAlignment="1">
      <alignment horizontal="justify"/>
    </xf>
    <xf numFmtId="0" fontId="18" fillId="0" borderId="0" xfId="30" applyFont="1" applyBorder="1" applyAlignment="1"/>
    <xf numFmtId="166" fontId="35" fillId="0" borderId="1" xfId="30" applyNumberFormat="1" applyFont="1" applyFill="1" applyBorder="1" applyAlignment="1">
      <alignment horizontal="center"/>
    </xf>
    <xf numFmtId="0" fontId="18" fillId="0" borderId="1" xfId="30" applyFont="1" applyFill="1" applyBorder="1" applyAlignment="1"/>
    <xf numFmtId="165" fontId="22" fillId="0" borderId="1" xfId="1" applyNumberFormat="1" applyFont="1" applyFill="1" applyBorder="1" applyAlignment="1"/>
    <xf numFmtId="167" fontId="18" fillId="0" borderId="1" xfId="30" applyNumberFormat="1" applyFont="1" applyFill="1" applyBorder="1" applyAlignment="1">
      <alignment horizontal="center"/>
    </xf>
    <xf numFmtId="167" fontId="34" fillId="0" borderId="1" xfId="30" applyNumberFormat="1" applyFont="1" applyFill="1" applyBorder="1" applyAlignment="1">
      <alignment horizontal="left"/>
    </xf>
    <xf numFmtId="0" fontId="18" fillId="0" borderId="1" xfId="30" quotePrefix="1" applyFont="1" applyFill="1" applyBorder="1" applyAlignment="1" applyProtection="1">
      <alignment horizontal="justify"/>
    </xf>
    <xf numFmtId="167" fontId="18" fillId="0" borderId="1" xfId="30" applyNumberFormat="1" applyFont="1" applyFill="1" applyBorder="1" applyAlignment="1" applyProtection="1">
      <alignment horizontal="center"/>
    </xf>
    <xf numFmtId="0" fontId="18" fillId="0" borderId="0" xfId="30" applyFont="1" applyFill="1" applyBorder="1" applyAlignment="1"/>
    <xf numFmtId="167" fontId="18" fillId="0" borderId="1" xfId="30" applyNumberFormat="1" applyFont="1" applyFill="1" applyBorder="1" applyAlignment="1" applyProtection="1">
      <alignment horizontal="left"/>
    </xf>
    <xf numFmtId="1" fontId="18" fillId="0" borderId="1" xfId="30" applyNumberFormat="1" applyFont="1" applyFill="1" applyBorder="1" applyAlignment="1">
      <alignment horizontal="center"/>
    </xf>
    <xf numFmtId="1" fontId="19" fillId="0" borderId="1" xfId="30" applyNumberFormat="1" applyFont="1" applyFill="1" applyBorder="1" applyAlignment="1">
      <alignment horizontal="center"/>
    </xf>
    <xf numFmtId="0" fontId="36" fillId="0" borderId="1" xfId="30" applyFont="1" applyFill="1" applyBorder="1" applyAlignment="1">
      <alignment horizontal="left"/>
    </xf>
    <xf numFmtId="0" fontId="19" fillId="0" borderId="1" xfId="30" applyFont="1" applyFill="1" applyBorder="1" applyAlignment="1">
      <alignment horizontal="justify"/>
    </xf>
    <xf numFmtId="0" fontId="19" fillId="0" borderId="0" xfId="30" applyFont="1" applyBorder="1" applyAlignment="1"/>
    <xf numFmtId="167" fontId="18" fillId="0" borderId="1" xfId="30" applyNumberFormat="1" applyFont="1" applyFill="1" applyBorder="1" applyAlignment="1" applyProtection="1">
      <alignment horizontal="justify"/>
    </xf>
    <xf numFmtId="167" fontId="18" fillId="0" borderId="1" xfId="30" applyNumberFormat="1" applyFont="1" applyFill="1" applyBorder="1" applyAlignment="1" applyProtection="1">
      <alignment horizontal="justify" wrapText="1"/>
    </xf>
    <xf numFmtId="166" fontId="34" fillId="0" borderId="1" xfId="30" applyNumberFormat="1" applyFont="1" applyFill="1" applyBorder="1" applyAlignment="1">
      <alignment horizontal="left"/>
    </xf>
    <xf numFmtId="2" fontId="34" fillId="0" borderId="1" xfId="30" applyNumberFormat="1" applyFont="1" applyFill="1" applyBorder="1" applyAlignment="1">
      <alignment horizontal="left"/>
    </xf>
    <xf numFmtId="1" fontId="18" fillId="0" borderId="1" xfId="30" quotePrefix="1" applyNumberFormat="1" applyFont="1" applyFill="1" applyBorder="1" applyAlignment="1">
      <alignment horizontal="center"/>
    </xf>
    <xf numFmtId="0" fontId="34" fillId="0" borderId="1" xfId="30" quotePrefix="1" applyFont="1" applyFill="1" applyBorder="1" applyAlignment="1">
      <alignment horizontal="left"/>
    </xf>
    <xf numFmtId="0" fontId="20" fillId="0" borderId="1" xfId="30" applyFont="1" applyFill="1" applyBorder="1" applyAlignment="1">
      <alignment horizontal="center"/>
    </xf>
    <xf numFmtId="166" fontId="21" fillId="0" borderId="1" xfId="30" applyNumberFormat="1" applyFont="1" applyFill="1" applyBorder="1" applyAlignment="1">
      <alignment horizontal="left"/>
    </xf>
    <xf numFmtId="0" fontId="20" fillId="0" borderId="0" xfId="30" applyFont="1" applyBorder="1" applyAlignment="1"/>
    <xf numFmtId="0" fontId="18" fillId="0" borderId="1" xfId="30" quotePrefix="1" applyFont="1" applyFill="1" applyBorder="1" applyAlignment="1">
      <alignment horizontal="center"/>
    </xf>
    <xf numFmtId="0" fontId="21" fillId="0" borderId="1" xfId="30" applyFont="1" applyFill="1" applyBorder="1" applyAlignment="1">
      <alignment horizontal="left"/>
    </xf>
    <xf numFmtId="3" fontId="33" fillId="0" borderId="1" xfId="30" applyNumberFormat="1" applyFont="1" applyFill="1" applyBorder="1" applyAlignment="1">
      <alignment horizontal="center"/>
    </xf>
    <xf numFmtId="167" fontId="34" fillId="0" borderId="1" xfId="30" applyNumberFormat="1" applyFont="1" applyFill="1" applyBorder="1" applyAlignment="1" applyProtection="1">
      <alignment horizontal="left"/>
    </xf>
    <xf numFmtId="167" fontId="18" fillId="0" borderId="1" xfId="30" quotePrefix="1" applyNumberFormat="1" applyFont="1" applyFill="1" applyBorder="1" applyAlignment="1" applyProtection="1">
      <alignment horizontal="center"/>
    </xf>
    <xf numFmtId="167" fontId="34" fillId="0" borderId="1" xfId="30" quotePrefix="1" applyNumberFormat="1" applyFont="1" applyFill="1" applyBorder="1" applyAlignment="1" applyProtection="1">
      <alignment horizontal="left"/>
    </xf>
    <xf numFmtId="167" fontId="18" fillId="0" borderId="1" xfId="30" quotePrefix="1" applyNumberFormat="1" applyFont="1" applyFill="1" applyBorder="1" applyAlignment="1" applyProtection="1">
      <alignment horizontal="justify"/>
    </xf>
    <xf numFmtId="0" fontId="18" fillId="0" borderId="1" xfId="30" applyFont="1" applyFill="1" applyBorder="1" applyAlignment="1" applyProtection="1">
      <alignment horizontal="justify"/>
    </xf>
    <xf numFmtId="167" fontId="18" fillId="0" borderId="1" xfId="30" quotePrefix="1" applyNumberFormat="1" applyFont="1" applyFill="1" applyBorder="1" applyAlignment="1">
      <alignment horizontal="center"/>
    </xf>
    <xf numFmtId="167" fontId="34" fillId="0" borderId="1" xfId="30" quotePrefix="1" applyNumberFormat="1" applyFont="1" applyFill="1" applyBorder="1" applyAlignment="1">
      <alignment horizontal="left"/>
    </xf>
    <xf numFmtId="1" fontId="18" fillId="0" borderId="0" xfId="30" applyNumberFormat="1" applyFont="1" applyBorder="1" applyAlignment="1"/>
    <xf numFmtId="0" fontId="20" fillId="0" borderId="1" xfId="30" applyFont="1" applyBorder="1" applyAlignment="1">
      <alignment horizontal="center"/>
    </xf>
    <xf numFmtId="0" fontId="18" fillId="0" borderId="1" xfId="30" applyFont="1" applyBorder="1" applyAlignment="1"/>
    <xf numFmtId="167" fontId="18" fillId="0" borderId="1" xfId="30" quotePrefix="1" applyNumberFormat="1" applyFont="1" applyBorder="1" applyAlignment="1">
      <alignment horizontal="center"/>
    </xf>
    <xf numFmtId="167" fontId="34" fillId="0" borderId="1" xfId="30" quotePrefix="1" applyNumberFormat="1" applyFont="1" applyBorder="1" applyAlignment="1">
      <alignment horizontal="left"/>
    </xf>
    <xf numFmtId="0" fontId="34" fillId="0" borderId="1" xfId="30" applyFont="1" applyBorder="1" applyAlignment="1">
      <alignment horizontal="left"/>
    </xf>
    <xf numFmtId="167" fontId="13" fillId="0" borderId="1" xfId="30" applyNumberFormat="1" applyFont="1" applyFill="1" applyBorder="1" applyAlignment="1" applyProtection="1">
      <alignment horizontal="right"/>
    </xf>
    <xf numFmtId="3" fontId="17" fillId="0" borderId="1" xfId="30" applyNumberFormat="1" applyFont="1" applyFill="1" applyBorder="1" applyAlignment="1">
      <alignment horizontal="center"/>
    </xf>
    <xf numFmtId="3" fontId="13" fillId="3" borderId="1" xfId="30" applyNumberFormat="1" applyFont="1" applyFill="1" applyBorder="1" applyAlignment="1" applyProtection="1"/>
    <xf numFmtId="3" fontId="13" fillId="3" borderId="1" xfId="30" applyNumberFormat="1" applyFont="1" applyFill="1" applyBorder="1" applyAlignment="1"/>
    <xf numFmtId="3" fontId="23" fillId="3" borderId="1" xfId="30" applyNumberFormat="1" applyFont="1" applyFill="1" applyBorder="1" applyAlignment="1"/>
  </cellXfs>
  <cellStyles count="35">
    <cellStyle name="Comma" xfId="1" builtinId="3"/>
    <cellStyle name="Comma [0]" xfId="2" builtinId="6"/>
    <cellStyle name="Comma 11" xfId="3"/>
    <cellStyle name="Comma 13" xfId="4"/>
    <cellStyle name="Comma 2" xfId="5"/>
    <cellStyle name="Comma 2 2" xfId="6"/>
    <cellStyle name="Comma 2 3" xfId="7"/>
    <cellStyle name="Comma 3" xfId="8"/>
    <cellStyle name="Comma 4" xfId="32"/>
    <cellStyle name="Comma 4 2" xfId="9"/>
    <cellStyle name="Comma 5 2" xfId="10"/>
    <cellStyle name="Comma 6 4 2" xfId="11"/>
    <cellStyle name="Comma 6 5" xfId="12"/>
    <cellStyle name="Comma 7" xfId="34"/>
    <cellStyle name="Normal" xfId="0" builtinId="0"/>
    <cellStyle name="Normal 10 2" xfId="13"/>
    <cellStyle name="Normal 11" xfId="14"/>
    <cellStyle name="Normal 19" xfId="15"/>
    <cellStyle name="Normal 2" xfId="16"/>
    <cellStyle name="Normal 2 2" xfId="17"/>
    <cellStyle name="Normal 2 2 2" xfId="18"/>
    <cellStyle name="Normal 2 2 3" xfId="29"/>
    <cellStyle name="Normal 2 3" xfId="19"/>
    <cellStyle name="Normal 2 4" xfId="30"/>
    <cellStyle name="Normal 2 8" xfId="20"/>
    <cellStyle name="Normal 2 8 2" xfId="21"/>
    <cellStyle name="Normal 3" xfId="22"/>
    <cellStyle name="Normal 3 3_BOQ" xfId="23"/>
    <cellStyle name="Normal 4" xfId="24"/>
    <cellStyle name="Normal 5" xfId="25"/>
    <cellStyle name="Normal 5 10 5" xfId="26"/>
    <cellStyle name="Normal 5 2" xfId="27"/>
    <cellStyle name="Normal 6" xfId="28"/>
    <cellStyle name="Normal_Book1" xfId="31"/>
    <cellStyle name="Percent 2" xfId="3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theme" Target="theme/theme1.xml"/><Relationship Id="rId10" Type="http://schemas.openxmlformats.org/officeDocument/2006/relationships/externalLink" Target="externalLinks/externalLink6.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omp8\comp8c\%60COMP8%20DOCS\~Marketing\m703~Weyerhauser\m703A\PROPOSAL\970131\old%20files\970121%20fee%20rat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nts%20and%20Settings\in211979\Local%20Settings\Temporary%20Internet%20Files\OLKA\Order%20Monitoring_Kapatgudd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gw4\d\My%20Document\Bk_hgw-4\zaheer\MAKRAN%20COASTAL%202000\BOQ%20Nallient%20Gawadar%20Sub%20Sectio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Documents%20and%20Settings\ripal\Desktop\Extra\Book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space.us.intranet.db.com/site4129/Shared%20DB%20Documents/I.%20Control%20Function%20Requirements/Team%20Folder/SRM/CF-Control%20Requirements-SRM.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t_server\projects\3745A\civil\Tender\BOQ.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226.10.10\cpc%20database\DOCUME~1\ADFC18~1\LOCALS~1\Temp\notesE8DBF2\Completed%20Projects\G.P%20Road\Final%20Bill%20from%20DPIPL%20to%20HDFC%20Bank\Final%20Bill%20G.P%20Road%20(R1)%20-%2025.0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space.us.intranet.db.com/site4129/Shared%20DB%20Documents/I.%20Control%20Function%20Requirements/Team%20Folder/ITR/ITR%20CF-Control%20Requirements-TemplateV2%20Final%20RR.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WINDOWS\DEPR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e Rate Summary"/>
      <sheetName val="970121 fee rates"/>
      <sheetName val="p&amp;m"/>
      <sheetName val="SOR"/>
      <sheetName val="Headings"/>
      <sheetName val="Civil Boq"/>
      <sheetName val="BOQ"/>
      <sheetName val="SPT vs PHI"/>
      <sheetName val="Site Dev BOQ"/>
      <sheetName val="BOQ (2)"/>
      <sheetName val="PRECAST lightconc-II"/>
      <sheetName val="GBW"/>
      <sheetName val="FitOutConfCentre"/>
      <sheetName val="MASTER_RATE ANALYSIS"/>
      <sheetName val="A1-Continuous"/>
      <sheetName val="Tax Invoice"/>
      <sheetName val="Design"/>
      <sheetName val="PA- Consutant "/>
      <sheetName val="Materials Cost"/>
      <sheetName val="INDIGINEOUS ITEMS "/>
      <sheetName val="FORM7"/>
      <sheetName val="Kurkumbh BOQ"/>
      <sheetName val="VCH-SLC"/>
      <sheetName val="Supplier"/>
      <sheetName val="sheet6"/>
      <sheetName val="CASHFLOWS"/>
      <sheetName val="Form 6"/>
      <sheetName val="jobhist"/>
      <sheetName val="upa"/>
      <sheetName val="Assumptions"/>
      <sheetName val="PPA Summary"/>
      <sheetName val="India F&amp;S Template"/>
      <sheetName val="1"/>
      <sheetName val="Lab"/>
      <sheetName val="girder"/>
      <sheetName val="PRELIM5"/>
      <sheetName val="Rocker"/>
      <sheetName val="office"/>
      <sheetName val="Summary"/>
      <sheetName val="Resource Usage"/>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ointNo.5"/>
      <sheetName val="Input"/>
      <sheetName val="Sheet1"/>
      <sheetName val="monitoring-breakup Feb02"/>
      <sheetName val="Manpower"/>
      <sheetName val="TBEAM"/>
      <sheetName val="Fee_Rate_Summary"/>
      <sheetName val="970121_fee_rates"/>
      <sheetName val="PA-_Consutant_"/>
      <sheetName val="Materials_Cost"/>
      <sheetName val="Civil_Boq"/>
      <sheetName val="SPT_vs_PHI"/>
      <sheetName val="Site_Dev_BOQ"/>
      <sheetName val="BOQ_(2)"/>
      <sheetName val="PRECAST_lightconc-II"/>
      <sheetName val="rev.02"/>
      <sheetName val="Approved MTD Proj #'s"/>
      <sheetName val="BLK2"/>
      <sheetName val="BLK3"/>
      <sheetName val="E &amp; R"/>
      <sheetName val="radar"/>
      <sheetName val="UG"/>
      <sheetName val="가격조사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rice Calculation"/>
      <sheetName val="Rates"/>
      <sheetName val="Costcal"/>
      <sheetName val="Price Summary"/>
      <sheetName val="Civil&amp;Structure Estimate"/>
      <sheetName val="CRP"/>
      <sheetName val="Total BOQ"/>
      <sheetName val="Tray &amp; Steel"/>
      <sheetName val="Clamps &amp; Connectors"/>
      <sheetName val="SLD03_Cond&amp;Earthwire estimate"/>
      <sheetName val="TUB. BUS"/>
      <sheetName val="Fee Rate 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 1"/>
      <sheetName val="TOC"/>
      <sheetName val="SOC"/>
      <sheetName val="BOQ-1of1"/>
      <sheetName val="BOQ-1of2"/>
      <sheetName val="BOQ-2"/>
      <sheetName val="BOQ-3"/>
      <sheetName val="BOQ 4A-1"/>
      <sheetName val="Boq 4A-2"/>
      <sheetName val="BOQ 4B-1"/>
      <sheetName val="BOQ 4B-2"/>
      <sheetName val="BOQ 4B-3"/>
      <sheetName val="BOQ 4C-1"/>
      <sheetName val="BOQ 4C-2"/>
      <sheetName val="BOQ-5"/>
      <sheetName val="BOQ 6"/>
      <sheetName val="BOQ 7"/>
      <sheetName val="SOC-FINAL"/>
    </sheetNames>
    <sheetDataSet>
      <sheetData sheetId="0" refreshError="1">
        <row r="4">
          <cell r="A4" t="str">
            <v xml:space="preserve"> NALLIENT- GAWADAR SUB SECTION</v>
          </cell>
        </row>
        <row r="5">
          <cell r="A5" t="str">
            <v>Bill No. 1:  Earthwork</v>
          </cell>
        </row>
        <row r="6">
          <cell r="A6" t="str">
            <v>Pay Item</v>
          </cell>
          <cell r="B6" t="str">
            <v>Item Description</v>
          </cell>
          <cell r="C6" t="str">
            <v>Unit</v>
          </cell>
          <cell r="D6" t="str">
            <v>Quantity</v>
          </cell>
          <cell r="E6" t="str">
            <v>Rate</v>
          </cell>
          <cell r="F6" t="str">
            <v>Amount</v>
          </cell>
        </row>
        <row r="7">
          <cell r="A7" t="str">
            <v>No.</v>
          </cell>
          <cell r="E7" t="str">
            <v>(Rs.)</v>
          </cell>
          <cell r="F7" t="str">
            <v>(Rs.)</v>
          </cell>
        </row>
        <row r="8">
          <cell r="F8">
            <v>0</v>
          </cell>
        </row>
        <row r="9">
          <cell r="A9" t="str">
            <v>101</v>
          </cell>
          <cell r="B9" t="str">
            <v>Clearing &amp; Grubbing</v>
          </cell>
          <cell r="C9" t="str">
            <v>SM</v>
          </cell>
          <cell r="D9">
            <v>980000</v>
          </cell>
          <cell r="F9">
            <v>0</v>
          </cell>
        </row>
        <row r="10">
          <cell r="A10" t="str">
            <v>102a</v>
          </cell>
          <cell r="B10" t="str">
            <v>Removal of trees , 150-300 mm girth</v>
          </cell>
          <cell r="C10" t="str">
            <v>Each</v>
          </cell>
          <cell r="D10">
            <v>30</v>
          </cell>
          <cell r="F10">
            <v>0</v>
          </cell>
        </row>
        <row r="11">
          <cell r="A11" t="str">
            <v>102b</v>
          </cell>
          <cell r="B11" t="str">
            <v>Removal of trees , 301-600 mm girth</v>
          </cell>
          <cell r="C11" t="str">
            <v>Each</v>
          </cell>
          <cell r="D11">
            <v>24</v>
          </cell>
          <cell r="F11">
            <v>0</v>
          </cell>
        </row>
        <row r="12">
          <cell r="A12" t="str">
            <v>102c</v>
          </cell>
          <cell r="B12" t="str">
            <v>Removal of trees , 601 mm or over girth</v>
          </cell>
          <cell r="C12" t="str">
            <v>Each</v>
          </cell>
          <cell r="D12" t="str">
            <v>-</v>
          </cell>
          <cell r="F12">
            <v>0</v>
          </cell>
        </row>
        <row r="13">
          <cell r="A13" t="str">
            <v>104</v>
          </cell>
          <cell r="B13" t="str">
            <v>Compaction of Natural Ground</v>
          </cell>
          <cell r="C13" t="str">
            <v>SM</v>
          </cell>
          <cell r="D13">
            <v>1210000</v>
          </cell>
          <cell r="F13">
            <v>0</v>
          </cell>
        </row>
        <row r="14">
          <cell r="A14" t="str">
            <v>106a</v>
          </cell>
          <cell r="B14" t="str">
            <v>Excavate Unsuitable  Common Material</v>
          </cell>
          <cell r="C14" t="str">
            <v>CM</v>
          </cell>
          <cell r="D14">
            <v>90000</v>
          </cell>
          <cell r="F14">
            <v>0</v>
          </cell>
        </row>
        <row r="15">
          <cell r="A15" t="str">
            <v>108a</v>
          </cell>
          <cell r="B15" t="str">
            <v xml:space="preserve">Formation of Embankment from Roadway Excavation </v>
          </cell>
          <cell r="C15" t="str">
            <v>CM</v>
          </cell>
          <cell r="D15">
            <v>210000</v>
          </cell>
          <cell r="F15">
            <v>0</v>
          </cell>
        </row>
        <row r="16">
          <cell r="B16" t="str">
            <v xml:space="preserve"> in Common Material</v>
          </cell>
          <cell r="F16">
            <v>0</v>
          </cell>
        </row>
        <row r="17">
          <cell r="A17" t="str">
            <v>108b</v>
          </cell>
          <cell r="B17" t="str">
            <v>Formation of Embankment from Roadway Excavation</v>
          </cell>
          <cell r="C17" t="str">
            <v>CM</v>
          </cell>
          <cell r="D17" t="str">
            <v>-</v>
          </cell>
          <cell r="F17">
            <v>0</v>
          </cell>
        </row>
        <row r="18">
          <cell r="B18" t="str">
            <v>in Rock Material</v>
          </cell>
          <cell r="F18">
            <v>0</v>
          </cell>
        </row>
        <row r="19">
          <cell r="A19" t="str">
            <v>108c</v>
          </cell>
          <cell r="B19" t="str">
            <v xml:space="preserve">Formation of Embankment from Borrow Excavation </v>
          </cell>
          <cell r="C19" t="str">
            <v>CM</v>
          </cell>
          <cell r="D19">
            <v>1790000</v>
          </cell>
          <cell r="F19">
            <v>0</v>
          </cell>
        </row>
        <row r="20">
          <cell r="B20" t="str">
            <v xml:space="preserve"> in Common Material</v>
          </cell>
          <cell r="F20">
            <v>0</v>
          </cell>
        </row>
        <row r="21">
          <cell r="F21">
            <v>0</v>
          </cell>
        </row>
        <row r="27">
          <cell r="F27">
            <v>0</v>
          </cell>
        </row>
        <row r="28">
          <cell r="B28" t="str">
            <v>Total of Bill 1 carried to summary</v>
          </cell>
          <cell r="F28">
            <v>0</v>
          </cell>
        </row>
        <row r="29">
          <cell r="A29" t="str">
            <v>[ C40AC98.XLS    Bill 1 ]</v>
          </cell>
          <cell r="F29" t="str">
            <v>PG # 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q"/>
      <sheetName val="chart"/>
      <sheetName val="PD"/>
      <sheetName val="Basic"/>
      <sheetName val="Area- TMC"/>
      <sheetName val="PMV "/>
      <sheetName val="TC"/>
      <sheetName val="Hoist &amp; scaff"/>
      <sheetName val="Conc(BP) "/>
      <sheetName val="Reinf"/>
      <sheetName val="WTR"/>
      <sheetName val="LBR"/>
      <sheetName val="consumption"/>
      <sheetName val="SRA"/>
      <sheetName val="IDC"/>
      <sheetName val="OFFTOP"/>
      <sheetName val="Comparative"/>
      <sheetName val="CLF"/>
      <sheetName val="BOQ for shuttering"/>
      <sheetName val="Abstract"/>
      <sheetName val="Formwork cost estimate"/>
      <sheetName val="summ- MEP"/>
      <sheetName val="ELECTRICAL BOQ"/>
      <sheetName val="Firefighting"/>
      <sheetName val="Plumbing"/>
      <sheetName val="HVAC (Comperative)"/>
      <sheetName val="Medical gas piping"/>
      <sheetName val="Elevators"/>
      <sheetName val="Machinery"/>
      <sheetName val="BA"/>
      <sheetName val="AR"/>
      <sheetName val="SCA"/>
      <sheetName val="CON"/>
      <sheetName val="RF"/>
      <sheetName val="CSMP"/>
      <sheetName val="ESC"/>
      <sheetName val="OFF"/>
      <sheetName val="PRECAST PROPOSAL"/>
      <sheetName val="Cost Estimate"/>
      <sheetName val=" BOQ"/>
      <sheetName val="03"/>
      <sheetName val="PWR"/>
      <sheetName val="03 "/>
      <sheetName val="03 (2)"/>
      <sheetName val="MMT"/>
      <sheetName val="PREBID"/>
      <sheetName val="ENQ"/>
      <sheetName val="Cash Flow"/>
      <sheetName val="PMV"/>
      <sheetName val="MTO"/>
      <sheetName val="BID Synopsis"/>
      <sheetName val="VAT CAL"/>
      <sheetName val="R0 &amp; R1"/>
      <sheetName val="R0&amp;R1"/>
      <sheetName val="macros"/>
      <sheetName val="analysis"/>
      <sheetName val="GUT (2)"/>
      <sheetName val="ACE-OUT"/>
      <sheetName val="banilad"/>
      <sheetName val="Mactan"/>
      <sheetName val="Mandaue"/>
      <sheetName val="Sheet5"/>
      <sheetName val="SCHEDULE"/>
      <sheetName val="Database"/>
      <sheetName val="schedule nos"/>
      <sheetName val="strain"/>
      <sheetName val="cost summary"/>
      <sheetName val="Elec Summ"/>
      <sheetName val="ELEC BOQ"/>
      <sheetName val="TRACK BUSWAY"/>
      <sheetName val="BBT"/>
      <sheetName val="LIGHTING"/>
      <sheetName val="LMS"/>
      <sheetName val="p&amp;m"/>
      <sheetName val="GR.slab-reinft"/>
      <sheetName val="MFG"/>
      <sheetName val="01"/>
      <sheetName val="Bill 1"/>
      <sheetName val="Bill 2"/>
      <sheetName val="Bill 3"/>
      <sheetName val="Bill 4"/>
      <sheetName val="Bill 5"/>
      <sheetName val="Bill 6"/>
      <sheetName val="Bill 7"/>
      <sheetName val="Consol"/>
      <sheetName val="s"/>
      <sheetName val="Total Debtors Ageing Sheet"/>
      <sheetName val="Sales &amp; Prod"/>
      <sheetName val="Summary"/>
      <sheetName val="final abstract"/>
      <sheetName val="Phasing"/>
      <sheetName val="Area-_TMC"/>
      <sheetName val="PMV_"/>
      <sheetName val="Hoist_&amp;_scaff"/>
      <sheetName val="Conc(BP)_"/>
      <sheetName val="BOQ_for_shuttering"/>
      <sheetName val="Formwork_cost_estimate"/>
      <sheetName val="summ-_MEP"/>
      <sheetName val="ELECTRICAL_BOQ"/>
      <sheetName val="HVAC_(Comperative)"/>
      <sheetName val="Medical_gas_piping"/>
      <sheetName val="PRECAST_PROPOSAL"/>
      <sheetName val="Cost_Estimate"/>
      <sheetName val="_BOQ"/>
      <sheetName val="03_"/>
      <sheetName val="03_(2)"/>
      <sheetName val="Cash_Flow"/>
      <sheetName val="BID_Synopsis"/>
      <sheetName val="VAT_CAL"/>
      <sheetName val="R0_&amp;_R1"/>
      <sheetName val="GUT_(2)"/>
      <sheetName val="schedule_nos"/>
      <sheetName val="GR_slab-reinft"/>
      <sheetName val="BASIC RATES"/>
      <sheetName val="ACE-IN"/>
      <sheetName val="NANJING"/>
      <sheetName val="Progress Curve"/>
      <sheetName val="Sales_&amp;_Prod"/>
      <sheetName val="Source Ref."/>
      <sheetName val="grid"/>
      <sheetName val="Transfer"/>
      <sheetName val="REL"/>
      <sheetName val="Costing"/>
      <sheetName val="Bed Class"/>
      <sheetName val="Cd"/>
      <sheetName val="MERGED CODES &amp; NAMES"/>
      <sheetName val="TYPES"/>
      <sheetName val="MPC"/>
      <sheetName val="Detail"/>
      <sheetName val="DATA"/>
      <sheetName val="Staff Acco."/>
      <sheetName val="Staff Acco_"/>
      <sheetName val="Set"/>
    </sheetNames>
    <sheetDataSet>
      <sheetData sheetId="0">
        <row r="5">
          <cell r="H5">
            <v>7340.666666666667</v>
          </cell>
        </row>
        <row r="6">
          <cell r="H6">
            <v>7374.9231111111121</v>
          </cell>
          <cell r="J6">
            <v>28</v>
          </cell>
        </row>
        <row r="7">
          <cell r="H7">
            <v>14715.589777777779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Guidance"/>
      <sheetName val="INPUT --&gt;"/>
      <sheetName val="Control Requirement 1 a"/>
      <sheetName val="Control Requirement 1 b"/>
      <sheetName val="Control Requirement 2"/>
      <sheetName val="Control Requirement 3"/>
      <sheetName val="Sheet1"/>
      <sheetName val="Control Requirement Spreadsheet"/>
      <sheetName val="INFO--&gt;"/>
      <sheetName val="Critical Spend Categories"/>
      <sheetName val="Focus Jurisdictions"/>
      <sheetName val="Admin"/>
      <sheetName val="Sheet2"/>
      <sheetName val="Error 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
          <cell r="B1" t="str">
            <v>Information Security Risk (ISR)</v>
          </cell>
        </row>
        <row r="2">
          <cell r="B2" t="str">
            <v>Security Risk Management (SRM)</v>
          </cell>
        </row>
        <row r="3">
          <cell r="B3" t="str">
            <v>Business Continuity Management (BCM)</v>
          </cell>
        </row>
        <row r="4">
          <cell r="B4" t="str">
            <v>Data Management and Records Risk (DMRR)</v>
          </cell>
        </row>
        <row r="5">
          <cell r="B5" t="str">
            <v>Group Data Privacy (GDP)</v>
          </cell>
        </row>
        <row r="6">
          <cell r="B6" t="str">
            <v>Information Technology Risk (ITR)</v>
          </cell>
        </row>
        <row r="7">
          <cell r="B7" t="str">
            <v xml:space="preserve">Compliance </v>
          </cell>
        </row>
        <row r="8">
          <cell r="B8" t="str">
            <v>Living Wills</v>
          </cell>
        </row>
        <row r="9">
          <cell r="B9" t="str">
            <v>Group Legal</v>
          </cell>
        </row>
        <row r="10">
          <cell r="B10" t="str">
            <v>Group Tax</v>
          </cell>
        </row>
        <row r="11">
          <cell r="B11" t="str">
            <v>Human Resources (HR)</v>
          </cell>
        </row>
        <row r="12">
          <cell r="B12" t="str">
            <v>Anti Financial Crime (AFC)</v>
          </cell>
        </row>
        <row r="13">
          <cell r="B13" t="str">
            <v>Anti-Bribery and Corruption</v>
          </cell>
        </row>
        <row r="14">
          <cell r="B14" t="str">
            <v>Corporate Insurance</v>
          </cell>
        </row>
        <row r="15">
          <cell r="B15" t="str">
            <v>Group Sustainability</v>
          </cell>
        </row>
        <row r="16">
          <cell r="B16" t="str">
            <v>Reputational Risk</v>
          </cell>
        </row>
        <row r="17">
          <cell r="B17" t="str">
            <v xml:space="preserve">Disaster Recovery </v>
          </cell>
        </row>
      </sheetData>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ebtion 1 SumMary"/>
      <sheetName val="Sheet1"/>
      <sheetName val="Sheet2"/>
      <sheetName val="Sheet3"/>
      <sheetName val="labour coeff"/>
      <sheetName val="PRECAST lightconc-II"/>
      <sheetName val="DLA Standard Cost Report1"/>
      <sheetName val="boq"/>
      <sheetName val="Design"/>
      <sheetName val="IO List"/>
      <sheetName val="Macro custom function"/>
      <sheetName val="p&amp;m"/>
      <sheetName val="TBAL9697 -group wise  sdpl"/>
      <sheetName val="Data"/>
      <sheetName val="Lead"/>
      <sheetName val="RA-markate"/>
      <sheetName val="Bill-AAC_old"/>
      <sheetName val="Labour"/>
      <sheetName val="Staff Acco."/>
      <sheetName val="dBase"/>
      <sheetName val="Civil Works"/>
      <sheetName val="Pacakges split"/>
      <sheetName val="Basement Budget"/>
      <sheetName val="Extra Item"/>
      <sheetName val="Cat A Change Control"/>
      <sheetName val="A-General"/>
      <sheetName val="Meas.-Hotel Part"/>
      <sheetName val="Tender Summary"/>
      <sheetName val="Detail"/>
      <sheetName val="VCH-SLC"/>
      <sheetName val="Supplier"/>
      <sheetName val="sort2"/>
      <sheetName val="factors"/>
      <sheetName val="LMP"/>
      <sheetName val="RCC,Ret. Wall"/>
      <sheetName val="01"/>
      <sheetName val="Details"/>
      <sheetName val="SPT vs PHI"/>
      <sheetName val="dummy"/>
      <sheetName val="Cashflow projection"/>
      <sheetName val="2gii"/>
      <sheetName val="BHANDUP"/>
      <sheetName val="analysis"/>
      <sheetName val="#REF"/>
      <sheetName val="FORM7"/>
      <sheetName val="Data-Month"/>
      <sheetName val="공장별판관비배부"/>
      <sheetName val="Deduction of assets"/>
      <sheetName val="Database"/>
      <sheetName val="SCHEDULE"/>
      <sheetName val="schedule nos"/>
      <sheetName val="INPUT SHEET"/>
      <sheetName val="RES-PLANNING"/>
      <sheetName val="Stress Calculation"/>
      <sheetName val="Voucher"/>
      <sheetName val="DEPTH CHART (ORR) L.S."/>
      <sheetName val="Name List"/>
      <sheetName val="Driveway Beams"/>
      <sheetName val="Contract Night Staff"/>
      <sheetName val="Contract Day Staff"/>
      <sheetName val="Day Shift"/>
      <sheetName val="Night Shift"/>
      <sheetName val="PA- Consutant "/>
      <sheetName val="Raft"/>
      <sheetName val="MASTER_RATE ANALYSIS"/>
      <sheetName val="Fee Rate Summary"/>
      <sheetName val="Break up Sheet"/>
      <sheetName val="Intro"/>
      <sheetName val="strand"/>
      <sheetName val="Pay_Sep06"/>
      <sheetName val="1st flr"/>
      <sheetName val="DetEst"/>
      <sheetName val="Fin Sum"/>
      <sheetName val="Site Dev BOQ"/>
      <sheetName val="Labour productivity"/>
      <sheetName val="REL"/>
      <sheetName val="Inputs"/>
      <sheetName val="SILICATE"/>
      <sheetName val="LEVEL SHEET"/>
      <sheetName val="Costing"/>
      <sheetName val="Capex - Hry"/>
      <sheetName val="Sheet3 (2)"/>
      <sheetName val="\TCS, NAGPUR-MANJIRI C\PROGRESS"/>
      <sheetName val="Formulas"/>
      <sheetName val="1st Slab"/>
      <sheetName val="Input"/>
      <sheetName val="box-12"/>
      <sheetName val="Sun E Type"/>
      <sheetName val="SUMRY"/>
      <sheetName val="PrintManager"/>
      <sheetName val="Assumption"/>
      <sheetName val="FORM-16"/>
      <sheetName val="verrous"/>
      <sheetName val="Order Info"/>
      <sheetName val="BLOCK-A (MEA.SHEET)"/>
      <sheetName val="As per PCA"/>
      <sheetName val="Project Plan - WWW"/>
      <sheetName val="Invoice"/>
      <sheetName val="Scope Reconciliation"/>
      <sheetName val="Project Budget Worksheet"/>
      <sheetName val="Approved MTD Proj #'s"/>
      <sheetName val="Mar09"/>
      <sheetName val="FITZ MORT 94"/>
      <sheetName val="Results"/>
      <sheetName val="PLGroupings"/>
      <sheetName val="P&amp;L - AD"/>
      <sheetName val="Deprec."/>
      <sheetName val="gen"/>
      <sheetName val="Lowside"/>
      <sheetName val="Rate analysis"/>
      <sheetName val="SITE OVERHEADS"/>
      <sheetName val="Parameter"/>
      <sheetName val="girder"/>
      <sheetName val="WORK"/>
      <sheetName val="Total Quote"/>
      <sheetName val="Mat_Cost"/>
      <sheetName val="DETAILED  BOQ"/>
      <sheetName val="WORK TABLE"/>
      <sheetName val="Annexure"/>
      <sheetName val="list"/>
      <sheetName val="WWR"/>
      <sheetName val="Parameters"/>
      <sheetName val="FT-05-02IsoBOM"/>
      <sheetName val="Adimi bldg"/>
      <sheetName val="Pump House"/>
      <sheetName val="Fuel Regu Station"/>
      <sheetName val="Constants Summary"/>
      <sheetName val="PARAMETRES"/>
      <sheetName val="GF Columns"/>
      <sheetName val="COST"/>
      <sheetName val="DSLP"/>
      <sheetName val="Works - Quote Sheet"/>
      <sheetName val="Item- Compact"/>
      <sheetName val="Cement recon."/>
      <sheetName val="DLA%20Standard%20Cost%20Report1"/>
      <sheetName val="tower"/>
      <sheetName val="CABLERET"/>
      <sheetName val="GBW"/>
      <sheetName val="目录"/>
      <sheetName val="Interface_SC"/>
      <sheetName val="Calc_ISC"/>
      <sheetName val="Calc_SC"/>
      <sheetName val="Interface_ISC"/>
      <sheetName val="GD"/>
      <sheetName val="Intake"/>
      <sheetName val="Civil Boq"/>
      <sheetName val="basic-data"/>
      <sheetName val="mem-property"/>
      <sheetName val="dlvoid"/>
      <sheetName val="Material "/>
      <sheetName val="Factors "/>
      <sheetName val="SPS DETAIL"/>
      <sheetName val="환율"/>
      <sheetName val="Build-up"/>
      <sheetName val="PC Master List"/>
      <sheetName val="Field Values"/>
      <sheetName val="cubes_M20"/>
      <sheetName val="Structure Bills Qty"/>
      <sheetName val="BASIS -DEC 08"/>
      <sheetName val="run"/>
      <sheetName val="MN T.B."/>
      <sheetName val="Data Forecast"/>
      <sheetName val="Basic Rate"/>
      <sheetName val="Format"/>
      <sheetName val="sc-mar2000"/>
      <sheetName val="óc-sepVdec99"/>
      <sheetName val="final abstract"/>
      <sheetName val="Master Data Sheet"/>
      <sheetName val="Conc&amp;steel-assets"/>
      <sheetName val="bom"/>
      <sheetName val="HOME"/>
      <sheetName val="datatable"/>
      <sheetName val="Budget in SAP"/>
      <sheetName val="Cleaning &amp; Grubbing"/>
      <sheetName val="Sch-3"/>
      <sheetName val="Form 6"/>
      <sheetName val=" "/>
      <sheetName val="1"/>
      <sheetName val="COLUMN"/>
      <sheetName val="BOQ T4B"/>
      <sheetName val="HEAD"/>
      <sheetName val="????????"/>
      <sheetName val="Summary_Bank"/>
      <sheetName val="Load Details-220kV"/>
      <sheetName val="Option"/>
      <sheetName val="3mech"/>
      <sheetName val="2ELEC"/>
      <sheetName val="Material Rates"/>
      <sheetName val="Improvements"/>
      <sheetName val="Levels"/>
      <sheetName val="Material"/>
      <sheetName val="Plant &amp;  Machinery"/>
      <sheetName val="_TCS, NAGPUR-MANJIRI C_PROGRESS"/>
      <sheetName val="inWords"/>
      <sheetName val="Headings"/>
      <sheetName val="INDIGINEOUS ITEMS "/>
      <sheetName val="Discount &amp; Margin"/>
      <sheetName val="PointNo.5"/>
      <sheetName val="Rate_Analysis"/>
      <sheetName val="Measurment"/>
      <sheetName val="key dates"/>
      <sheetName val="Actuals"/>
      <sheetName val="Main Gate House"/>
      <sheetName val="CASHFLOWS"/>
      <sheetName val="Assumption Inputs"/>
      <sheetName val="India F&amp;S Template"/>
      <sheetName val="FitOutConfCentre"/>
      <sheetName val="Publicbuilding"/>
      <sheetName val="calcul"/>
      <sheetName val="concrete"/>
      <sheetName val="Boq - Flats"/>
      <sheetName val="Intro."/>
      <sheetName val="WBS"/>
      <sheetName val="Fcst vs Budgets"/>
      <sheetName val="Detail In Door Stad"/>
      <sheetName val="St.co.91.5lvl"/>
      <sheetName val="Layer Table"/>
      <sheetName val="office"/>
      <sheetName val="Lab"/>
      <sheetName val="1-OBJ98 "/>
      <sheetName val="INTSHEET"/>
      <sheetName val="INTSHEET3"/>
      <sheetName val="master"/>
      <sheetName val="CCB"/>
      <sheetName val="COP Final"/>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ot-slab reinft"/>
      <sheetName val="SUPPLY -Sanitary Fixtures"/>
      <sheetName val="External"/>
      <sheetName val="ITEMS FOR CIVIL TENDER"/>
      <sheetName val="F Blk"/>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 Acc. Sched."/>
      <sheetName val="Labor abs-NMR"/>
      <sheetName val="estimate"/>
      <sheetName val="M.S."/>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onc-foot-gradeslab"/>
      <sheetName val="Bill-12"/>
      <sheetName val="Ra  stair"/>
      <sheetName val="Cost annalysis"/>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8">
          <cell r="D8" t="str">
            <v>Paramaz Avedisian Building</v>
          </cell>
        </row>
      </sheetData>
      <sheetData sheetId="36">
        <row r="8">
          <cell r="D8" t="str">
            <v>Paramaz Avedisian Building</v>
          </cell>
        </row>
      </sheetData>
      <sheetData sheetId="37">
        <row r="8">
          <cell r="D8" t="str">
            <v>Paramaz Avedisian Building</v>
          </cell>
        </row>
      </sheetData>
      <sheetData sheetId="38">
        <row r="8">
          <cell r="D8" t="str">
            <v>Paramaz Avedisian Building</v>
          </cell>
        </row>
      </sheetData>
      <sheetData sheetId="39">
        <row r="8">
          <cell r="D8" t="str">
            <v>Paramaz Avedisian Building</v>
          </cell>
        </row>
      </sheetData>
      <sheetData sheetId="40">
        <row r="8">
          <cell r="D8" t="str">
            <v>Paramaz Avedisian Building</v>
          </cell>
        </row>
      </sheetData>
      <sheetData sheetId="41">
        <row r="8">
          <cell r="D8" t="str">
            <v>Paramaz Avedisian Building</v>
          </cell>
        </row>
      </sheetData>
      <sheetData sheetId="42">
        <row r="8">
          <cell r="D8" t="str">
            <v>Paramaz Avedisian Building</v>
          </cell>
        </row>
      </sheetData>
      <sheetData sheetId="43">
        <row r="8">
          <cell r="D8" t="str">
            <v>Paramaz Avedisian Building</v>
          </cell>
        </row>
      </sheetData>
      <sheetData sheetId="44">
        <row r="8">
          <cell r="D8" t="str">
            <v>Paramaz Avedisian Building</v>
          </cell>
        </row>
      </sheetData>
      <sheetData sheetId="45">
        <row r="8">
          <cell r="D8" t="str">
            <v>Paramaz Avedisian Building</v>
          </cell>
        </row>
      </sheetData>
      <sheetData sheetId="46">
        <row r="8">
          <cell r="D8" t="str">
            <v>Paramaz Avedisian Building</v>
          </cell>
        </row>
      </sheetData>
      <sheetData sheetId="47">
        <row r="8">
          <cell r="D8" t="str">
            <v>Paramaz Avedisian Building</v>
          </cell>
        </row>
      </sheetData>
      <sheetData sheetId="48">
        <row r="8">
          <cell r="D8" t="str">
            <v>Paramaz Avedisian Building</v>
          </cell>
        </row>
      </sheetData>
      <sheetData sheetId="49">
        <row r="8">
          <cell r="D8" t="str">
            <v>Paramaz Avedisian Building</v>
          </cell>
        </row>
      </sheetData>
      <sheetData sheetId="50">
        <row r="8">
          <cell r="D8" t="str">
            <v>Paramaz Avedisian Building</v>
          </cell>
        </row>
      </sheetData>
      <sheetData sheetId="51">
        <row r="8">
          <cell r="D8" t="str">
            <v>Paramaz Avedisian Building</v>
          </cell>
        </row>
      </sheetData>
      <sheetData sheetId="52">
        <row r="8">
          <cell r="D8" t="str">
            <v>Paramaz Avedisian Building</v>
          </cell>
        </row>
      </sheetData>
      <sheetData sheetId="53">
        <row r="8">
          <cell r="D8" t="str">
            <v>Paramaz Avedisian Building</v>
          </cell>
        </row>
      </sheetData>
      <sheetData sheetId="54">
        <row r="8">
          <cell r="D8" t="str">
            <v>Paramaz Avedisian Building</v>
          </cell>
        </row>
      </sheetData>
      <sheetData sheetId="55">
        <row r="8">
          <cell r="D8" t="str">
            <v>Paramaz Avedisian Building</v>
          </cell>
        </row>
      </sheetData>
      <sheetData sheetId="56">
        <row r="8">
          <cell r="D8" t="str">
            <v>Paramaz Avedisian Building</v>
          </cell>
        </row>
      </sheetData>
      <sheetData sheetId="57">
        <row r="8">
          <cell r="D8" t="str">
            <v>Paramaz Avedisian Building</v>
          </cell>
        </row>
      </sheetData>
      <sheetData sheetId="58">
        <row r="8">
          <cell r="D8" t="str">
            <v>Paramaz Avedisian Building</v>
          </cell>
        </row>
      </sheetData>
      <sheetData sheetId="59">
        <row r="8">
          <cell r="D8" t="str">
            <v>Paramaz Avedisian Building</v>
          </cell>
        </row>
      </sheetData>
      <sheetData sheetId="60">
        <row r="8">
          <cell r="D8" t="str">
            <v>Paramaz Avedisian Building</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ow r="8">
          <cell r="D8" t="str">
            <v>Paramaz Avedisian Building</v>
          </cell>
        </row>
      </sheetData>
      <sheetData sheetId="290">
        <row r="8">
          <cell r="D8" t="str">
            <v>Paramaz Avedisian Building</v>
          </cell>
        </row>
      </sheetData>
      <sheetData sheetId="291">
        <row r="8">
          <cell r="D8" t="str">
            <v>Paramaz Avedisian Building</v>
          </cell>
        </row>
      </sheetData>
      <sheetData sheetId="292">
        <row r="8">
          <cell r="D8" t="str">
            <v>Paramaz Avedisian Building</v>
          </cell>
        </row>
      </sheetData>
      <sheetData sheetId="293">
        <row r="8">
          <cell r="D8" t="str">
            <v>Paramaz Avedisian Building</v>
          </cell>
        </row>
      </sheetData>
      <sheetData sheetId="294">
        <row r="8">
          <cell r="D8" t="str">
            <v>Paramaz Avedisian Building</v>
          </cell>
        </row>
      </sheetData>
      <sheetData sheetId="295">
        <row r="8">
          <cell r="D8" t="str">
            <v>Paramaz Avedisian Building</v>
          </cell>
        </row>
      </sheetData>
      <sheetData sheetId="296">
        <row r="8">
          <cell r="D8" t="str">
            <v>Paramaz Avedisian Building</v>
          </cell>
        </row>
      </sheetData>
      <sheetData sheetId="297">
        <row r="8">
          <cell r="D8" t="str">
            <v>Paramaz Avedisian Building</v>
          </cell>
        </row>
      </sheetData>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ow r="8">
          <cell r="D8" t="str">
            <v>Paramaz Avedisian Building</v>
          </cell>
        </row>
      </sheetData>
      <sheetData sheetId="354">
        <row r="8">
          <cell r="D8" t="str">
            <v>Paramaz Avedisian Building</v>
          </cell>
        </row>
      </sheetData>
      <sheetData sheetId="355">
        <row r="8">
          <cell r="D8" t="str">
            <v>Paramaz Avedisian Building</v>
          </cell>
        </row>
      </sheetData>
      <sheetData sheetId="356">
        <row r="8">
          <cell r="D8" t="str">
            <v>Paramaz Avedisian Building</v>
          </cell>
        </row>
      </sheetData>
      <sheetData sheetId="357"/>
      <sheetData sheetId="358"/>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
      <sheetName val="EARTH"/>
      <sheetName val="GBW"/>
      <sheetName val="WSRSS"/>
      <sheetName val=" Steel Work"/>
      <sheetName val="ROADS"/>
      <sheetName val="TOTOL OF SECTION"/>
      <sheetName val="Fee Rate Summary"/>
      <sheetName val="PRECAST lightconc-II"/>
      <sheetName val="INDEX"/>
      <sheetName val="AREAS"/>
      <sheetName val="SITE OVERHEADS"/>
      <sheetName val="Fill this out first..."/>
      <sheetName val="BOQ"/>
      <sheetName val="Sheet2"/>
      <sheetName val="labour coeff"/>
      <sheetName val="Names&amp;Cases"/>
      <sheetName val="Sheet3"/>
      <sheetName val="TBAL9697 -group wise  sdpl"/>
      <sheetName val="BOQ (2)"/>
      <sheetName val="BOQ_Direct_selling cost"/>
      <sheetName val="Data Input"/>
      <sheetName val="SGS ACQ"/>
      <sheetName val="final abstract"/>
      <sheetName val="p&amp;m"/>
      <sheetName val="WORK TABLE"/>
      <sheetName val="환율"/>
      <sheetName val="Design"/>
      <sheetName val="3. Elemental Summary"/>
      <sheetName val="9. Package split - Cost "/>
      <sheetName val="10. &amp; 11. Rate Code &amp; BQ"/>
      <sheetName val="12a. CFTable"/>
      <sheetName val="dlvoid"/>
      <sheetName val="Cost summary"/>
      <sheetName val="_Steel_Work"/>
      <sheetName val="TOTOL_OF_SECTION"/>
      <sheetName val="Fee_Rate_Summary"/>
      <sheetName val="PRECAST_lightconc-II"/>
      <sheetName val="SITE_OVERHEADS"/>
      <sheetName val="Fill_this_out_first___"/>
      <sheetName val="Input"/>
      <sheetName val="Phasing"/>
      <sheetName val="DP"/>
      <sheetName val="Fin Sum"/>
      <sheetName val="Data"/>
      <sheetName val="Lead"/>
      <sheetName val="girder"/>
      <sheetName val="Site Dev BOQ"/>
      <sheetName val="VCH-SLC"/>
      <sheetName val="Meas.-Hotel Part"/>
      <sheetName val="Supplier"/>
      <sheetName val="calcul"/>
      <sheetName val="INDIGINEOUS ITEMS "/>
      <sheetName val="PCS DATA"/>
      <sheetName val="Reference Information"/>
      <sheetName val="Employee List"/>
      <sheetName val="Sales Office"/>
      <sheetName val="INTRO"/>
      <sheetName val="Build-up"/>
      <sheetName val="Codes"/>
      <sheetName val="BOQ -Lab"/>
      <sheetName val="Background"/>
      <sheetName val="Model"/>
      <sheetName val="CONSTRUCTION COMPONENT"/>
      <sheetName val="Costing"/>
      <sheetName val="Analysis"/>
      <sheetName val="Intaccrual"/>
      <sheetName val="SBU"/>
      <sheetName val="tdint"/>
      <sheetName val="YTD"/>
      <sheetName val="Sheet1"/>
      <sheetName val="Break_Up"/>
      <sheetName val="RESULT"/>
      <sheetName val="crews"/>
      <sheetName val="01"/>
      <sheetName val="Rate analysis"/>
      <sheetName val="RA-markate"/>
      <sheetName val="Base data Security Procedures"/>
      <sheetName val="SCurv (3)"/>
      <sheetName val="07"/>
      <sheetName val="summary"/>
      <sheetName val="Pier -AC"/>
      <sheetName val="Cargo-AC"/>
      <sheetName val="renovation "/>
      <sheetName val="new piloty"/>
      <sheetName val="Pier -VENT"/>
      <sheetName val="BMS -pier"/>
      <sheetName val="Cargo -Vent"/>
      <sheetName val="BMS -cargo"/>
      <sheetName val="IDCCALHYD-GOO"/>
      <sheetName val="Cost of O &amp; O"/>
      <sheetName val="Sqn_Abs"/>
      <sheetName val="m"/>
      <sheetName val="BOQ "/>
      <sheetName val="Flooring"/>
      <sheetName val="ELEC_BOQ"/>
      <sheetName val="PHE"/>
      <sheetName val="#REF"/>
      <sheetName val="Headings"/>
      <sheetName val="IO LIST"/>
      <sheetName val="Conc-Site"/>
      <sheetName val="Shut"/>
      <sheetName val="T Crane"/>
      <sheetName val="OH"/>
      <sheetName val="TS"/>
      <sheetName val="SDF I"/>
      <sheetName val="Legend"/>
      <sheetName val="Civil Boq"/>
      <sheetName val="Assumptions"/>
      <sheetName val="RCC Rates"/>
      <sheetName val="MB.Prod"/>
      <sheetName val="Sheet3 (2)"/>
      <sheetName val="FORM7"/>
      <sheetName val="Labour productivity"/>
      <sheetName val="Tender Summary"/>
      <sheetName val="PARASITIC"/>
      <sheetName val="status"/>
      <sheetName val="strain"/>
      <sheetName val="Material "/>
      <sheetName val="Labour &amp; Plant"/>
      <sheetName val="list"/>
      <sheetName val="currency"/>
      <sheetName val="Switch costs lookup"/>
      <sheetName val="Eqpmnt Plng"/>
      <sheetName val="A.O.R."/>
      <sheetName val="DetEst"/>
      <sheetName val="labour"/>
      <sheetName val="Data sheet"/>
      <sheetName val="Per Unit"/>
      <sheetName val="Preside"/>
      <sheetName val="InputPO_Del"/>
      <sheetName val="SILICATE"/>
      <sheetName val="Staff Acco."/>
      <sheetName val="factors"/>
      <sheetName val="RA_EIL"/>
      <sheetName val="RA_MKT_QUOTE"/>
      <sheetName val="STDEV-M30 (2)"/>
      <sheetName val="Customize Your Purchase Order"/>
      <sheetName val="lsd"/>
      <sheetName val="Summ"/>
      <sheetName val="Fossil_DCF"/>
      <sheetName val="concrete"/>
      <sheetName val="precast RC element"/>
      <sheetName val="Package 2"/>
      <sheetName val=" working Sheet"/>
      <sheetName val="P4-B"/>
      <sheetName val="NT-Expan 50mm UBF"/>
      <sheetName val="ANNX - I ( a )"/>
      <sheetName val="Material week"/>
      <sheetName val="OVERHEADS"/>
      <sheetName val="BASIS -DEC 08"/>
      <sheetName val="SA Input"/>
      <sheetName val="DSLP"/>
      <sheetName val="Extra Item"/>
      <sheetName val="Database"/>
      <sheetName val="SCHEDULE"/>
      <sheetName val="schedule nos"/>
      <sheetName val="Estimation"/>
      <sheetName val="cubes_M20"/>
      <sheetName val="Set"/>
      <sheetName val="Invoice"/>
      <sheetName val="Sheet 1"/>
      <sheetName val="Brand"/>
      <sheetName val="PackSize"/>
      <sheetName val="PackagingType"/>
      <sheetName val="Plant"/>
      <sheetName val="ProductHierarchy"/>
      <sheetName val="PurchGroup"/>
      <sheetName val="Sub-brand"/>
      <sheetName val="UOM"/>
      <sheetName val="Variant"/>
      <sheetName val="Annexue B"/>
      <sheetName val="_Steel_Work1"/>
      <sheetName val="TOTOL_OF_SECTION1"/>
      <sheetName val="Fee_Rate_Summary1"/>
      <sheetName val="PRECAST_lightconc-II1"/>
      <sheetName val="SITE_OVERHEADS1"/>
      <sheetName val="WORK_TABLE"/>
      <sheetName val="Fill_this_out_first___1"/>
      <sheetName val="3__Elemental_Summary"/>
      <sheetName val="9__Package_split_-_Cost_"/>
      <sheetName val="10__&amp;_11__Rate_Code_&amp;_BQ"/>
      <sheetName val="12a__CFTable"/>
      <sheetName val="Site_Dev_BOQ"/>
      <sheetName val="TBAL9697_-group_wise__sdpl"/>
      <sheetName val="PCS_DATA"/>
      <sheetName val="Cost_summary"/>
      <sheetName val="labour_coeff"/>
      <sheetName val="Reference_Information"/>
      <sheetName val="Employee_List"/>
      <sheetName val="Sales_Office"/>
      <sheetName val="Fin_Sum"/>
      <sheetName val="Rate_analysis"/>
      <sheetName val="BOQ_-Lab"/>
      <sheetName val="Base_data_Security_Procedures"/>
      <sheetName val="SCurv_(3)"/>
      <sheetName val="Pier_-AC"/>
      <sheetName val="renovation_"/>
      <sheetName val="new_piloty"/>
      <sheetName val="Pier_-VENT"/>
      <sheetName val="BMS_-pier"/>
      <sheetName val="Cargo_-Vent"/>
      <sheetName val="BMS_-cargo"/>
      <sheetName val="INDIGINEOUS_ITEMS_"/>
      <sheetName val="Cost_of_O_&amp;_O"/>
      <sheetName val="BOQ_"/>
      <sheetName val="IO_LIST"/>
      <sheetName val="T_Crane"/>
      <sheetName val="SDF_I"/>
      <sheetName val="Civil_Boq"/>
      <sheetName val="Labour_productivity"/>
      <sheetName val="Tender_Summary"/>
      <sheetName val="BOQ_(2)"/>
      <sheetName val="final_abstract"/>
      <sheetName val="Data_Input"/>
      <sheetName val="SGS_ACQ"/>
      <sheetName val="BOQ_Direct_selling_cost"/>
      <sheetName val="Meas_-Hotel_Part"/>
      <sheetName val="Material_"/>
      <sheetName val="Labour_&amp;_Plant"/>
      <sheetName val="RCC_Rates"/>
      <sheetName val="CONSTRUCTION_COMPONENT"/>
      <sheetName val="A_O_R_"/>
      <sheetName val="Switch_costs_lookup"/>
      <sheetName val="Eqpmnt_Plng"/>
      <sheetName val="Data_sheet"/>
      <sheetName val="Per_Unit"/>
      <sheetName val="precast_RC_element"/>
      <sheetName val="Package_2"/>
      <sheetName val="_working_Sheet"/>
      <sheetName val="BASIS_-DEC_08"/>
      <sheetName val="MB_Prod"/>
      <sheetName val="Extra_Item"/>
      <sheetName val="schedule_nos"/>
      <sheetName val="SA_Input"/>
      <sheetName val="NT-Expan_50mm_UBF"/>
      <sheetName val="ANNX_-_I_(_a_)"/>
      <sheetName val="Customize_Your_Purchase_Order"/>
      <sheetName val="STDEV-M30_(2)"/>
      <sheetName val="INPUT SHEET"/>
      <sheetName val="RES-PLANNING"/>
      <sheetName val="CCTV_EST1"/>
      <sheetName val="_Steel_Work2"/>
      <sheetName val="TOTOL_OF_SECTION2"/>
      <sheetName val="Fee_Rate_Summary2"/>
      <sheetName val="PRECAST_lightconc-II2"/>
      <sheetName val="SITE_OVERHEADS2"/>
      <sheetName val="WORK_TABLE1"/>
      <sheetName val="Fill_this_out_first___2"/>
      <sheetName val="3__Elemental_Summary1"/>
      <sheetName val="9__Package_split_-_Cost_1"/>
      <sheetName val="10__&amp;_11__Rate_Code_&amp;_BQ1"/>
      <sheetName val="12a__CFTable1"/>
      <sheetName val="Site_Dev_BOQ1"/>
      <sheetName val="TBAL9697_-group_wise__sdpl1"/>
      <sheetName val="PCS_DATA1"/>
      <sheetName val="Cost_summary1"/>
      <sheetName val="labour_coeff1"/>
      <sheetName val="Reference_Information1"/>
      <sheetName val="Employee_List1"/>
      <sheetName val="Sales_Office1"/>
      <sheetName val="Fin_Sum1"/>
      <sheetName val="Rate_analysis1"/>
      <sheetName val="BOQ_-Lab1"/>
      <sheetName val="Base_data_Security_Procedures1"/>
      <sheetName val="SCurv_(3)1"/>
      <sheetName val="Pier_-AC1"/>
      <sheetName val="renovation_1"/>
      <sheetName val="new_piloty1"/>
      <sheetName val="Pier_-VENT1"/>
      <sheetName val="BMS_-pier1"/>
      <sheetName val="Cargo_-Vent1"/>
      <sheetName val="BMS_-cargo1"/>
      <sheetName val="INDIGINEOUS_ITEMS_1"/>
      <sheetName val="Cost_of_O_&amp;_O1"/>
      <sheetName val="BOQ_1"/>
      <sheetName val="IO_LIST1"/>
      <sheetName val="T_Crane1"/>
      <sheetName val="SDF_I1"/>
      <sheetName val="Civil_Boq1"/>
      <sheetName val="Labour_productivity1"/>
      <sheetName val="Tender_Summary1"/>
      <sheetName val="BOQ_(2)1"/>
      <sheetName val="final_abstract1"/>
      <sheetName val="Data_Input1"/>
      <sheetName val="SGS_ACQ1"/>
      <sheetName val="BOQ_Direct_selling_cost1"/>
      <sheetName val="Meas_-Hotel_Part1"/>
      <sheetName val="Material_1"/>
      <sheetName val="Labour_&amp;_Plant1"/>
      <sheetName val="RCC_Rates1"/>
      <sheetName val="CONSTRUCTION_COMPONENT1"/>
      <sheetName val="A_O_R_1"/>
      <sheetName val="Switch_costs_lookup1"/>
      <sheetName val="Eqpmnt_Plng1"/>
      <sheetName val="Data_sheet1"/>
      <sheetName val="Per_Unit1"/>
      <sheetName val="precast_RC_element1"/>
      <sheetName val="Package_21"/>
      <sheetName val="_working_Sheet1"/>
      <sheetName val="BASIS_-DEC_081"/>
      <sheetName val="MB_Prod1"/>
      <sheetName val="Extra_Item1"/>
      <sheetName val="schedule_nos1"/>
      <sheetName val="SA_Input1"/>
      <sheetName val="NT-Expan_50mm_UBF1"/>
      <sheetName val="ANNX_-_I_(_a_)1"/>
      <sheetName val="Customize_Your_Purchase_Order1"/>
      <sheetName val="STDEV-M30_(2)1"/>
      <sheetName val="_Steel_Work3"/>
      <sheetName val="TOTOL_OF_SECTION3"/>
      <sheetName val="Fee_Rate_Summary3"/>
      <sheetName val="PRECAST_lightconc-II3"/>
      <sheetName val="SITE_OVERHEADS3"/>
      <sheetName val="WORK_TABLE2"/>
      <sheetName val="Fill_this_out_first___3"/>
      <sheetName val="3__Elemental_Summary2"/>
      <sheetName val="9__Package_split_-_Cost_2"/>
      <sheetName val="10__&amp;_11__Rate_Code_&amp;_BQ2"/>
      <sheetName val="12a__CFTable2"/>
      <sheetName val="Site_Dev_BOQ2"/>
      <sheetName val="TBAL9697_-group_wise__sdpl2"/>
      <sheetName val="PCS_DATA2"/>
      <sheetName val="Cost_summary2"/>
      <sheetName val="labour_coeff2"/>
      <sheetName val="Reference_Information2"/>
      <sheetName val="Employee_List2"/>
      <sheetName val="Sales_Office2"/>
      <sheetName val="Fin_Sum2"/>
      <sheetName val="Rate_analysis2"/>
      <sheetName val="BOQ_-Lab2"/>
      <sheetName val="Base_data_Security_Procedures2"/>
      <sheetName val="SCurv_(3)2"/>
      <sheetName val="Pier_-AC2"/>
      <sheetName val="renovation_2"/>
      <sheetName val="new_piloty2"/>
      <sheetName val="Pier_-VENT2"/>
      <sheetName val="BMS_-pier2"/>
      <sheetName val="Cargo_-Vent2"/>
      <sheetName val="BMS_-cargo2"/>
      <sheetName val="INDIGINEOUS_ITEMS_2"/>
      <sheetName val="Cost_of_O_&amp;_O2"/>
      <sheetName val="BOQ_2"/>
      <sheetName val="IO_LIST2"/>
      <sheetName val="T_Crane2"/>
      <sheetName val="SDF_I2"/>
      <sheetName val="Civil_Boq2"/>
      <sheetName val="Labour_productivity2"/>
      <sheetName val="Tender_Summary2"/>
      <sheetName val="BOQ_(2)2"/>
      <sheetName val="final_abstract2"/>
      <sheetName val="Data_Input2"/>
      <sheetName val="SGS_ACQ2"/>
      <sheetName val="BOQ_Direct_selling_cost2"/>
      <sheetName val="Meas_-Hotel_Part2"/>
      <sheetName val="Material_2"/>
      <sheetName val="Labour_&amp;_Plant2"/>
      <sheetName val="RCC_Rates2"/>
      <sheetName val="CONSTRUCTION_COMPONENT2"/>
      <sheetName val="A_O_R_2"/>
      <sheetName val="Switch_costs_lookup2"/>
      <sheetName val="Eqpmnt_Plng2"/>
      <sheetName val="Data_sheet2"/>
      <sheetName val="Per_Unit2"/>
      <sheetName val="precast_RC_element2"/>
      <sheetName val="Package_22"/>
      <sheetName val="_working_Sheet2"/>
      <sheetName val="BASIS_-DEC_082"/>
      <sheetName val="MB_Prod2"/>
      <sheetName val="Extra_Item2"/>
      <sheetName val="schedule_nos2"/>
      <sheetName val="SA_Input2"/>
      <sheetName val="NT-Expan_50mm_UBF2"/>
      <sheetName val="ANNX_-_I_(_a_)2"/>
      <sheetName val="Customize_Your_Purchase_Order2"/>
      <sheetName val="STDEV-M30_(2)2"/>
      <sheetName val="_Steel_Work4"/>
      <sheetName val="TOTOL_OF_SECTION4"/>
      <sheetName val="Fee_Rate_Summary4"/>
      <sheetName val="PRECAST_lightconc-II4"/>
      <sheetName val="SITE_OVERHEADS4"/>
      <sheetName val="WORK_TABLE3"/>
      <sheetName val="Fill_this_out_first___4"/>
      <sheetName val="3__Elemental_Summary3"/>
      <sheetName val="9__Package_split_-_Cost_3"/>
      <sheetName val="10__&amp;_11__Rate_Code_&amp;_BQ3"/>
      <sheetName val="12a__CFTable3"/>
      <sheetName val="Site_Dev_BOQ3"/>
      <sheetName val="TBAL9697_-group_wise__sdpl3"/>
      <sheetName val="PCS_DATA3"/>
      <sheetName val="Cost_summary3"/>
      <sheetName val="labour_coeff3"/>
      <sheetName val="Reference_Information3"/>
      <sheetName val="Employee_List3"/>
      <sheetName val="Sales_Office3"/>
      <sheetName val="Fin_Sum3"/>
      <sheetName val="Rate_analysis3"/>
      <sheetName val="BOQ_-Lab3"/>
      <sheetName val="Base_data_Security_Procedures3"/>
      <sheetName val="SCurv_(3)3"/>
      <sheetName val="Pier_-AC3"/>
      <sheetName val="renovation_3"/>
      <sheetName val="new_piloty3"/>
      <sheetName val="Pier_-VENT3"/>
      <sheetName val="BMS_-pier3"/>
      <sheetName val="Cargo_-Vent3"/>
      <sheetName val="BMS_-cargo3"/>
      <sheetName val="INDIGINEOUS_ITEMS_3"/>
      <sheetName val="Cost_of_O_&amp;_O3"/>
      <sheetName val="BOQ_3"/>
      <sheetName val="IO_LIST3"/>
      <sheetName val="T_Crane3"/>
      <sheetName val="SDF_I3"/>
      <sheetName val="Civil_Boq3"/>
      <sheetName val="Labour_productivity3"/>
      <sheetName val="Tender_Summary3"/>
      <sheetName val="BOQ_(2)3"/>
      <sheetName val="final_abstract3"/>
      <sheetName val="Data_Input3"/>
      <sheetName val="SGS_ACQ3"/>
      <sheetName val="BOQ_Direct_selling_cost3"/>
      <sheetName val="Meas_-Hotel_Part3"/>
      <sheetName val="Material_3"/>
      <sheetName val="Labour_&amp;_Plant3"/>
      <sheetName val="RCC_Rates3"/>
      <sheetName val="CONSTRUCTION_COMPONENT3"/>
      <sheetName val="A_O_R_3"/>
      <sheetName val="Switch_costs_lookup3"/>
      <sheetName val="Eqpmnt_Plng3"/>
      <sheetName val="Data_sheet3"/>
      <sheetName val="Per_Unit3"/>
      <sheetName val="precast_RC_element3"/>
      <sheetName val="Package_23"/>
      <sheetName val="_working_Sheet3"/>
      <sheetName val="BASIS_-DEC_083"/>
      <sheetName val="MB_Prod3"/>
      <sheetName val="Extra_Item3"/>
      <sheetName val="schedule_nos3"/>
      <sheetName val="SA_Input3"/>
      <sheetName val="NT-Expan_50mm_UBF3"/>
      <sheetName val="ANNX_-_I_(_a_)3"/>
      <sheetName val="Customize_Your_Purchase_Order3"/>
      <sheetName val="STDEV-M30_(2)3"/>
      <sheetName val="_Steel_Work5"/>
      <sheetName val="TOTOL_OF_SECTION5"/>
      <sheetName val="Fee_Rate_Summary5"/>
      <sheetName val="PRECAST_lightconc-II5"/>
      <sheetName val="SITE_OVERHEADS5"/>
      <sheetName val="WORK_TABLE4"/>
      <sheetName val="Fill_this_out_first___5"/>
      <sheetName val="3__Elemental_Summary4"/>
      <sheetName val="9__Package_split_-_Cost_4"/>
      <sheetName val="10__&amp;_11__Rate_Code_&amp;_BQ4"/>
      <sheetName val="12a__CFTable4"/>
      <sheetName val="Site_Dev_BOQ4"/>
      <sheetName val="TBAL9697_-group_wise__sdpl4"/>
      <sheetName val="PCS_DATA4"/>
      <sheetName val="Cost_summary4"/>
      <sheetName val="labour_coeff4"/>
      <sheetName val="Reference_Information4"/>
      <sheetName val="Employee_List4"/>
      <sheetName val="Sales_Office4"/>
      <sheetName val="Fin_Sum4"/>
      <sheetName val="Rate_analysis4"/>
      <sheetName val="BOQ_-Lab4"/>
      <sheetName val="Base_data_Security_Procedures4"/>
      <sheetName val="SCurv_(3)4"/>
      <sheetName val="Pier_-AC4"/>
      <sheetName val="renovation_4"/>
      <sheetName val="new_piloty4"/>
      <sheetName val="Pier_-VENT4"/>
      <sheetName val="BMS_-pier4"/>
      <sheetName val="Cargo_-Vent4"/>
      <sheetName val="BMS_-cargo4"/>
      <sheetName val="INDIGINEOUS_ITEMS_4"/>
      <sheetName val="Cost_of_O_&amp;_O4"/>
      <sheetName val="BOQ_4"/>
      <sheetName val="IO_LIST4"/>
      <sheetName val="T_Crane4"/>
      <sheetName val="SDF_I4"/>
      <sheetName val="Civil_Boq4"/>
      <sheetName val="Labour_productivity4"/>
      <sheetName val="Tender_Summary4"/>
      <sheetName val="BOQ_(2)4"/>
      <sheetName val="final_abstract4"/>
      <sheetName val="Data_Input4"/>
      <sheetName val="SGS_ACQ4"/>
      <sheetName val="BOQ_Direct_selling_cost4"/>
      <sheetName val="Meas_-Hotel_Part4"/>
      <sheetName val="Material_4"/>
      <sheetName val="Labour_&amp;_Plant4"/>
      <sheetName val="RCC_Rates4"/>
      <sheetName val="CONSTRUCTION_COMPONENT4"/>
      <sheetName val="A_O_R_4"/>
      <sheetName val="Switch_costs_lookup4"/>
      <sheetName val="Eqpmnt_Plng4"/>
      <sheetName val="Data_sheet4"/>
      <sheetName val="Per_Unit4"/>
      <sheetName val="precast_RC_element4"/>
      <sheetName val="Package_24"/>
      <sheetName val="_working_Sheet4"/>
      <sheetName val="BASIS_-DEC_084"/>
      <sheetName val="MB_Prod4"/>
      <sheetName val="Extra_Item4"/>
      <sheetName val="schedule_nos4"/>
      <sheetName val="SA_Input4"/>
      <sheetName val="NT-Expan_50mm_UBF4"/>
      <sheetName val="ANNX_-_I_(_a_)4"/>
      <sheetName val="Customize_Your_Purchase_Order4"/>
      <sheetName val="STDEV-M30_(2)4"/>
      <sheetName val="Sheet_1"/>
      <sheetName val="_Steel_Work6"/>
      <sheetName val="TOTOL_OF_SECTION6"/>
      <sheetName val="Fee_Rate_Summary6"/>
      <sheetName val="PRECAST_lightconc-II6"/>
      <sheetName val="SITE_OVERHEADS6"/>
      <sheetName val="WORK_TABLE5"/>
      <sheetName val="Fill_this_out_first___6"/>
      <sheetName val="3__Elemental_Summary5"/>
      <sheetName val="9__Package_split_-_Cost_5"/>
      <sheetName val="10__&amp;_11__Rate_Code_&amp;_BQ5"/>
      <sheetName val="12a__CFTable5"/>
      <sheetName val="Site_Dev_BOQ5"/>
      <sheetName val="TBAL9697_-group_wise__sdpl5"/>
      <sheetName val="PCS_DATA5"/>
      <sheetName val="Cost_summary5"/>
      <sheetName val="labour_coeff5"/>
      <sheetName val="Reference_Information5"/>
      <sheetName val="Employee_List5"/>
      <sheetName val="Sales_Office5"/>
      <sheetName val="Fin_Sum5"/>
      <sheetName val="Rate_analysis5"/>
      <sheetName val="BOQ_-Lab5"/>
      <sheetName val="Base_data_Security_Procedures5"/>
      <sheetName val="SCurv_(3)5"/>
      <sheetName val="Pier_-AC5"/>
      <sheetName val=""/>
      <sheetName val="Manpower"/>
      <sheetName val="BLOCK-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sheetName val="civil ms"/>
      <sheetName val="ms carp"/>
      <sheetName val="Carpentry"/>
      <sheetName val="elec bill"/>
      <sheetName val="External work"/>
      <sheetName val="external ms"/>
      <sheetName val="Extra Civil work"/>
      <sheetName val="Extra Civil Work Ms"/>
      <sheetName val="Staircase"/>
      <sheetName val="Staircase ms"/>
      <sheetName val="extra work elec bill "/>
      <sheetName val="electrical panel bill "/>
      <sheetName val="GBW"/>
      <sheetName val="Sheet2"/>
      <sheetName val="Fill this out first..."/>
      <sheetName val="Names&amp;Cas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Guidance"/>
      <sheetName val="INPUT --&gt;"/>
      <sheetName val="Control Requirement 1 (2)"/>
      <sheetName val="Control Requirement 1"/>
      <sheetName val="Control Requirement Spreadsheet"/>
      <sheetName val="Sheet2"/>
      <sheetName val="Sheet1"/>
      <sheetName val="INFO--&gt;"/>
      <sheetName val="Critical Spend Categories"/>
      <sheetName val="Focus Jurisdictions"/>
      <sheetName val="Admin"/>
    </sheetNames>
    <sheetDataSet>
      <sheetData sheetId="0"/>
      <sheetData sheetId="1"/>
      <sheetData sheetId="2"/>
      <sheetData sheetId="3"/>
      <sheetData sheetId="4"/>
      <sheetData sheetId="5"/>
      <sheetData sheetId="6"/>
      <sheetData sheetId="7"/>
      <sheetData sheetId="8"/>
      <sheetData sheetId="9"/>
      <sheetData sheetId="10"/>
      <sheetData sheetId="11">
        <row r="1">
          <cell r="R1" t="str">
            <v>mandatory</v>
          </cell>
        </row>
        <row r="2">
          <cell r="R2" t="str">
            <v>non-mandatory</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2)"/>
      <sheetName val="Portfolio Summary"/>
      <sheetName val="GBW"/>
      <sheetName val="Set"/>
      <sheetName val="Current Bill MB ref"/>
      <sheetName val="OpRes"/>
      <sheetName val="master"/>
      <sheetName val="Meas.-Hotel Part"/>
      <sheetName val="Builtup Area"/>
      <sheetName val="#REF"/>
      <sheetName val="Sheet1"/>
      <sheetName val="03 (2)"/>
      <sheetName val="Project Budget Worksheet"/>
      <sheetName val="IO LIST"/>
      <sheetName val="Fill this out first..."/>
      <sheetName val="PLAN_FEB97"/>
      <sheetName val="Income Statements"/>
      <sheetName val="Sheet3 _2_"/>
      <sheetName val="extra work elec bill "/>
      <sheetName val="Approved MTD Proj #'s"/>
      <sheetName val="compu"/>
      <sheetName val="BBEuros"/>
      <sheetName val="WIng F(Typical)"/>
      <sheetName val="Fin Sum"/>
      <sheetName val="BOQ T4B"/>
      <sheetName val="ABP inputs"/>
      <sheetName val="Synergy Sales Budget"/>
      <sheetName val="DEPRE"/>
      <sheetName val="QoQ Forecast"/>
      <sheetName val="InvoiceList"/>
      <sheetName val="Income &amp; Occupancy Customer"/>
      <sheetName val="RCC,Ret. Wall"/>
      <sheetName val="analysis"/>
      <sheetName val="Calculation (2)"/>
      <sheetName val="JCF"/>
      <sheetName val="Multiple output"/>
      <sheetName val="sheet6"/>
      <sheetName val="유통망계획"/>
      <sheetName val="Headings"/>
      <sheetName val="Formulas"/>
      <sheetName val="F1a-Pile"/>
      <sheetName val="CV"/>
      <sheetName val="ES(Kor)"/>
      <sheetName val="INDIGINEOUS ITEMS "/>
      <sheetName val="fco"/>
      <sheetName val="Summary"/>
      <sheetName val="노무비"/>
      <sheetName val="Material "/>
      <sheetName val="Labour &amp; Plant"/>
      <sheetName val="Lead"/>
      <sheetName val="Main-Material"/>
      <sheetName val="Legal Risk Analysis"/>
      <sheetName val="Design"/>
      <sheetName val="BOQ"/>
      <sheetName val=" B3"/>
      <sheetName val=" B1"/>
      <sheetName val="beam-reinft-IIInd floor"/>
      <sheetName val="Depreciation"/>
      <sheetName val="Data"/>
      <sheetName val="Load Details-220kV"/>
      <sheetName val="Sensitivity"/>
      <sheetName val="labour"/>
      <sheetName val="Cost summary"/>
      <sheetName val="CFForecast detail"/>
      <sheetName val="Site Dev BOQ"/>
      <sheetName val="TIll_Q_sal"/>
      <sheetName val="tiller"/>
      <sheetName val="Input"/>
      <sheetName val="Global Assm."/>
      <sheetName val="Summ"/>
      <sheetName val="Fossil_DCF"/>
      <sheetName val="SOPMA DD"/>
      <sheetName val="Break up Sheet"/>
      <sheetName val="MN T.B."/>
      <sheetName val="Aladdin Macro1"/>
      <sheetName val="BalSht"/>
      <sheetName val="Acc_10.5"/>
      <sheetName val="Vind-BtB"/>
      <sheetName val="PLGroupings"/>
      <sheetName val="Results"/>
      <sheetName val="Basement Budget"/>
      <sheetName val="소상 &quot;1&quot;"/>
      <sheetName val="Variables_x"/>
      <sheetName val="Variables"/>
      <sheetName val="Architectural Summary"/>
      <sheetName val="Sheet3_(2)"/>
      <sheetName val="Income_Statements"/>
      <sheetName val="Sheet3__2_"/>
      <sheetName val="Acc_10_5"/>
      <sheetName val="QoQ_Forecast"/>
      <sheetName val="Aladdin_Macro1"/>
      <sheetName val="TB_FOR_MIS"/>
      <sheetName val="Area"/>
      <sheetName val="TB FOR MIS"/>
      <sheetName val="INPUT SHEET"/>
      <sheetName val="Sheet2"/>
      <sheetName val="CapitalOutlay"/>
      <sheetName val="Assum"/>
      <sheetName val="Hot"/>
      <sheetName val="Assumptions"/>
      <sheetName val="Mico"/>
      <sheetName val="EBITDA"/>
      <sheetName val="IMPORT T12"/>
      <sheetName val="van khuon"/>
      <sheetName val="Names"/>
      <sheetName val="Block A - BOQ"/>
      <sheetName val="Introduction"/>
      <sheetName val="IDC macro"/>
      <sheetName val="SALE"/>
      <sheetName val="March Analysts"/>
      <sheetName val="Rollup Summary"/>
      <sheetName val="strand"/>
      <sheetName val="ABP_inputs"/>
      <sheetName val="Synergy_Sales_Budget"/>
      <sheetName val="Project_Budget_Worksheet"/>
      <sheetName val="Income_&amp;_Occupancy_Customer"/>
      <sheetName val="RCC,Ret__Wall"/>
      <sheetName val="Calculation_(2)"/>
      <sheetName val="Multiple_output"/>
      <sheetName val="Builtup_Area"/>
      <sheetName val="BOQ_T4B"/>
      <sheetName val="INDIGINEOUS_ITEMS_"/>
      <sheetName val="Material_"/>
      <sheetName val="Labour_&amp;_Plant"/>
      <sheetName val="Approved_MTD_Proj_#'s"/>
      <sheetName val="_B3"/>
      <sheetName val="_B1"/>
      <sheetName val="beam-reinft-IIInd_floor"/>
      <sheetName val="Global_Assm_"/>
      <sheetName val="MN_T_B_"/>
      <sheetName val="CFForecast_detail"/>
      <sheetName val="Site_Dev_BOQ"/>
      <sheetName val="Break_up_Sheet"/>
      <sheetName val="Load_Details-220kV"/>
      <sheetName val="Block_A_-_BOQ"/>
      <sheetName val="Sheet3_(2)1"/>
      <sheetName val="ABP_inputs1"/>
      <sheetName val="Synergy_Sales_Budget1"/>
      <sheetName val="Project_Budget_Worksheet1"/>
      <sheetName val="QoQ_Forecast1"/>
      <sheetName val="Income_Statements1"/>
      <sheetName val="Sheet3__2_1"/>
      <sheetName val="Income_&amp;_Occupancy_Customer1"/>
      <sheetName val="RCC,Ret__Wall1"/>
      <sheetName val="Calculation_(2)1"/>
      <sheetName val="Multiple_output1"/>
      <sheetName val="Builtup_Area1"/>
      <sheetName val="BOQ_T4B1"/>
      <sheetName val="INDIGINEOUS_ITEMS_1"/>
      <sheetName val="Material_1"/>
      <sheetName val="Labour_&amp;_Plant1"/>
      <sheetName val="Approved_MTD_Proj_#'s1"/>
      <sheetName val="_B31"/>
      <sheetName val="_B11"/>
      <sheetName val="beam-reinft-IIInd_floor1"/>
      <sheetName val="Aladdin_Macro11"/>
      <sheetName val="Acc_10_51"/>
      <sheetName val="Global_Assm_1"/>
      <sheetName val="MN_T_B_1"/>
      <sheetName val="CFForecast_detail1"/>
      <sheetName val="Site_Dev_BOQ1"/>
      <sheetName val="Break_up_Sheet1"/>
      <sheetName val="Load_Details-220kV1"/>
      <sheetName val="Block_A_-_BOQ1"/>
      <sheetName val="Sheet3_(2)2"/>
      <sheetName val="ABP_inputs2"/>
      <sheetName val="Synergy_Sales_Budget2"/>
      <sheetName val="Project_Budget_Worksheet2"/>
      <sheetName val="QoQ_Forecast2"/>
      <sheetName val="Income_Statements2"/>
      <sheetName val="Sheet3__2_2"/>
      <sheetName val="Income_&amp;_Occupancy_Customer2"/>
      <sheetName val="RCC,Ret__Wall2"/>
      <sheetName val="Calculation_(2)2"/>
      <sheetName val="Multiple_output2"/>
      <sheetName val="Builtup_Area2"/>
      <sheetName val="BOQ_T4B2"/>
      <sheetName val="INDIGINEOUS_ITEMS_2"/>
      <sheetName val="Material_2"/>
      <sheetName val="Labour_&amp;_Plant2"/>
      <sheetName val="Approved_MTD_Proj_#'s2"/>
      <sheetName val="_B32"/>
      <sheetName val="_B12"/>
      <sheetName val="beam-reinft-IIInd_floor2"/>
      <sheetName val="Aladdin_Macro12"/>
      <sheetName val="Acc_10_52"/>
      <sheetName val="Global_Assm_2"/>
      <sheetName val="MN_T_B_2"/>
      <sheetName val="CFForecast_detail2"/>
      <sheetName val="Site_Dev_BOQ2"/>
      <sheetName val="Break_up_Sheet2"/>
      <sheetName val="Load_Details-220kV2"/>
      <sheetName val="Block_A_-_BOQ2"/>
      <sheetName val="Sheet3_(2)3"/>
      <sheetName val="ABP_inputs3"/>
      <sheetName val="Synergy_Sales_Budget3"/>
      <sheetName val="Project_Budget_Worksheet3"/>
      <sheetName val="QoQ_Forecast3"/>
      <sheetName val="Income_Statements3"/>
      <sheetName val="Sheet3__2_3"/>
      <sheetName val="Income_&amp;_Occupancy_Customer3"/>
      <sheetName val="RCC,Ret__Wall3"/>
      <sheetName val="Calculation_(2)3"/>
      <sheetName val="Multiple_output3"/>
      <sheetName val="Builtup_Area3"/>
      <sheetName val="BOQ_T4B3"/>
      <sheetName val="INDIGINEOUS_ITEMS_3"/>
      <sheetName val="Material_3"/>
      <sheetName val="Labour_&amp;_Plant3"/>
      <sheetName val="Approved_MTD_Proj_#'s3"/>
      <sheetName val="_B33"/>
      <sheetName val="_B13"/>
      <sheetName val="beam-reinft-IIInd_floor3"/>
      <sheetName val="Aladdin_Macro13"/>
      <sheetName val="Acc_10_53"/>
      <sheetName val="Global_Assm_3"/>
      <sheetName val="MN_T_B_3"/>
      <sheetName val="CFForecast_detail3"/>
      <sheetName val="Site_Dev_BOQ3"/>
      <sheetName val="Break_up_Sheet3"/>
      <sheetName val="Load_Details-220kV3"/>
      <sheetName val="Block_A_-_BOQ3"/>
      <sheetName val="Sheet3_(2)4"/>
      <sheetName val="ABP_inputs4"/>
      <sheetName val="Synergy_Sales_Budget4"/>
      <sheetName val="Project_Budget_Worksheet4"/>
      <sheetName val="QoQ_Forecast4"/>
      <sheetName val="Income_Statements4"/>
      <sheetName val="Sheet3__2_4"/>
      <sheetName val="Income_&amp;_Occupancy_Customer4"/>
      <sheetName val="RCC,Ret__Wall4"/>
      <sheetName val="Calculation_(2)4"/>
      <sheetName val="Multiple_output4"/>
      <sheetName val="Builtup_Area4"/>
      <sheetName val="BOQ_T4B4"/>
      <sheetName val="INDIGINEOUS_ITEMS_4"/>
      <sheetName val="Material_4"/>
      <sheetName val="Labour_&amp;_Plant4"/>
      <sheetName val="Approved_MTD_Proj_#'s4"/>
      <sheetName val="_B34"/>
      <sheetName val="_B14"/>
      <sheetName val="beam-reinft-IIInd_floor4"/>
      <sheetName val="Aladdin_Macro14"/>
      <sheetName val="Acc_10_54"/>
      <sheetName val="Global_Assm_4"/>
      <sheetName val="MN_T_B_4"/>
      <sheetName val="CFForecast_detail4"/>
      <sheetName val="Site_Dev_BOQ4"/>
      <sheetName val="Break_up_Sheet4"/>
      <sheetName val="Load_Details-220kV4"/>
      <sheetName val="Block_A_-_BOQ4"/>
      <sheetName val="download"/>
      <sheetName val="170810-lease tax"/>
      <sheetName val="CABLE DATA"/>
      <sheetName val="1st flr"/>
      <sheetName val="Civil Boq"/>
      <sheetName val="SCH-E-1"/>
      <sheetName val="Inputs"/>
      <sheetName val="BIPR"/>
      <sheetName val="BPCA"/>
      <sheetName val="BBRS"/>
      <sheetName val="KPM DT"/>
      <sheetName val="F"/>
      <sheetName val="EXHIBIT&quot; T&quot;"/>
      <sheetName val="Turnover"/>
      <sheetName val="Non-Factory"/>
      <sheetName val="Publicbuilding"/>
      <sheetName val=""/>
      <sheetName val="Elec Summ"/>
      <sheetName val="ELEC BOQ"/>
      <sheetName val="TRACK BUSWAY"/>
      <sheetName val="BBT"/>
      <sheetName val="LIGHTING"/>
      <sheetName val="LMS"/>
      <sheetName val="Beam at Ground flr lvl(Steel)"/>
      <sheetName val="INDEX"/>
      <sheetName val="AREAS"/>
      <sheetName val="sumary"/>
      <sheetName val="1st -vpd"/>
      <sheetName val="RCC Rates"/>
      <sheetName val="conc-foot-gradeslab"/>
      <sheetName val="Material List "/>
      <sheetName val="Master list"/>
      <sheetName val="Labour List"/>
      <sheetName val="Material List"/>
      <sheetName val="Labor abs-NMR"/>
      <sheetName val="Rates"/>
      <sheetName val="SCHEDULE"/>
      <sheetName val="Database"/>
      <sheetName val="schedule nos"/>
      <sheetName val="WT-LIST"/>
      <sheetName val="Material"/>
      <sheetName val="NEW-IDs Fun &amp; Group"/>
      <sheetName val="XZLC003_PART1"/>
      <sheetName val="q-details"/>
      <sheetName val="final abstract"/>
      <sheetName val="Rate analysis"/>
      <sheetName val="02"/>
      <sheetName val="03"/>
      <sheetName val="04"/>
      <sheetName val="01"/>
      <sheetName val="sept-plan"/>
      <sheetName val="Occ"/>
      <sheetName val="Demand"/>
      <sheetName val="Ref"/>
      <sheetName val="Main Sheet (MTD)"/>
      <sheetName val="Consl Daily Report"/>
      <sheetName val="Preside"/>
      <sheetName val="balance sheet"/>
      <sheetName val=" Acc. Sched."/>
      <sheetName val="classes"/>
      <sheetName val="IT Block"/>
      <sheetName val="Location CODE"/>
      <sheetName val="Location TYPE"/>
      <sheetName val="sub class"/>
      <sheetName val=" sub Loc "/>
      <sheetName val="Company"/>
      <sheetName val="LBO"/>
      <sheetName val="EDS  Bestshore Migration"/>
      <sheetName val="NewCo"/>
      <sheetName val="Summary Excise"/>
      <sheetName val="Grouping Master"/>
      <sheetName val="LISTS"/>
      <sheetName val="02022005"/>
      <sheetName val="16022005"/>
      <sheetName val="05012005"/>
      <sheetName val="19012005"/>
      <sheetName val="02032005"/>
      <sheetName val="16032005"/>
      <sheetName val="30032005"/>
      <sheetName val="van_khuon"/>
      <sheetName val="IDC_macro"/>
      <sheetName val="Portfolio_Summary"/>
      <sheetName val="Current_Bill_MB_ref"/>
      <sheetName val="Meas_-Hotel_Part"/>
      <sheetName val="Fin_Sum"/>
      <sheetName val="BS"/>
      <sheetName val="Other BS Sch 5-9"/>
      <sheetName val="Excess Calc"/>
      <sheetName val="RES-PLANNING"/>
      <sheetName val="Cost_any"/>
      <sheetName val="10. &amp; 11. Rate Code &amp; BQ"/>
      <sheetName val="Code"/>
      <sheetName val="new_data"/>
      <sheetName val="earnmodl"/>
      <sheetName val="Dom Cell (IS)"/>
      <sheetName val="RNT"/>
      <sheetName val="Combi"/>
      <sheetName val="FlashMgtMo"/>
      <sheetName val="FlashMgtYTD"/>
      <sheetName val="QoQ In Lakhs"/>
      <sheetName val="Main workings"/>
      <sheetName val="GENERAL2"/>
      <sheetName val="P &amp; L"/>
      <sheetName val="YTD"/>
      <sheetName val="Pay_Sep06"/>
      <sheetName val="Balance Sheet "/>
      <sheetName val="Master Price List"/>
      <sheetName val="reference"/>
      <sheetName val="vb 9&amp;10"/>
      <sheetName val="AOR"/>
      <sheetName val="Factor_Sheet"/>
      <sheetName val="MASTER_RATE ANALYSIS"/>
      <sheetName val="Valuation - block 2"/>
      <sheetName val="International"/>
      <sheetName val="Internet"/>
      <sheetName val="Base Assumptions"/>
      <sheetName val="FITZ MORT 94"/>
      <sheetName val="Goldberg Portfolio Combined"/>
      <sheetName val="Intaccrual"/>
      <sheetName val="SBU"/>
      <sheetName val="GenAssump"/>
      <sheetName val="TB"/>
      <sheetName val="A-Mum"/>
      <sheetName val="ras"/>
      <sheetName val="BKCSTOCKVAL"/>
      <sheetName val="MAHSTOCKVAL"/>
      <sheetName val="Portfolio_Summary1"/>
      <sheetName val="Current_Bill_MB_ref1"/>
      <sheetName val="Meas_-Hotel_Part1"/>
      <sheetName val="A1-Continuous"/>
      <sheetName val="Debtors analysis"/>
      <sheetName val="SEW4"/>
      <sheetName val="MIS - kINR"/>
      <sheetName val="pile Fabrication"/>
      <sheetName val="Improvements"/>
      <sheetName val="Sheet4"/>
      <sheetName val="CrRajWMM"/>
      <sheetName val="Open Items-311208"/>
      <sheetName val="DET0900"/>
      <sheetName val="Theatre mgmt cont"/>
      <sheetName val="FORM7"/>
      <sheetName val="目录"/>
      <sheetName val="PRECAST lightconc-II"/>
      <sheetName val="Tender Summary"/>
      <sheetName val="RA"/>
      <sheetName val="Bill 1-BOQ-Civil Works"/>
      <sheetName val="UNP-NCW "/>
      <sheetName val="4.4 External Plaster"/>
      <sheetName val="CashFlow"/>
      <sheetName val="IMPORT_T12"/>
      <sheetName val="KPM_DT"/>
      <sheetName val="Task"/>
      <sheetName val="Training Deposits coding"/>
      <sheetName val="M-2 Adjusted"/>
      <sheetName val="OpTrack"/>
      <sheetName val="USB 1"/>
      <sheetName val="Phasing"/>
      <sheetName val=" "/>
      <sheetName val="Graph (LGEN)"/>
      <sheetName val="out_prog"/>
      <sheetName val="선적schedule (2)"/>
      <sheetName val="steam outlet"/>
      <sheetName val="BOQ Distribution"/>
      <sheetName val="wordsdata"/>
      <sheetName val="GM &amp; TA"/>
      <sheetName val="MFG"/>
      <sheetName val="Leasing Commision"/>
      <sheetName val="9. Package split - Cost "/>
      <sheetName val="horizontal"/>
      <sheetName val="Checks"/>
      <sheetName val="Cash Flow Working"/>
      <sheetName val="15-21"/>
      <sheetName val="Commercial Research"/>
      <sheetName val="269T(final)"/>
      <sheetName val="Params"/>
      <sheetName val="Operating Statistics"/>
      <sheetName val="Trial Balance"/>
      <sheetName val="Contribution"/>
      <sheetName val="Rx"/>
      <sheetName val="Menu"/>
      <sheetName val="Licences"/>
      <sheetName val="FA Schedule Dec 07"/>
      <sheetName val="P.R. TAXES"/>
      <sheetName val="BILLING SUM"/>
      <sheetName val="Service Invoice"/>
      <sheetName val="SODA02"/>
      <sheetName val="Cover"/>
      <sheetName val="Retail Mall"/>
      <sheetName val="Sheet3"/>
      <sheetName val="MIS AC wise"/>
      <sheetName val="apr-aug"/>
      <sheetName val="Rev Opt - Rollup"/>
      <sheetName val="?????"/>
      <sheetName val="Budget Summary"/>
      <sheetName val="PERHW"/>
      <sheetName val="Standalone"/>
      <sheetName val="RATE LIST (2)"/>
      <sheetName val="EXPENSES"/>
      <sheetName val="AOP13"/>
      <sheetName val="ANN.K"/>
      <sheetName val="CAP"/>
      <sheetName val="Macro1"/>
      <sheetName val="97-98"/>
      <sheetName val="LBO Financials"/>
      <sheetName val="CARO"/>
      <sheetName val="Control Sheet"/>
      <sheetName val="Sheet3_(2)5"/>
      <sheetName val="Sheet3__2_5"/>
      <sheetName val="Calculation_(2)5"/>
      <sheetName val="Multiple_output5"/>
      <sheetName val="170810-lease_tax"/>
      <sheetName val="QoQ_Forecast5"/>
      <sheetName val="Income_Statements5"/>
      <sheetName val="Income_&amp;_Occupancy_Customer5"/>
      <sheetName val="ABP_inputs5"/>
      <sheetName val="Synergy_Sales_Budget5"/>
      <sheetName val="Project_Budget_Worksheet5"/>
      <sheetName val="INDIGINEOUS_ITEMS_5"/>
      <sheetName val="Builtup_Area5"/>
      <sheetName val="RCC,Ret__Wall5"/>
      <sheetName val="BOQ_T4B5"/>
      <sheetName val="Material_5"/>
      <sheetName val="Labour_&amp;_Plant5"/>
      <sheetName val="_B35"/>
      <sheetName val="_B15"/>
      <sheetName val="CFForecast_detail5"/>
      <sheetName val="Site_Dev_BOQ5"/>
      <sheetName val="beam-reinft-IIInd_floor5"/>
      <sheetName val="Global_Assm_5"/>
      <sheetName val="Main_Sheet_(MTD)"/>
      <sheetName val="Consl_Daily_Report"/>
      <sheetName val="balance_sheet"/>
      <sheetName val="Aladdin_Macro15"/>
      <sheetName val="Acc_10_55"/>
      <sheetName val="MIS_-_kINR"/>
      <sheetName val="Break_up_Sheet5"/>
      <sheetName val="Approved_MTD_Proj_#'s5"/>
      <sheetName val="MN_T_B_5"/>
      <sheetName val="Load_Details-220kV5"/>
      <sheetName val="Block_A_-_BOQ5"/>
      <sheetName val="CABLE_DATA"/>
      <sheetName val="1st_flr"/>
      <sheetName val="final_abstract"/>
      <sheetName val="Rate_analysis"/>
      <sheetName val="Rollup_Summary"/>
      <sheetName val="Civil_Boq"/>
      <sheetName val="Recon"/>
      <sheetName val="Loss 3004"/>
      <sheetName val="Reconciliation of GL &amp; FAR"/>
      <sheetName val="FA"/>
      <sheetName val="ITEM  STUDY (2)"/>
      <sheetName val="EVA1"/>
      <sheetName val="Felix Street Summary"/>
      <sheetName val="Newspapers"/>
      <sheetName val="AccDil"/>
      <sheetName val="S &amp; A"/>
      <sheetName val="RA-markate"/>
      <sheetName val="03_(2)"/>
      <sheetName val="WIng_F(Typical)"/>
      <sheetName val="Legal_Risk_Analysis"/>
      <sheetName val="SOPMA_DD"/>
      <sheetName val="Architectural_Summary"/>
      <sheetName val="TB_FOR_MIS1"/>
      <sheetName val="INPUT_SHEET"/>
      <sheetName val="March_Analysts"/>
      <sheetName val="EXHIBIT&quot;_T&quot;"/>
      <sheetName val="IO_LIST"/>
      <sheetName val="Master_list"/>
      <sheetName val="Labour_List"/>
      <sheetName val="Material_List"/>
      <sheetName val="Labor_abs-NMR"/>
      <sheetName val="Beam_at_Ground_flr_lvl(Steel)"/>
      <sheetName val="1st_-vpd"/>
      <sheetName val="Material_List_"/>
      <sheetName val="schedule_nos"/>
      <sheetName val="Debtors_analysis"/>
      <sheetName val="Names&amp;Cases"/>
      <sheetName val="CASHFLOWS"/>
      <sheetName val="Boiler&amp;TG"/>
      <sheetName val="Dep"/>
      <sheetName val="cash_flow"/>
      <sheetName val="sales_value"/>
      <sheetName val="colaw_dep"/>
      <sheetName val="freight"/>
      <sheetName val="gm"/>
      <sheetName val="interest"/>
      <sheetName val="jb_cost"/>
      <sheetName val="c_flow_%"/>
      <sheetName val="consum_cost"/>
      <sheetName val="form26"/>
      <sheetName val="F29B"/>
      <sheetName val="Related party - P&amp;L"/>
      <sheetName val="Night Shift"/>
      <sheetName val="Fin. Assumpt. - Sensitivities"/>
      <sheetName val="Fin"/>
      <sheetName val="Intro"/>
      <sheetName val="Approval"/>
      <sheetName val=" COP"/>
      <sheetName val="Timesheet"/>
      <sheetName val="Loads"/>
      <sheetName val="p&amp;m"/>
      <sheetName val="Rollup"/>
      <sheetName val="notes"/>
      <sheetName val="FA(Apr 07)"/>
      <sheetName val="Reco O.S"/>
      <sheetName val="Accounts"/>
      <sheetName val="BOM"/>
      <sheetName val="currency"/>
      <sheetName val="TMasterCurrency"/>
      <sheetName val="TMasterSeg"/>
      <sheetName val="Portfolio_Summary2"/>
      <sheetName val="Current_Bill_MB_ref2"/>
      <sheetName val="Meas_-Hotel_Part2"/>
      <sheetName val="Fill_this_out_first___"/>
      <sheetName val="extra_work_elec_bill_"/>
      <sheetName val="_Acc__Sched_"/>
      <sheetName val="10__&amp;_11__Rate_Code_&amp;_BQ"/>
      <sheetName val="NEW-IDs_Fun_&amp;_Group"/>
      <sheetName val="TBAL9697 -group wise  sdpl"/>
      <sheetName val="Scope"/>
      <sheetName val="Multipliers &amp; KRA"/>
      <sheetName val="ASSETS P&amp;M"/>
      <sheetName val="Assets Land &amp; Mise FA"/>
      <sheetName val="OHT_Abs"/>
      <sheetName val="Settings"/>
      <sheetName val="1"/>
      <sheetName val="Linked Lead"/>
      <sheetName val="hist&amp;proj"/>
      <sheetName val="drop-dwn list"/>
      <sheetName val="Base data Security Procedures"/>
      <sheetName val="Summary_Local"/>
      <sheetName val="Hardware"/>
      <sheetName val="dlvoid"/>
      <sheetName val="L"/>
      <sheetName val="Notes-pivot1 "/>
      <sheetName val="tngst1"/>
      <sheetName val="Estimate"/>
      <sheetName val="12-ACTPL"/>
      <sheetName val="exp"/>
      <sheetName val="Kontensalden"/>
      <sheetName val="Micro"/>
      <sheetName val="Macro"/>
      <sheetName val="Scaff-Rose"/>
      <sheetName val="Control"/>
      <sheetName val="cl 14 Annex 7 "/>
      <sheetName val="Encl 7A"/>
      <sheetName val="oresreqsum"/>
      <sheetName val="Timeline"/>
      <sheetName val="Assump"/>
      <sheetName val="ES"/>
      <sheetName val="A.O.R."/>
      <sheetName val="HBI NCD"/>
      <sheetName val="CUSTOM Jun99"/>
      <sheetName val="Overall Summary"/>
      <sheetName val="Assumption"/>
      <sheetName val="TDS Certificate-Format"/>
      <sheetName val="FY2001-02"/>
      <sheetName val="XLR_NoRangeSheet"/>
      <sheetName val="HRD1"/>
      <sheetName val="Taluka wise dealer (2)"/>
      <sheetName val="STAFFSCHED "/>
      <sheetName val="Basic Rate"/>
      <sheetName val="4 Annex 1 Basic rate"/>
      <sheetName val="Other notes"/>
      <sheetName val="SP Break Up"/>
      <sheetName val="HELP"/>
      <sheetName val="BS-2005"/>
      <sheetName val="MAIN_MENU"/>
      <sheetName val="exec summ"/>
      <sheetName val="Ins Erection"/>
      <sheetName val="TH"/>
      <sheetName val="Redelvery provision changed"/>
      <sheetName val="Capital Structure"/>
      <sheetName val="IO"/>
      <sheetName val="GROUPING"/>
      <sheetName val="Power &amp; Fuel (S)"/>
      <sheetName val="concrete"/>
      <sheetName val="CSCCincSKR"/>
      <sheetName val="crs"/>
      <sheetName val="PIMS"/>
      <sheetName val="SCH 10"/>
      <sheetName val="SAP EMP"/>
      <sheetName val="schedules"/>
      <sheetName val="details"/>
      <sheetName val="BQ"/>
      <sheetName val="Base"/>
    </sheetNames>
    <sheetDataSet>
      <sheetData sheetId="0" refreshError="1">
        <row r="65">
          <cell r="A65" t="str">
            <v>(II)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row r="65">
          <cell r="A65" t="str">
            <v>(II)</v>
          </cell>
        </row>
      </sheetData>
      <sheetData sheetId="110"/>
      <sheetData sheetId="111">
        <row r="65">
          <cell r="A65" t="str">
            <v>(II)</v>
          </cell>
        </row>
      </sheetData>
      <sheetData sheetId="112">
        <row r="65">
          <cell r="A65" t="str">
            <v>(II)</v>
          </cell>
        </row>
      </sheetData>
      <sheetData sheetId="113">
        <row r="65">
          <cell r="A65" t="str">
            <v>(II)</v>
          </cell>
        </row>
      </sheetData>
      <sheetData sheetId="114">
        <row r="65">
          <cell r="A65" t="str">
            <v>(II)</v>
          </cell>
        </row>
      </sheetData>
      <sheetData sheetId="115">
        <row r="65">
          <cell r="A65" t="str">
            <v>(II)</v>
          </cell>
        </row>
      </sheetData>
      <sheetData sheetId="116">
        <row r="65">
          <cell r="A65" t="str">
            <v>(II)</v>
          </cell>
        </row>
      </sheetData>
      <sheetData sheetId="117">
        <row r="65">
          <cell r="A65" t="str">
            <v>(II)</v>
          </cell>
        </row>
      </sheetData>
      <sheetData sheetId="118">
        <row r="65">
          <cell r="A65" t="str">
            <v>(II)</v>
          </cell>
        </row>
      </sheetData>
      <sheetData sheetId="119">
        <row r="65">
          <cell r="A65" t="str">
            <v>(II)</v>
          </cell>
        </row>
      </sheetData>
      <sheetData sheetId="120">
        <row r="65">
          <cell r="A65" t="str">
            <v>(II)</v>
          </cell>
        </row>
      </sheetData>
      <sheetData sheetId="121">
        <row r="65">
          <cell r="A65" t="str">
            <v>(II)</v>
          </cell>
        </row>
      </sheetData>
      <sheetData sheetId="122">
        <row r="65">
          <cell r="A65" t="str">
            <v>(II)</v>
          </cell>
        </row>
      </sheetData>
      <sheetData sheetId="123">
        <row r="65">
          <cell r="A65" t="str">
            <v>(II)</v>
          </cell>
        </row>
      </sheetData>
      <sheetData sheetId="124">
        <row r="65">
          <cell r="A65" t="str">
            <v>(II)</v>
          </cell>
        </row>
      </sheetData>
      <sheetData sheetId="125">
        <row r="65">
          <cell r="A65" t="str">
            <v>(II)</v>
          </cell>
        </row>
      </sheetData>
      <sheetData sheetId="126">
        <row r="65">
          <cell r="A65" t="str">
            <v>(II)</v>
          </cell>
        </row>
      </sheetData>
      <sheetData sheetId="127">
        <row r="65">
          <cell r="A65" t="str">
            <v>(II)</v>
          </cell>
        </row>
      </sheetData>
      <sheetData sheetId="128">
        <row r="65">
          <cell r="A65" t="str">
            <v>(II)</v>
          </cell>
        </row>
      </sheetData>
      <sheetData sheetId="129">
        <row r="65">
          <cell r="A65" t="str">
            <v>(II)</v>
          </cell>
        </row>
      </sheetData>
      <sheetData sheetId="130">
        <row r="65">
          <cell r="A65" t="str">
            <v>(II)</v>
          </cell>
        </row>
      </sheetData>
      <sheetData sheetId="131">
        <row r="65">
          <cell r="A65" t="str">
            <v>(II)</v>
          </cell>
        </row>
      </sheetData>
      <sheetData sheetId="132">
        <row r="65">
          <cell r="A65" t="str">
            <v>(II)</v>
          </cell>
        </row>
      </sheetData>
      <sheetData sheetId="133">
        <row r="65">
          <cell r="A65" t="str">
            <v>(II)</v>
          </cell>
        </row>
      </sheetData>
      <sheetData sheetId="134">
        <row r="65">
          <cell r="A65" t="str">
            <v>(II)</v>
          </cell>
        </row>
      </sheetData>
      <sheetData sheetId="135">
        <row r="65">
          <cell r="A65" t="str">
            <v>(II)</v>
          </cell>
        </row>
      </sheetData>
      <sheetData sheetId="136">
        <row r="65">
          <cell r="A65" t="str">
            <v>(II)</v>
          </cell>
        </row>
      </sheetData>
      <sheetData sheetId="137">
        <row r="65">
          <cell r="A65" t="str">
            <v>(II)</v>
          </cell>
        </row>
      </sheetData>
      <sheetData sheetId="138">
        <row r="65">
          <cell r="A65" t="str">
            <v>(II)</v>
          </cell>
        </row>
      </sheetData>
      <sheetData sheetId="139">
        <row r="65">
          <cell r="A65" t="str">
            <v>(II)</v>
          </cell>
        </row>
      </sheetData>
      <sheetData sheetId="140">
        <row r="65">
          <cell r="A65" t="str">
            <v>(II)</v>
          </cell>
        </row>
      </sheetData>
      <sheetData sheetId="141">
        <row r="65">
          <cell r="A65" t="str">
            <v>(II)</v>
          </cell>
        </row>
      </sheetData>
      <sheetData sheetId="142">
        <row r="65">
          <cell r="A65" t="str">
            <v>(II)</v>
          </cell>
        </row>
      </sheetData>
      <sheetData sheetId="143">
        <row r="65">
          <cell r="A65" t="str">
            <v>(II)</v>
          </cell>
        </row>
      </sheetData>
      <sheetData sheetId="144">
        <row r="65">
          <cell r="A65" t="str">
            <v>(II)</v>
          </cell>
        </row>
      </sheetData>
      <sheetData sheetId="145">
        <row r="65">
          <cell r="A65" t="str">
            <v>(II)</v>
          </cell>
        </row>
      </sheetData>
      <sheetData sheetId="146">
        <row r="65">
          <cell r="A65" t="str">
            <v>(II)</v>
          </cell>
        </row>
      </sheetData>
      <sheetData sheetId="147">
        <row r="65">
          <cell r="A65" t="str">
            <v>(II)</v>
          </cell>
        </row>
      </sheetData>
      <sheetData sheetId="148">
        <row r="65">
          <cell r="A65" t="str">
            <v>(II)</v>
          </cell>
        </row>
      </sheetData>
      <sheetData sheetId="149">
        <row r="65">
          <cell r="A65" t="str">
            <v>(II)</v>
          </cell>
        </row>
      </sheetData>
      <sheetData sheetId="150">
        <row r="65">
          <cell r="A65" t="str">
            <v>(II)</v>
          </cell>
        </row>
      </sheetData>
      <sheetData sheetId="151">
        <row r="65">
          <cell r="A65" t="str">
            <v>(II)</v>
          </cell>
        </row>
      </sheetData>
      <sheetData sheetId="152">
        <row r="65">
          <cell r="A65" t="str">
            <v>(II)</v>
          </cell>
        </row>
      </sheetData>
      <sheetData sheetId="153">
        <row r="65">
          <cell r="A65" t="str">
            <v>(II)</v>
          </cell>
        </row>
      </sheetData>
      <sheetData sheetId="154">
        <row r="65">
          <cell r="A65" t="str">
            <v>(II)</v>
          </cell>
        </row>
      </sheetData>
      <sheetData sheetId="155">
        <row r="65">
          <cell r="A65" t="str">
            <v>(II)</v>
          </cell>
        </row>
      </sheetData>
      <sheetData sheetId="156">
        <row r="65">
          <cell r="A65" t="str">
            <v>(II)</v>
          </cell>
        </row>
      </sheetData>
      <sheetData sheetId="157">
        <row r="65">
          <cell r="A65" t="str">
            <v>(II)</v>
          </cell>
        </row>
      </sheetData>
      <sheetData sheetId="158">
        <row r="65">
          <cell r="A65" t="str">
            <v>(II)</v>
          </cell>
        </row>
      </sheetData>
      <sheetData sheetId="159">
        <row r="65">
          <cell r="A65" t="str">
            <v>(II)</v>
          </cell>
        </row>
      </sheetData>
      <sheetData sheetId="160">
        <row r="65">
          <cell r="A65" t="str">
            <v>(II)</v>
          </cell>
        </row>
      </sheetData>
      <sheetData sheetId="161">
        <row r="65">
          <cell r="A65" t="str">
            <v>(II)</v>
          </cell>
        </row>
      </sheetData>
      <sheetData sheetId="162">
        <row r="65">
          <cell r="A65" t="str">
            <v>(II)</v>
          </cell>
        </row>
      </sheetData>
      <sheetData sheetId="163">
        <row r="65">
          <cell r="A65" t="str">
            <v>(II)</v>
          </cell>
        </row>
      </sheetData>
      <sheetData sheetId="164">
        <row r="65">
          <cell r="A65" t="str">
            <v>(II)</v>
          </cell>
        </row>
      </sheetData>
      <sheetData sheetId="165">
        <row r="65">
          <cell r="A65" t="str">
            <v>(II)</v>
          </cell>
        </row>
      </sheetData>
      <sheetData sheetId="166">
        <row r="65">
          <cell r="A65" t="str">
            <v>(II)</v>
          </cell>
        </row>
      </sheetData>
      <sheetData sheetId="167">
        <row r="65">
          <cell r="A65" t="str">
            <v>(II)</v>
          </cell>
        </row>
      </sheetData>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ow r="65">
          <cell r="A65" t="str">
            <v>(II)</v>
          </cell>
        </row>
      </sheetData>
      <sheetData sheetId="269">
        <row r="65">
          <cell r="A65" t="str">
            <v>(II)</v>
          </cell>
        </row>
      </sheetData>
      <sheetData sheetId="270">
        <row r="65">
          <cell r="A65" t="str">
            <v>(II)</v>
          </cell>
        </row>
      </sheetData>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row r="65">
          <cell r="A65" t="str">
            <v>(II)</v>
          </cell>
        </row>
      </sheetData>
      <sheetData sheetId="309">
        <row r="65">
          <cell r="A65" t="str">
            <v>(II)</v>
          </cell>
        </row>
      </sheetData>
      <sheetData sheetId="310">
        <row r="65">
          <cell r="A65" t="str">
            <v>(II)</v>
          </cell>
        </row>
      </sheetData>
      <sheetData sheetId="311" refreshError="1"/>
      <sheetData sheetId="312" refreshError="1"/>
      <sheetData sheetId="313" refreshError="1"/>
      <sheetData sheetId="314">
        <row r="65">
          <cell r="A65" t="str">
            <v>(II)</v>
          </cell>
        </row>
      </sheetData>
      <sheetData sheetId="315">
        <row r="65">
          <cell r="A65" t="str">
            <v>(II)</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ow r="65">
          <cell r="A65" t="str">
            <v>(II)</v>
          </cell>
        </row>
      </sheetData>
      <sheetData sheetId="378">
        <row r="65">
          <cell r="A65" t="str">
            <v>(II)</v>
          </cell>
        </row>
      </sheetData>
      <sheetData sheetId="379">
        <row r="65">
          <cell r="A65" t="str">
            <v>(II)</v>
          </cell>
        </row>
      </sheetData>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ow r="65">
          <cell r="A65" t="str">
            <v>(II)</v>
          </cell>
        </row>
      </sheetData>
      <sheetData sheetId="458">
        <row r="65">
          <cell r="A65" t="str">
            <v>(II)</v>
          </cell>
        </row>
      </sheetData>
      <sheetData sheetId="459">
        <row r="65">
          <cell r="A65" t="str">
            <v>(II)</v>
          </cell>
        </row>
      </sheetData>
      <sheetData sheetId="460">
        <row r="65">
          <cell r="A65" t="str">
            <v>(II)</v>
          </cell>
        </row>
      </sheetData>
      <sheetData sheetId="461">
        <row r="65">
          <cell r="A65" t="str">
            <v>(II)</v>
          </cell>
        </row>
      </sheetData>
      <sheetData sheetId="462">
        <row r="65">
          <cell r="A65" t="str">
            <v>(II)</v>
          </cell>
        </row>
      </sheetData>
      <sheetData sheetId="463">
        <row r="65">
          <cell r="A65" t="str">
            <v>(II)</v>
          </cell>
        </row>
      </sheetData>
      <sheetData sheetId="464">
        <row r="65">
          <cell r="A65" t="str">
            <v>(II)</v>
          </cell>
        </row>
      </sheetData>
      <sheetData sheetId="465">
        <row r="65">
          <cell r="A65" t="str">
            <v>(II)</v>
          </cell>
        </row>
      </sheetData>
      <sheetData sheetId="466">
        <row r="65">
          <cell r="A65" t="str">
            <v>(II)</v>
          </cell>
        </row>
      </sheetData>
      <sheetData sheetId="467">
        <row r="65">
          <cell r="A65" t="str">
            <v>(II)</v>
          </cell>
        </row>
      </sheetData>
      <sheetData sheetId="468">
        <row r="65">
          <cell r="A65" t="str">
            <v>(II)</v>
          </cell>
        </row>
      </sheetData>
      <sheetData sheetId="469">
        <row r="65">
          <cell r="A65" t="str">
            <v>(II)</v>
          </cell>
        </row>
      </sheetData>
      <sheetData sheetId="470">
        <row r="65">
          <cell r="A65" t="str">
            <v>(II)</v>
          </cell>
        </row>
      </sheetData>
      <sheetData sheetId="471">
        <row r="65">
          <cell r="A65" t="str">
            <v>(II)</v>
          </cell>
        </row>
      </sheetData>
      <sheetData sheetId="472">
        <row r="65">
          <cell r="A65" t="str">
            <v>(II)</v>
          </cell>
        </row>
      </sheetData>
      <sheetData sheetId="473">
        <row r="65">
          <cell r="A65" t="str">
            <v>(II)</v>
          </cell>
        </row>
      </sheetData>
      <sheetData sheetId="474">
        <row r="65">
          <cell r="A65" t="str">
            <v>(II)</v>
          </cell>
        </row>
      </sheetData>
      <sheetData sheetId="475">
        <row r="65">
          <cell r="A65" t="str">
            <v>(II)</v>
          </cell>
        </row>
      </sheetData>
      <sheetData sheetId="476">
        <row r="65">
          <cell r="A65" t="str">
            <v>(II)</v>
          </cell>
        </row>
      </sheetData>
      <sheetData sheetId="477">
        <row r="65">
          <cell r="A65" t="str">
            <v>(II)</v>
          </cell>
        </row>
      </sheetData>
      <sheetData sheetId="478">
        <row r="65">
          <cell r="A65" t="str">
            <v>(II)</v>
          </cell>
        </row>
      </sheetData>
      <sheetData sheetId="479">
        <row r="65">
          <cell r="A65" t="str">
            <v>(II)</v>
          </cell>
        </row>
      </sheetData>
      <sheetData sheetId="480">
        <row r="65">
          <cell r="A65" t="str">
            <v>(II)</v>
          </cell>
        </row>
      </sheetData>
      <sheetData sheetId="481">
        <row r="65">
          <cell r="A65" t="str">
            <v>(II)</v>
          </cell>
        </row>
      </sheetData>
      <sheetData sheetId="482"/>
      <sheetData sheetId="483">
        <row r="65">
          <cell r="A65" t="str">
            <v>(II)</v>
          </cell>
        </row>
      </sheetData>
      <sheetData sheetId="484">
        <row r="65">
          <cell r="A65" t="str">
            <v>(II)</v>
          </cell>
        </row>
      </sheetData>
      <sheetData sheetId="485">
        <row r="65">
          <cell r="A65" t="str">
            <v>(II)</v>
          </cell>
        </row>
      </sheetData>
      <sheetData sheetId="486">
        <row r="65">
          <cell r="A65" t="str">
            <v>(II)</v>
          </cell>
        </row>
      </sheetData>
      <sheetData sheetId="487">
        <row r="65">
          <cell r="A65" t="str">
            <v>(II)</v>
          </cell>
        </row>
      </sheetData>
      <sheetData sheetId="488">
        <row r="65">
          <cell r="A65" t="str">
            <v>(II)</v>
          </cell>
        </row>
      </sheetData>
      <sheetData sheetId="489">
        <row r="65">
          <cell r="A65" t="str">
            <v>(II)</v>
          </cell>
        </row>
      </sheetData>
      <sheetData sheetId="490">
        <row r="65">
          <cell r="A65" t="str">
            <v>(II)</v>
          </cell>
        </row>
      </sheetData>
      <sheetData sheetId="491">
        <row r="65">
          <cell r="A65" t="str">
            <v>(II)</v>
          </cell>
        </row>
      </sheetData>
      <sheetData sheetId="492">
        <row r="65">
          <cell r="A65" t="str">
            <v>(II)</v>
          </cell>
        </row>
      </sheetData>
      <sheetData sheetId="493"/>
      <sheetData sheetId="494"/>
      <sheetData sheetId="495">
        <row r="65">
          <cell r="A65" t="str">
            <v>(II)</v>
          </cell>
        </row>
      </sheetData>
      <sheetData sheetId="496">
        <row r="65">
          <cell r="A65" t="str">
            <v>(II)</v>
          </cell>
        </row>
      </sheetData>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tabSelected="1" view="pageBreakPreview" topLeftCell="A4" zoomScale="85" zoomScaleNormal="85" zoomScaleSheetLayoutView="85" workbookViewId="0">
      <selection activeCell="B20" sqref="B20"/>
    </sheetView>
  </sheetViews>
  <sheetFormatPr defaultColWidth="9.140625" defaultRowHeight="21" x14ac:dyDescent="0.35"/>
  <cols>
    <col min="1" max="1" width="11.5703125" style="18" customWidth="1"/>
    <col min="2" max="2" width="56.5703125" style="18" customWidth="1"/>
    <col min="3" max="3" width="21.28515625" style="18" customWidth="1"/>
    <col min="4" max="4" width="27.42578125" style="18" customWidth="1"/>
    <col min="5" max="16384" width="9.140625" style="18"/>
  </cols>
  <sheetData>
    <row r="1" spans="1:4" x14ac:dyDescent="0.35">
      <c r="A1" s="189" t="s">
        <v>24</v>
      </c>
      <c r="B1" s="189"/>
    </row>
    <row r="2" spans="1:4" x14ac:dyDescent="0.35">
      <c r="A2" s="189" t="s">
        <v>168</v>
      </c>
      <c r="B2" s="189"/>
      <c r="C2" s="19"/>
    </row>
    <row r="3" spans="1:4" x14ac:dyDescent="0.35">
      <c r="A3" s="190"/>
      <c r="B3" s="190"/>
      <c r="C3" s="190"/>
    </row>
    <row r="4" spans="1:4" x14ac:dyDescent="0.35">
      <c r="A4" s="20"/>
    </row>
    <row r="5" spans="1:4" x14ac:dyDescent="0.35">
      <c r="A5" s="21"/>
      <c r="B5" s="22"/>
      <c r="C5" s="23"/>
    </row>
    <row r="6" spans="1:4" x14ac:dyDescent="0.35">
      <c r="B6" s="191"/>
      <c r="C6" s="191"/>
    </row>
    <row r="7" spans="1:4" x14ac:dyDescent="0.35">
      <c r="A7" s="190" t="s">
        <v>13</v>
      </c>
      <c r="B7" s="190"/>
      <c r="C7" s="24"/>
    </row>
    <row r="8" spans="1:4" ht="21.75" thickBot="1" x14ac:dyDescent="0.4">
      <c r="A8" s="25"/>
      <c r="B8" s="25"/>
      <c r="C8" s="24"/>
    </row>
    <row r="9" spans="1:4" ht="27.75" customHeight="1" thickBot="1" x14ac:dyDescent="0.4">
      <c r="A9" s="177" t="s">
        <v>7</v>
      </c>
      <c r="B9" s="178" t="s">
        <v>8</v>
      </c>
      <c r="C9" s="179" t="s">
        <v>9</v>
      </c>
    </row>
    <row r="10" spans="1:4" s="27" customFormat="1" ht="43.5" customHeight="1" x14ac:dyDescent="0.2">
      <c r="A10" s="175" t="s">
        <v>6</v>
      </c>
      <c r="B10" s="27" t="s">
        <v>157</v>
      </c>
      <c r="C10" s="176">
        <f>'HVAC BOQ'!K86</f>
        <v>9549512</v>
      </c>
    </row>
    <row r="11" spans="1:4" s="27" customFormat="1" ht="43.5" customHeight="1" x14ac:dyDescent="0.2">
      <c r="A11" s="26" t="s">
        <v>18</v>
      </c>
      <c r="B11" s="29" t="s">
        <v>158</v>
      </c>
      <c r="C11" s="28">
        <f>'FSS - BOQ'!K29</f>
        <v>1662600</v>
      </c>
    </row>
    <row r="12" spans="1:4" s="27" customFormat="1" ht="57.75" customHeight="1" x14ac:dyDescent="0.2">
      <c r="A12" s="26" t="s">
        <v>198</v>
      </c>
      <c r="B12" s="29" t="s">
        <v>199</v>
      </c>
      <c r="C12" s="28">
        <f>'Data Center AC work'!J65</f>
        <v>949650</v>
      </c>
    </row>
    <row r="13" spans="1:4" ht="24.95" customHeight="1" x14ac:dyDescent="0.35">
      <c r="A13" s="26"/>
      <c r="B13" s="30" t="s">
        <v>10</v>
      </c>
      <c r="C13" s="31">
        <f>SUM(C10:C12)</f>
        <v>12161762</v>
      </c>
      <c r="D13" s="32"/>
    </row>
    <row r="14" spans="1:4" ht="24.95" customHeight="1" x14ac:dyDescent="0.35">
      <c r="A14" s="26"/>
      <c r="B14" s="30" t="s">
        <v>12</v>
      </c>
      <c r="C14" s="33"/>
      <c r="D14" s="32"/>
    </row>
    <row r="15" spans="1:4" ht="20.25" customHeight="1" x14ac:dyDescent="0.35">
      <c r="A15" s="187" t="s">
        <v>11</v>
      </c>
      <c r="B15" s="187"/>
      <c r="C15" s="34">
        <f>C13</f>
        <v>12161762</v>
      </c>
    </row>
    <row r="16" spans="1:4" x14ac:dyDescent="0.35">
      <c r="A16" s="35"/>
      <c r="B16" s="35" t="s">
        <v>15</v>
      </c>
      <c r="C16" s="36">
        <v>10000</v>
      </c>
    </row>
    <row r="17" spans="1:3" x14ac:dyDescent="0.35">
      <c r="A17" s="35"/>
      <c r="B17" s="35" t="s">
        <v>16</v>
      </c>
      <c r="C17" s="36"/>
    </row>
    <row r="18" spans="1:3" x14ac:dyDescent="0.35">
      <c r="A18" s="37"/>
      <c r="B18" s="38"/>
    </row>
    <row r="19" spans="1:3" x14ac:dyDescent="0.35">
      <c r="A19" s="37"/>
      <c r="B19" s="38"/>
    </row>
    <row r="20" spans="1:3" x14ac:dyDescent="0.35">
      <c r="A20" s="37"/>
      <c r="B20" s="38"/>
    </row>
    <row r="21" spans="1:3" x14ac:dyDescent="0.35">
      <c r="A21" s="37"/>
      <c r="B21" s="38"/>
    </row>
    <row r="22" spans="1:3" ht="21.75" customHeight="1" x14ac:dyDescent="0.35">
      <c r="A22" s="188" t="s">
        <v>159</v>
      </c>
      <c r="B22" s="188"/>
      <c r="C22" s="188"/>
    </row>
    <row r="23" spans="1:3" ht="21.75" customHeight="1" x14ac:dyDescent="0.35">
      <c r="A23" s="38" t="s">
        <v>160</v>
      </c>
      <c r="B23" s="38"/>
    </row>
    <row r="24" spans="1:3" ht="21.75" customHeight="1" x14ac:dyDescent="0.35">
      <c r="A24" s="38" t="s">
        <v>161</v>
      </c>
      <c r="B24" s="38"/>
    </row>
    <row r="25" spans="1:3" x14ac:dyDescent="0.35">
      <c r="A25" s="38"/>
      <c r="B25" s="38"/>
    </row>
    <row r="26" spans="1:3" x14ac:dyDescent="0.35">
      <c r="A26" s="39"/>
      <c r="B26" s="38"/>
    </row>
    <row r="27" spans="1:3" x14ac:dyDescent="0.35">
      <c r="A27" s="40"/>
      <c r="B27" s="38"/>
    </row>
    <row r="28" spans="1:3" x14ac:dyDescent="0.35">
      <c r="A28" s="39"/>
      <c r="B28" s="38"/>
    </row>
    <row r="29" spans="1:3" x14ac:dyDescent="0.35">
      <c r="A29" s="39"/>
      <c r="B29" s="41"/>
    </row>
    <row r="30" spans="1:3" x14ac:dyDescent="0.35">
      <c r="A30" s="42"/>
      <c r="B30" s="43"/>
    </row>
    <row r="31" spans="1:3" x14ac:dyDescent="0.35">
      <c r="A31" s="42"/>
      <c r="B31" s="43"/>
    </row>
    <row r="32" spans="1:3" x14ac:dyDescent="0.35">
      <c r="A32" s="42"/>
      <c r="B32" s="44"/>
    </row>
  </sheetData>
  <mergeCells count="7">
    <mergeCell ref="A15:B15"/>
    <mergeCell ref="A22:C22"/>
    <mergeCell ref="A1:B1"/>
    <mergeCell ref="A2:B2"/>
    <mergeCell ref="A3:C3"/>
    <mergeCell ref="B6:C6"/>
    <mergeCell ref="A7:B7"/>
  </mergeCells>
  <pageMargins left="0.88" right="0.7" top="1.53" bottom="0.75" header="0.26"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M92"/>
  <sheetViews>
    <sheetView showGridLines="0" view="pageBreakPreview" zoomScale="90" zoomScaleNormal="100" zoomScaleSheetLayoutView="90" workbookViewId="0">
      <pane ySplit="8" topLeftCell="A9" activePane="bottomLeft" state="frozen"/>
      <selection pane="bottomLeft" activeCell="G11" sqref="G11:K11"/>
    </sheetView>
  </sheetViews>
  <sheetFormatPr defaultColWidth="9.85546875" defaultRowHeight="15.75" x14ac:dyDescent="0.25"/>
  <cols>
    <col min="1" max="1" width="4.7109375" style="113" customWidth="1"/>
    <col min="2" max="2" width="6.42578125" style="114" customWidth="1"/>
    <col min="3" max="3" width="60.85546875" style="63" customWidth="1"/>
    <col min="4" max="4" width="7.140625" style="113" customWidth="1"/>
    <col min="5" max="5" width="9.140625" style="115" customWidth="1"/>
    <col min="6" max="6" width="12.85546875" style="115" customWidth="1"/>
    <col min="7" max="7" width="12.140625" style="111" customWidth="1"/>
    <col min="8" max="8" width="16.42578125" style="111" customWidth="1"/>
    <col min="9" max="9" width="12.28515625" style="111" customWidth="1"/>
    <col min="10" max="10" width="15.85546875" style="111" customWidth="1"/>
    <col min="11" max="11" width="21.85546875" style="111" customWidth="1"/>
    <col min="12" max="16384" width="9.85546875" style="63"/>
  </cols>
  <sheetData>
    <row r="1" spans="1:11" s="45" customFormat="1" ht="18" customHeight="1" x14ac:dyDescent="0.2">
      <c r="A1" s="1" t="s">
        <v>0</v>
      </c>
      <c r="B1" s="2"/>
      <c r="D1" s="48"/>
      <c r="E1" s="49"/>
      <c r="F1" s="49"/>
      <c r="G1" s="50"/>
      <c r="H1" s="50"/>
      <c r="I1" s="50"/>
      <c r="J1" s="50"/>
      <c r="K1" s="51"/>
    </row>
    <row r="2" spans="1:11" s="45" customFormat="1" ht="18" customHeight="1" x14ac:dyDescent="0.2">
      <c r="A2" s="46" t="s">
        <v>23</v>
      </c>
      <c r="B2" s="2"/>
      <c r="D2" s="48"/>
      <c r="E2" s="49"/>
      <c r="F2" s="49"/>
      <c r="G2" s="50"/>
      <c r="H2" s="50"/>
      <c r="I2" s="50"/>
      <c r="J2" s="50"/>
      <c r="K2" s="50"/>
    </row>
    <row r="3" spans="1:11" s="45" customFormat="1" ht="8.25" customHeight="1" x14ac:dyDescent="0.2">
      <c r="A3" s="1"/>
      <c r="B3" s="2"/>
      <c r="D3" s="48"/>
      <c r="E3" s="49"/>
      <c r="F3" s="49"/>
      <c r="G3" s="50"/>
      <c r="H3" s="50"/>
      <c r="I3" s="50"/>
      <c r="J3" s="50"/>
      <c r="K3" s="50"/>
    </row>
    <row r="4" spans="1:11" s="45" customFormat="1" ht="18" customHeight="1" x14ac:dyDescent="0.2">
      <c r="A4" s="1" t="s">
        <v>24</v>
      </c>
      <c r="B4" s="2"/>
      <c r="D4" s="48"/>
      <c r="E4" s="49"/>
      <c r="F4" s="49"/>
      <c r="G4" s="50"/>
      <c r="H4" s="50"/>
      <c r="I4" s="50"/>
      <c r="J4" s="50"/>
      <c r="K4" s="51" t="s">
        <v>25</v>
      </c>
    </row>
    <row r="5" spans="1:11" s="45" customFormat="1" ht="18" customHeight="1" x14ac:dyDescent="0.2">
      <c r="A5" s="46" t="s">
        <v>26</v>
      </c>
      <c r="B5" s="2"/>
      <c r="D5" s="48"/>
      <c r="E5" s="49"/>
      <c r="F5" s="49"/>
      <c r="G5" s="50"/>
      <c r="H5" s="50"/>
      <c r="I5" s="50"/>
      <c r="J5" s="50"/>
      <c r="K5" s="51" t="s">
        <v>27</v>
      </c>
    </row>
    <row r="6" spans="1:11" s="45" customFormat="1" ht="5.25" customHeight="1" thickBot="1" x14ac:dyDescent="0.25">
      <c r="A6" s="1"/>
      <c r="B6" s="2"/>
      <c r="D6" s="48"/>
      <c r="E6" s="49"/>
      <c r="F6" s="49"/>
      <c r="G6" s="50"/>
      <c r="H6" s="50"/>
      <c r="I6" s="50"/>
      <c r="J6" s="50"/>
      <c r="K6" s="51"/>
    </row>
    <row r="7" spans="1:11" s="45" customFormat="1" ht="18" customHeight="1" x14ac:dyDescent="0.2">
      <c r="A7" s="1"/>
      <c r="B7" s="2"/>
      <c r="D7" s="48"/>
      <c r="E7" s="52"/>
      <c r="F7" s="52"/>
      <c r="G7" s="192" t="s">
        <v>28</v>
      </c>
      <c r="H7" s="193"/>
      <c r="I7" s="193" t="s">
        <v>29</v>
      </c>
      <c r="J7" s="193"/>
      <c r="K7" s="53" t="s">
        <v>30</v>
      </c>
    </row>
    <row r="8" spans="1:11" s="57" customFormat="1" ht="24" customHeight="1" x14ac:dyDescent="0.2">
      <c r="A8" s="194" t="s">
        <v>31</v>
      </c>
      <c r="B8" s="194"/>
      <c r="C8" s="54" t="s">
        <v>2</v>
      </c>
      <c r="D8" s="54" t="s">
        <v>21</v>
      </c>
      <c r="E8" s="55" t="s">
        <v>20</v>
      </c>
      <c r="F8" s="55" t="s">
        <v>19</v>
      </c>
      <c r="G8" s="56" t="s">
        <v>32</v>
      </c>
      <c r="H8" s="56" t="s">
        <v>9</v>
      </c>
      <c r="I8" s="56" t="s">
        <v>32</v>
      </c>
      <c r="J8" s="56" t="s">
        <v>9</v>
      </c>
      <c r="K8" s="180" t="s">
        <v>33</v>
      </c>
    </row>
    <row r="9" spans="1:11" ht="43.5" customHeight="1" x14ac:dyDescent="0.25">
      <c r="A9" s="58"/>
      <c r="B9" s="59"/>
      <c r="C9" s="60" t="s">
        <v>34</v>
      </c>
      <c r="D9" s="58"/>
      <c r="E9" s="61"/>
      <c r="F9" s="61"/>
      <c r="G9" s="62"/>
      <c r="H9" s="62"/>
      <c r="I9" s="62"/>
      <c r="J9" s="62"/>
      <c r="K9" s="181"/>
    </row>
    <row r="10" spans="1:11" s="174" customFormat="1" ht="157.5" x14ac:dyDescent="0.2">
      <c r="A10" s="64">
        <v>1</v>
      </c>
      <c r="B10" s="65"/>
      <c r="C10" s="66" t="s">
        <v>166</v>
      </c>
      <c r="D10" s="13"/>
      <c r="E10" s="67"/>
      <c r="F10" s="67"/>
      <c r="G10" s="68"/>
      <c r="H10" s="68"/>
      <c r="I10" s="69"/>
      <c r="J10" s="69"/>
      <c r="K10" s="173"/>
    </row>
    <row r="11" spans="1:11" s="174" customFormat="1" ht="21.95" customHeight="1" x14ac:dyDescent="0.2">
      <c r="A11" s="64"/>
      <c r="B11" s="65">
        <f>A10+0.1</f>
        <v>1.1000000000000001</v>
      </c>
      <c r="C11" s="66" t="s">
        <v>35</v>
      </c>
      <c r="D11" s="13" t="str">
        <f>IF(C11="","",IF(E11="","",IF(E11&gt;1,"Nos.","No.")))</f>
        <v>No.</v>
      </c>
      <c r="E11" s="67">
        <v>1</v>
      </c>
      <c r="F11" s="67" t="s">
        <v>169</v>
      </c>
      <c r="G11" s="73">
        <v>0</v>
      </c>
      <c r="H11" s="73">
        <f t="shared" ref="H11:H12" si="0">G11*E11</f>
        <v>0</v>
      </c>
      <c r="I11" s="73">
        <v>12000</v>
      </c>
      <c r="J11" s="73">
        <f t="shared" ref="J11:J12" si="1">I11*E11</f>
        <v>12000</v>
      </c>
      <c r="K11" s="182">
        <f t="shared" ref="K11:K12" si="2">J11+H11</f>
        <v>12000</v>
      </c>
    </row>
    <row r="12" spans="1:11" s="174" customFormat="1" ht="20.100000000000001" customHeight="1" x14ac:dyDescent="0.2">
      <c r="A12" s="64"/>
      <c r="B12" s="65">
        <f>B11+0.1</f>
        <v>1.2000000000000002</v>
      </c>
      <c r="C12" s="66" t="s">
        <v>167</v>
      </c>
      <c r="D12" s="13" t="str">
        <f>IF(C12="","",IF(E12="","",IF(E12&gt;1,"Nos.","No.")))</f>
        <v>No.</v>
      </c>
      <c r="E12" s="67">
        <v>1</v>
      </c>
      <c r="F12" s="67" t="s">
        <v>169</v>
      </c>
      <c r="G12" s="73">
        <v>0</v>
      </c>
      <c r="H12" s="73">
        <f t="shared" si="0"/>
        <v>0</v>
      </c>
      <c r="I12" s="73">
        <v>25000</v>
      </c>
      <c r="J12" s="73">
        <f t="shared" si="1"/>
        <v>25000</v>
      </c>
      <c r="K12" s="182">
        <f t="shared" si="2"/>
        <v>25000</v>
      </c>
    </row>
    <row r="13" spans="1:11" s="45" customFormat="1" ht="157.5" x14ac:dyDescent="0.2">
      <c r="A13" s="64">
        <v>1</v>
      </c>
      <c r="B13" s="65"/>
      <c r="C13" s="66" t="s">
        <v>162</v>
      </c>
      <c r="D13" s="13"/>
      <c r="E13" s="67"/>
      <c r="F13" s="67"/>
      <c r="G13" s="68"/>
      <c r="H13" s="68"/>
      <c r="I13" s="69"/>
      <c r="J13" s="69"/>
      <c r="K13" s="183"/>
    </row>
    <row r="14" spans="1:11" s="45" customFormat="1" ht="21.95" customHeight="1" x14ac:dyDescent="0.2">
      <c r="A14" s="71"/>
      <c r="B14" s="72">
        <f>A13+0.1</f>
        <v>1.1000000000000001</v>
      </c>
      <c r="C14" s="70" t="s">
        <v>35</v>
      </c>
      <c r="D14" s="13" t="str">
        <f>IF(C14="","",IF(E14="","",IF(E14&gt;1,"Nos.","No.")))</f>
        <v>No.</v>
      </c>
      <c r="E14" s="67">
        <v>1</v>
      </c>
      <c r="F14" s="67" t="s">
        <v>169</v>
      </c>
      <c r="G14" s="73"/>
      <c r="H14" s="73">
        <f>G14*E14</f>
        <v>0</v>
      </c>
      <c r="I14" s="73">
        <v>12000</v>
      </c>
      <c r="J14" s="73">
        <f>I14*E14</f>
        <v>12000</v>
      </c>
      <c r="K14" s="182">
        <f>J14+H14</f>
        <v>12000</v>
      </c>
    </row>
    <row r="15" spans="1:11" s="45" customFormat="1" ht="110.25" x14ac:dyDescent="0.25">
      <c r="A15" s="74">
        <f>A13+1</f>
        <v>2</v>
      </c>
      <c r="B15" s="75"/>
      <c r="C15" s="76" t="s">
        <v>163</v>
      </c>
      <c r="D15" s="58"/>
      <c r="E15" s="61"/>
      <c r="F15" s="61"/>
      <c r="G15" s="62"/>
      <c r="H15" s="62"/>
      <c r="I15" s="62"/>
      <c r="J15" s="62"/>
      <c r="K15" s="183"/>
    </row>
    <row r="16" spans="1:11" s="45" customFormat="1" ht="16.5" customHeight="1" x14ac:dyDescent="0.25">
      <c r="A16" s="74"/>
      <c r="B16" s="77" t="s">
        <v>6</v>
      </c>
      <c r="C16" s="78" t="s">
        <v>36</v>
      </c>
      <c r="D16" s="58"/>
      <c r="E16" s="61"/>
      <c r="F16" s="61"/>
      <c r="G16" s="62"/>
      <c r="H16" s="62"/>
      <c r="I16" s="62"/>
      <c r="J16" s="62"/>
      <c r="K16" s="183"/>
    </row>
    <row r="17" spans="1:11" s="45" customFormat="1" ht="21.95" customHeight="1" x14ac:dyDescent="0.2">
      <c r="A17" s="13"/>
      <c r="B17" s="72" t="s">
        <v>37</v>
      </c>
      <c r="C17" s="70" t="s">
        <v>38</v>
      </c>
      <c r="D17" s="13" t="s">
        <v>14</v>
      </c>
      <c r="E17" s="67">
        <v>1</v>
      </c>
      <c r="F17" s="67"/>
      <c r="G17" s="73">
        <v>0</v>
      </c>
      <c r="H17" s="73">
        <f t="shared" ref="H17:H34" si="3">G17*E17</f>
        <v>0</v>
      </c>
      <c r="I17" s="73">
        <v>3500</v>
      </c>
      <c r="J17" s="73">
        <f t="shared" ref="J17:J34" si="4">I17*E17</f>
        <v>3500</v>
      </c>
      <c r="K17" s="182">
        <f t="shared" ref="K17:K34" si="5">J17+H17</f>
        <v>3500</v>
      </c>
    </row>
    <row r="18" spans="1:11" s="45" customFormat="1" ht="21.95" customHeight="1" x14ac:dyDescent="0.2">
      <c r="A18" s="13"/>
      <c r="B18" s="72" t="s">
        <v>39</v>
      </c>
      <c r="C18" s="70" t="s">
        <v>40</v>
      </c>
      <c r="D18" s="13" t="s">
        <v>14</v>
      </c>
      <c r="E18" s="67">
        <v>1</v>
      </c>
      <c r="F18" s="67"/>
      <c r="G18" s="73">
        <v>0</v>
      </c>
      <c r="H18" s="73">
        <f t="shared" si="3"/>
        <v>0</v>
      </c>
      <c r="I18" s="73">
        <v>3500</v>
      </c>
      <c r="J18" s="73">
        <f t="shared" si="4"/>
        <v>3500</v>
      </c>
      <c r="K18" s="182">
        <f t="shared" si="5"/>
        <v>3500</v>
      </c>
    </row>
    <row r="19" spans="1:11" s="45" customFormat="1" ht="21.95" customHeight="1" x14ac:dyDescent="0.2">
      <c r="A19" s="13"/>
      <c r="B19" s="72" t="s">
        <v>41</v>
      </c>
      <c r="C19" s="70" t="s">
        <v>42</v>
      </c>
      <c r="D19" s="13" t="s">
        <v>14</v>
      </c>
      <c r="E19" s="67">
        <v>1</v>
      </c>
      <c r="F19" s="67"/>
      <c r="G19" s="73">
        <v>0</v>
      </c>
      <c r="H19" s="73">
        <f t="shared" si="3"/>
        <v>0</v>
      </c>
      <c r="I19" s="73">
        <v>3500</v>
      </c>
      <c r="J19" s="73">
        <f t="shared" si="4"/>
        <v>3500</v>
      </c>
      <c r="K19" s="182">
        <f t="shared" si="5"/>
        <v>3500</v>
      </c>
    </row>
    <row r="20" spans="1:11" s="45" customFormat="1" ht="21.95" customHeight="1" x14ac:dyDescent="0.2">
      <c r="A20" s="13"/>
      <c r="B20" s="72" t="s">
        <v>43</v>
      </c>
      <c r="C20" s="70" t="s">
        <v>44</v>
      </c>
      <c r="D20" s="13" t="s">
        <v>14</v>
      </c>
      <c r="E20" s="67">
        <v>1</v>
      </c>
      <c r="F20" s="67"/>
      <c r="G20" s="73">
        <v>0</v>
      </c>
      <c r="H20" s="73">
        <f t="shared" si="3"/>
        <v>0</v>
      </c>
      <c r="I20" s="73">
        <v>3500</v>
      </c>
      <c r="J20" s="73">
        <f t="shared" si="4"/>
        <v>3500</v>
      </c>
      <c r="K20" s="182">
        <f t="shared" si="5"/>
        <v>3500</v>
      </c>
    </row>
    <row r="21" spans="1:11" s="45" customFormat="1" ht="21.95" customHeight="1" x14ac:dyDescent="0.2">
      <c r="A21" s="13"/>
      <c r="B21" s="72" t="s">
        <v>45</v>
      </c>
      <c r="C21" s="70" t="s">
        <v>46</v>
      </c>
      <c r="D21" s="13" t="s">
        <v>14</v>
      </c>
      <c r="E21" s="67">
        <v>1</v>
      </c>
      <c r="F21" s="67"/>
      <c r="G21" s="73">
        <v>0</v>
      </c>
      <c r="H21" s="73">
        <f t="shared" si="3"/>
        <v>0</v>
      </c>
      <c r="I21" s="73">
        <v>3500</v>
      </c>
      <c r="J21" s="73">
        <f t="shared" si="4"/>
        <v>3500</v>
      </c>
      <c r="K21" s="182">
        <f t="shared" si="5"/>
        <v>3500</v>
      </c>
    </row>
    <row r="22" spans="1:11" s="45" customFormat="1" ht="21.95" customHeight="1" x14ac:dyDescent="0.2">
      <c r="A22" s="13"/>
      <c r="B22" s="72" t="s">
        <v>47</v>
      </c>
      <c r="C22" s="70" t="s">
        <v>48</v>
      </c>
      <c r="D22" s="13" t="s">
        <v>14</v>
      </c>
      <c r="E22" s="67">
        <v>1</v>
      </c>
      <c r="F22" s="67"/>
      <c r="G22" s="73">
        <v>0</v>
      </c>
      <c r="H22" s="73">
        <f t="shared" si="3"/>
        <v>0</v>
      </c>
      <c r="I22" s="73">
        <v>3500</v>
      </c>
      <c r="J22" s="73">
        <f t="shared" si="4"/>
        <v>3500</v>
      </c>
      <c r="K22" s="182">
        <f t="shared" si="5"/>
        <v>3500</v>
      </c>
    </row>
    <row r="23" spans="1:11" s="45" customFormat="1" ht="21.95" customHeight="1" x14ac:dyDescent="0.2">
      <c r="A23" s="13"/>
      <c r="B23" s="72" t="s">
        <v>49</v>
      </c>
      <c r="C23" s="70" t="s">
        <v>50</v>
      </c>
      <c r="D23" s="13" t="s">
        <v>14</v>
      </c>
      <c r="E23" s="67">
        <v>1</v>
      </c>
      <c r="F23" s="67"/>
      <c r="G23" s="73">
        <v>0</v>
      </c>
      <c r="H23" s="73">
        <f t="shared" si="3"/>
        <v>0</v>
      </c>
      <c r="I23" s="73">
        <v>3500</v>
      </c>
      <c r="J23" s="73">
        <f t="shared" si="4"/>
        <v>3500</v>
      </c>
      <c r="K23" s="182">
        <f t="shared" si="5"/>
        <v>3500</v>
      </c>
    </row>
    <row r="24" spans="1:11" s="45" customFormat="1" ht="21.95" customHeight="1" x14ac:dyDescent="0.2">
      <c r="A24" s="13"/>
      <c r="B24" s="72" t="s">
        <v>51</v>
      </c>
      <c r="C24" s="70" t="s">
        <v>52</v>
      </c>
      <c r="D24" s="13" t="s">
        <v>14</v>
      </c>
      <c r="E24" s="67">
        <v>1</v>
      </c>
      <c r="F24" s="67"/>
      <c r="G24" s="73">
        <v>0</v>
      </c>
      <c r="H24" s="73">
        <f t="shared" si="3"/>
        <v>0</v>
      </c>
      <c r="I24" s="73">
        <v>3500</v>
      </c>
      <c r="J24" s="73">
        <f t="shared" si="4"/>
        <v>3500</v>
      </c>
      <c r="K24" s="182">
        <f t="shared" si="5"/>
        <v>3500</v>
      </c>
    </row>
    <row r="25" spans="1:11" s="45" customFormat="1" ht="21.95" customHeight="1" x14ac:dyDescent="0.2">
      <c r="A25" s="13"/>
      <c r="B25" s="72" t="s">
        <v>53</v>
      </c>
      <c r="C25" s="70" t="s">
        <v>54</v>
      </c>
      <c r="D25" s="13" t="s">
        <v>14</v>
      </c>
      <c r="E25" s="67">
        <v>1</v>
      </c>
      <c r="F25" s="67"/>
      <c r="G25" s="73">
        <v>0</v>
      </c>
      <c r="H25" s="73">
        <f t="shared" si="3"/>
        <v>0</v>
      </c>
      <c r="I25" s="73">
        <v>3500</v>
      </c>
      <c r="J25" s="73">
        <f t="shared" si="4"/>
        <v>3500</v>
      </c>
      <c r="K25" s="182">
        <f t="shared" si="5"/>
        <v>3500</v>
      </c>
    </row>
    <row r="26" spans="1:11" s="45" customFormat="1" ht="21.95" customHeight="1" x14ac:dyDescent="0.2">
      <c r="A26" s="13"/>
      <c r="B26" s="72" t="s">
        <v>55</v>
      </c>
      <c r="C26" s="70" t="s">
        <v>56</v>
      </c>
      <c r="D26" s="13" t="s">
        <v>14</v>
      </c>
      <c r="E26" s="67">
        <v>1</v>
      </c>
      <c r="F26" s="67"/>
      <c r="G26" s="73">
        <v>0</v>
      </c>
      <c r="H26" s="73">
        <f t="shared" si="3"/>
        <v>0</v>
      </c>
      <c r="I26" s="73">
        <v>3500</v>
      </c>
      <c r="J26" s="73">
        <f t="shared" si="4"/>
        <v>3500</v>
      </c>
      <c r="K26" s="182">
        <f t="shared" si="5"/>
        <v>3500</v>
      </c>
    </row>
    <row r="27" spans="1:11" s="45" customFormat="1" ht="21.95" customHeight="1" x14ac:dyDescent="0.2">
      <c r="A27" s="13"/>
      <c r="B27" s="72" t="s">
        <v>57</v>
      </c>
      <c r="C27" s="70" t="s">
        <v>58</v>
      </c>
      <c r="D27" s="13" t="s">
        <v>14</v>
      </c>
      <c r="E27" s="67">
        <v>1</v>
      </c>
      <c r="F27" s="67"/>
      <c r="G27" s="73">
        <v>0</v>
      </c>
      <c r="H27" s="73">
        <f t="shared" si="3"/>
        <v>0</v>
      </c>
      <c r="I27" s="73">
        <v>3500</v>
      </c>
      <c r="J27" s="73">
        <f t="shared" si="4"/>
        <v>3500</v>
      </c>
      <c r="K27" s="182">
        <f t="shared" si="5"/>
        <v>3500</v>
      </c>
    </row>
    <row r="28" spans="1:11" s="45" customFormat="1" ht="21.95" customHeight="1" x14ac:dyDescent="0.2">
      <c r="A28" s="13"/>
      <c r="B28" s="72" t="s">
        <v>59</v>
      </c>
      <c r="C28" s="70" t="s">
        <v>60</v>
      </c>
      <c r="D28" s="13" t="s">
        <v>14</v>
      </c>
      <c r="E28" s="67">
        <v>1</v>
      </c>
      <c r="F28" s="67"/>
      <c r="G28" s="73">
        <v>0</v>
      </c>
      <c r="H28" s="73">
        <f t="shared" si="3"/>
        <v>0</v>
      </c>
      <c r="I28" s="73">
        <v>3500</v>
      </c>
      <c r="J28" s="73">
        <f t="shared" si="4"/>
        <v>3500</v>
      </c>
      <c r="K28" s="182">
        <f t="shared" si="5"/>
        <v>3500</v>
      </c>
    </row>
    <row r="29" spans="1:11" s="45" customFormat="1" ht="21.95" customHeight="1" x14ac:dyDescent="0.2">
      <c r="A29" s="13"/>
      <c r="B29" s="72" t="s">
        <v>61</v>
      </c>
      <c r="C29" s="70" t="s">
        <v>62</v>
      </c>
      <c r="D29" s="13" t="s">
        <v>14</v>
      </c>
      <c r="E29" s="67">
        <v>1</v>
      </c>
      <c r="F29" s="67"/>
      <c r="G29" s="73">
        <v>0</v>
      </c>
      <c r="H29" s="73">
        <f t="shared" si="3"/>
        <v>0</v>
      </c>
      <c r="I29" s="73">
        <v>3500</v>
      </c>
      <c r="J29" s="73">
        <f t="shared" si="4"/>
        <v>3500</v>
      </c>
      <c r="K29" s="182">
        <f t="shared" si="5"/>
        <v>3500</v>
      </c>
    </row>
    <row r="30" spans="1:11" s="45" customFormat="1" ht="21.95" customHeight="1" x14ac:dyDescent="0.2">
      <c r="A30" s="13"/>
      <c r="B30" s="72" t="s">
        <v>63</v>
      </c>
      <c r="C30" s="70" t="s">
        <v>64</v>
      </c>
      <c r="D30" s="13" t="s">
        <v>14</v>
      </c>
      <c r="E30" s="67">
        <v>1</v>
      </c>
      <c r="F30" s="67"/>
      <c r="G30" s="73">
        <v>0</v>
      </c>
      <c r="H30" s="73">
        <f t="shared" si="3"/>
        <v>0</v>
      </c>
      <c r="I30" s="73">
        <v>3500</v>
      </c>
      <c r="J30" s="73">
        <f t="shared" si="4"/>
        <v>3500</v>
      </c>
      <c r="K30" s="182">
        <f t="shared" si="5"/>
        <v>3500</v>
      </c>
    </row>
    <row r="31" spans="1:11" s="45" customFormat="1" ht="21.95" customHeight="1" x14ac:dyDescent="0.2">
      <c r="A31" s="13"/>
      <c r="B31" s="72" t="s">
        <v>65</v>
      </c>
      <c r="C31" s="70" t="s">
        <v>66</v>
      </c>
      <c r="D31" s="13" t="s">
        <v>14</v>
      </c>
      <c r="E31" s="67">
        <v>1</v>
      </c>
      <c r="F31" s="67"/>
      <c r="G31" s="73">
        <v>0</v>
      </c>
      <c r="H31" s="73">
        <f t="shared" si="3"/>
        <v>0</v>
      </c>
      <c r="I31" s="73">
        <v>3500</v>
      </c>
      <c r="J31" s="73">
        <f t="shared" si="4"/>
        <v>3500</v>
      </c>
      <c r="K31" s="182">
        <f t="shared" si="5"/>
        <v>3500</v>
      </c>
    </row>
    <row r="32" spans="1:11" s="45" customFormat="1" ht="21.95" customHeight="1" x14ac:dyDescent="0.2">
      <c r="A32" s="13"/>
      <c r="B32" s="72" t="s">
        <v>67</v>
      </c>
      <c r="C32" s="70" t="s">
        <v>68</v>
      </c>
      <c r="D32" s="13" t="s">
        <v>14</v>
      </c>
      <c r="E32" s="67">
        <v>1</v>
      </c>
      <c r="F32" s="67"/>
      <c r="G32" s="73">
        <v>0</v>
      </c>
      <c r="H32" s="73">
        <f t="shared" si="3"/>
        <v>0</v>
      </c>
      <c r="I32" s="73">
        <v>3500</v>
      </c>
      <c r="J32" s="73">
        <f t="shared" si="4"/>
        <v>3500</v>
      </c>
      <c r="K32" s="182">
        <f t="shared" si="5"/>
        <v>3500</v>
      </c>
    </row>
    <row r="33" spans="1:11" s="45" customFormat="1" ht="21.95" customHeight="1" x14ac:dyDescent="0.2">
      <c r="A33" s="13"/>
      <c r="B33" s="72" t="s">
        <v>69</v>
      </c>
      <c r="C33" s="70" t="s">
        <v>70</v>
      </c>
      <c r="D33" s="13" t="s">
        <v>14</v>
      </c>
      <c r="E33" s="67">
        <v>1</v>
      </c>
      <c r="F33" s="67"/>
      <c r="G33" s="73">
        <v>0</v>
      </c>
      <c r="H33" s="73">
        <f t="shared" si="3"/>
        <v>0</v>
      </c>
      <c r="I33" s="73">
        <v>3500</v>
      </c>
      <c r="J33" s="73">
        <f t="shared" si="4"/>
        <v>3500</v>
      </c>
      <c r="K33" s="182">
        <f t="shared" si="5"/>
        <v>3500</v>
      </c>
    </row>
    <row r="34" spans="1:11" s="45" customFormat="1" ht="21.95" customHeight="1" x14ac:dyDescent="0.2">
      <c r="A34" s="13"/>
      <c r="B34" s="72" t="s">
        <v>71</v>
      </c>
      <c r="C34" s="70" t="s">
        <v>72</v>
      </c>
      <c r="D34" s="13" t="s">
        <v>14</v>
      </c>
      <c r="E34" s="67">
        <v>1</v>
      </c>
      <c r="F34" s="67"/>
      <c r="G34" s="73">
        <v>0</v>
      </c>
      <c r="H34" s="73">
        <f t="shared" si="3"/>
        <v>0</v>
      </c>
      <c r="I34" s="73">
        <v>7000</v>
      </c>
      <c r="J34" s="73">
        <f t="shared" si="4"/>
        <v>7000</v>
      </c>
      <c r="K34" s="182">
        <f t="shared" si="5"/>
        <v>7000</v>
      </c>
    </row>
    <row r="35" spans="1:11" s="45" customFormat="1" ht="21.95" customHeight="1" x14ac:dyDescent="0.2">
      <c r="A35" s="13"/>
      <c r="B35" s="72" t="s">
        <v>73</v>
      </c>
      <c r="C35" s="70" t="s">
        <v>74</v>
      </c>
      <c r="D35" s="13" t="s">
        <v>14</v>
      </c>
      <c r="E35" s="67">
        <v>1</v>
      </c>
      <c r="F35" s="67"/>
      <c r="G35" s="73">
        <v>0</v>
      </c>
      <c r="H35" s="73">
        <f t="shared" ref="H35:H37" si="6">G35*E35</f>
        <v>0</v>
      </c>
      <c r="I35" s="73">
        <v>7000</v>
      </c>
      <c r="J35" s="73">
        <f t="shared" ref="J35:J37" si="7">I35*E35</f>
        <v>7000</v>
      </c>
      <c r="K35" s="182">
        <f t="shared" ref="K35:K37" si="8">J35+H35</f>
        <v>7000</v>
      </c>
    </row>
    <row r="36" spans="1:11" s="45" customFormat="1" ht="21.95" customHeight="1" x14ac:dyDescent="0.2">
      <c r="A36" s="13"/>
      <c r="B36" s="72" t="s">
        <v>75</v>
      </c>
      <c r="C36" s="70" t="s">
        <v>76</v>
      </c>
      <c r="D36" s="13" t="s">
        <v>14</v>
      </c>
      <c r="E36" s="67">
        <v>1</v>
      </c>
      <c r="F36" s="67"/>
      <c r="G36" s="73">
        <v>0</v>
      </c>
      <c r="H36" s="73">
        <f t="shared" si="6"/>
        <v>0</v>
      </c>
      <c r="I36" s="73">
        <v>7000</v>
      </c>
      <c r="J36" s="73">
        <f t="shared" si="7"/>
        <v>7000</v>
      </c>
      <c r="K36" s="182">
        <f t="shared" si="8"/>
        <v>7000</v>
      </c>
    </row>
    <row r="37" spans="1:11" s="45" customFormat="1" ht="21.95" customHeight="1" x14ac:dyDescent="0.2">
      <c r="A37" s="13"/>
      <c r="B37" s="72" t="s">
        <v>77</v>
      </c>
      <c r="C37" s="70" t="s">
        <v>78</v>
      </c>
      <c r="D37" s="13" t="s">
        <v>14</v>
      </c>
      <c r="E37" s="67">
        <v>1</v>
      </c>
      <c r="F37" s="67"/>
      <c r="G37" s="73">
        <v>0</v>
      </c>
      <c r="H37" s="73">
        <f t="shared" si="6"/>
        <v>0</v>
      </c>
      <c r="I37" s="73">
        <v>7000</v>
      </c>
      <c r="J37" s="73">
        <f t="shared" si="7"/>
        <v>7000</v>
      </c>
      <c r="K37" s="182">
        <f t="shared" si="8"/>
        <v>7000</v>
      </c>
    </row>
    <row r="38" spans="1:11" s="45" customFormat="1" ht="20.100000000000001" customHeight="1" x14ac:dyDescent="0.2">
      <c r="A38" s="13"/>
      <c r="B38" s="77" t="s">
        <v>18</v>
      </c>
      <c r="C38" s="79" t="s">
        <v>79</v>
      </c>
      <c r="D38" s="13"/>
      <c r="E38" s="67"/>
      <c r="F38" s="67"/>
      <c r="G38" s="68"/>
      <c r="H38" s="68"/>
      <c r="I38" s="73"/>
      <c r="J38" s="68"/>
      <c r="K38" s="183"/>
    </row>
    <row r="39" spans="1:11" s="45" customFormat="1" ht="21.95" customHeight="1" x14ac:dyDescent="0.2">
      <c r="A39" s="13"/>
      <c r="B39" s="72" t="s">
        <v>37</v>
      </c>
      <c r="C39" s="70" t="s">
        <v>80</v>
      </c>
      <c r="D39" s="13" t="s">
        <v>14</v>
      </c>
      <c r="E39" s="67">
        <v>1</v>
      </c>
      <c r="F39" s="67"/>
      <c r="G39" s="73">
        <v>0</v>
      </c>
      <c r="H39" s="73">
        <f t="shared" ref="H39:H41" si="9">G39*E39</f>
        <v>0</v>
      </c>
      <c r="I39" s="73">
        <v>7000</v>
      </c>
      <c r="J39" s="73">
        <f t="shared" ref="J39:J41" si="10">I39*E39</f>
        <v>7000</v>
      </c>
      <c r="K39" s="182">
        <f t="shared" ref="K39:K41" si="11">J39+H39</f>
        <v>7000</v>
      </c>
    </row>
    <row r="40" spans="1:11" s="45" customFormat="1" ht="21.95" customHeight="1" x14ac:dyDescent="0.2">
      <c r="A40" s="13"/>
      <c r="B40" s="72" t="s">
        <v>39</v>
      </c>
      <c r="C40" s="70" t="s">
        <v>81</v>
      </c>
      <c r="D40" s="13" t="s">
        <v>14</v>
      </c>
      <c r="E40" s="67">
        <v>1</v>
      </c>
      <c r="F40" s="67"/>
      <c r="G40" s="73">
        <v>0</v>
      </c>
      <c r="H40" s="73">
        <f t="shared" si="9"/>
        <v>0</v>
      </c>
      <c r="I40" s="73">
        <v>7000</v>
      </c>
      <c r="J40" s="73">
        <f t="shared" si="10"/>
        <v>7000</v>
      </c>
      <c r="K40" s="182">
        <f t="shared" si="11"/>
        <v>7000</v>
      </c>
    </row>
    <row r="41" spans="1:11" s="45" customFormat="1" ht="21.95" customHeight="1" x14ac:dyDescent="0.2">
      <c r="A41" s="13"/>
      <c r="B41" s="72" t="s">
        <v>41</v>
      </c>
      <c r="C41" s="70" t="s">
        <v>82</v>
      </c>
      <c r="D41" s="13" t="s">
        <v>14</v>
      </c>
      <c r="E41" s="67">
        <v>1</v>
      </c>
      <c r="F41" s="67"/>
      <c r="G41" s="73">
        <v>0</v>
      </c>
      <c r="H41" s="73">
        <f t="shared" si="9"/>
        <v>0</v>
      </c>
      <c r="I41" s="73">
        <v>7000</v>
      </c>
      <c r="J41" s="73">
        <f t="shared" si="10"/>
        <v>7000</v>
      </c>
      <c r="K41" s="182">
        <f t="shared" si="11"/>
        <v>7000</v>
      </c>
    </row>
    <row r="42" spans="1:11" ht="63" x14ac:dyDescent="0.25">
      <c r="A42" s="74">
        <f>A15+1</f>
        <v>3</v>
      </c>
      <c r="B42" s="65"/>
      <c r="C42" s="76" t="s">
        <v>83</v>
      </c>
      <c r="D42" s="58"/>
      <c r="E42" s="61"/>
      <c r="F42" s="61"/>
      <c r="G42" s="62"/>
      <c r="H42" s="62"/>
      <c r="I42" s="80"/>
      <c r="J42" s="80"/>
      <c r="K42" s="181"/>
    </row>
    <row r="43" spans="1:11" s="45" customFormat="1" ht="21.95" customHeight="1" x14ac:dyDescent="0.2">
      <c r="A43" s="13"/>
      <c r="B43" s="72">
        <f>A42+0.1</f>
        <v>3.1</v>
      </c>
      <c r="C43" s="70" t="s">
        <v>84</v>
      </c>
      <c r="D43" s="13"/>
      <c r="E43" s="67"/>
      <c r="F43" s="67"/>
      <c r="G43" s="68"/>
      <c r="H43" s="68"/>
      <c r="I43" s="69"/>
      <c r="J43" s="69"/>
      <c r="K43" s="183"/>
    </row>
    <row r="44" spans="1:11" s="45" customFormat="1" ht="21.95" customHeight="1" x14ac:dyDescent="0.2">
      <c r="A44" s="13"/>
      <c r="B44" s="72" t="s">
        <v>85</v>
      </c>
      <c r="C44" s="70" t="s">
        <v>86</v>
      </c>
      <c r="D44" s="13" t="str">
        <f>IF(C44="","",IF(E44="","",IF(E44&gt;1,"Nos.","No.")))</f>
        <v>Nos.</v>
      </c>
      <c r="E44" s="67">
        <f>SUM(E14)*4</f>
        <v>4</v>
      </c>
      <c r="F44" s="67"/>
      <c r="G44" s="73">
        <v>4700</v>
      </c>
      <c r="H44" s="73">
        <f>G44*E44</f>
        <v>18800</v>
      </c>
      <c r="I44" s="73">
        <v>1000</v>
      </c>
      <c r="J44" s="73">
        <f>I44*E44</f>
        <v>4000</v>
      </c>
      <c r="K44" s="182">
        <f>J44+H44</f>
        <v>22800</v>
      </c>
    </row>
    <row r="45" spans="1:11" s="45" customFormat="1" ht="21.95" customHeight="1" x14ac:dyDescent="0.2">
      <c r="A45" s="13"/>
      <c r="B45" s="72">
        <f>B43+0.1</f>
        <v>3.2</v>
      </c>
      <c r="C45" s="70" t="s">
        <v>87</v>
      </c>
      <c r="D45" s="13"/>
      <c r="E45" s="81"/>
      <c r="F45" s="81"/>
      <c r="G45" s="68"/>
      <c r="H45" s="68"/>
      <c r="I45" s="69"/>
      <c r="J45" s="69"/>
      <c r="K45" s="183"/>
    </row>
    <row r="46" spans="1:11" s="45" customFormat="1" ht="21.95" customHeight="1" x14ac:dyDescent="0.2">
      <c r="A46" s="13"/>
      <c r="B46" s="72" t="s">
        <v>85</v>
      </c>
      <c r="C46" s="70" t="str">
        <f>C44</f>
        <v xml:space="preserve">25mm dia </v>
      </c>
      <c r="D46" s="13" t="str">
        <f>IF(C46="","",IF(E46="","",IF(E46&gt;1,"Nos.","No.")))</f>
        <v>No.</v>
      </c>
      <c r="E46" s="67">
        <f>E44/4</f>
        <v>1</v>
      </c>
      <c r="F46" s="67"/>
      <c r="G46" s="73">
        <v>3500</v>
      </c>
      <c r="H46" s="73">
        <f>G46*E46</f>
        <v>3500</v>
      </c>
      <c r="I46" s="73">
        <v>1000</v>
      </c>
      <c r="J46" s="73">
        <f>I46*E46</f>
        <v>1000</v>
      </c>
      <c r="K46" s="182">
        <f>J46+H46</f>
        <v>4500</v>
      </c>
    </row>
    <row r="47" spans="1:11" s="45" customFormat="1" ht="21.95" customHeight="1" x14ac:dyDescent="0.2">
      <c r="A47" s="13"/>
      <c r="B47" s="72">
        <f>B45+0.1</f>
        <v>3.3000000000000003</v>
      </c>
      <c r="C47" s="70" t="s">
        <v>88</v>
      </c>
      <c r="D47" s="13"/>
      <c r="E47" s="67"/>
      <c r="F47" s="67"/>
      <c r="G47" s="68"/>
      <c r="H47" s="68"/>
      <c r="I47" s="69"/>
      <c r="J47" s="69"/>
      <c r="K47" s="183"/>
    </row>
    <row r="48" spans="1:11" s="45" customFormat="1" ht="21.95" customHeight="1" x14ac:dyDescent="0.2">
      <c r="A48" s="13"/>
      <c r="B48" s="72" t="s">
        <v>85</v>
      </c>
      <c r="C48" s="70" t="str">
        <f>C46</f>
        <v xml:space="preserve">25mm dia </v>
      </c>
      <c r="D48" s="13" t="str">
        <f>IF(C48="","",IF(E48="","",IF(E48&gt;1,"Nos.","No.")))</f>
        <v>No.</v>
      </c>
      <c r="E48" s="67">
        <f>E46</f>
        <v>1</v>
      </c>
      <c r="F48" s="67"/>
      <c r="G48" s="73">
        <v>7700</v>
      </c>
      <c r="H48" s="73">
        <f>G48*E48</f>
        <v>7700</v>
      </c>
      <c r="I48" s="73">
        <v>1000</v>
      </c>
      <c r="J48" s="73">
        <f>I48*E48</f>
        <v>1000</v>
      </c>
      <c r="K48" s="182">
        <f>J48+H48</f>
        <v>8700</v>
      </c>
    </row>
    <row r="49" spans="1:11" s="45" customFormat="1" ht="31.5" customHeight="1" x14ac:dyDescent="0.2">
      <c r="A49" s="82"/>
      <c r="B49" s="72">
        <f>B47+0.1</f>
        <v>3.4000000000000004</v>
      </c>
      <c r="C49" s="83" t="s">
        <v>89</v>
      </c>
      <c r="D49" s="13" t="str">
        <f>IF(C49="","",IF(E49="","",IF(E49&gt;1,"Nos.","No.")))</f>
        <v>Nos.</v>
      </c>
      <c r="E49" s="67">
        <f>E48*2</f>
        <v>2</v>
      </c>
      <c r="F49" s="67"/>
      <c r="G49" s="73">
        <v>6500</v>
      </c>
      <c r="H49" s="73">
        <f>G49*E49</f>
        <v>13000</v>
      </c>
      <c r="I49" s="73">
        <v>1000</v>
      </c>
      <c r="J49" s="73">
        <f>I49*E49</f>
        <v>2000</v>
      </c>
      <c r="K49" s="182">
        <f>J49+H49</f>
        <v>15000</v>
      </c>
    </row>
    <row r="50" spans="1:11" s="45" customFormat="1" ht="47.25" x14ac:dyDescent="0.2">
      <c r="A50" s="82"/>
      <c r="B50" s="72">
        <f>B49+0.1</f>
        <v>3.5000000000000004</v>
      </c>
      <c r="C50" s="84" t="s">
        <v>90</v>
      </c>
      <c r="D50" s="13" t="str">
        <f>IF(C50="","",IF(E50="","",IF(E50&gt;1,"Nos.","No.")))</f>
        <v>Nos.</v>
      </c>
      <c r="E50" s="67">
        <f>E49</f>
        <v>2</v>
      </c>
      <c r="F50" s="67"/>
      <c r="G50" s="73">
        <v>8500</v>
      </c>
      <c r="H50" s="73">
        <f>G50*E50</f>
        <v>17000</v>
      </c>
      <c r="I50" s="73">
        <v>1000</v>
      </c>
      <c r="J50" s="73">
        <f>I50*E50</f>
        <v>2000</v>
      </c>
      <c r="K50" s="182">
        <f>J50+H50</f>
        <v>19000</v>
      </c>
    </row>
    <row r="51" spans="1:11" s="45" customFormat="1" ht="21.95" customHeight="1" x14ac:dyDescent="0.2">
      <c r="A51" s="82"/>
      <c r="B51" s="72">
        <f>B50+0.1</f>
        <v>3.6000000000000005</v>
      </c>
      <c r="C51" s="70" t="s">
        <v>91</v>
      </c>
      <c r="D51" s="82"/>
      <c r="E51" s="67"/>
      <c r="F51" s="67"/>
      <c r="G51" s="68"/>
      <c r="H51" s="68"/>
      <c r="I51" s="69"/>
      <c r="J51" s="69"/>
      <c r="K51" s="183"/>
    </row>
    <row r="52" spans="1:11" s="45" customFormat="1" ht="21.95" customHeight="1" x14ac:dyDescent="0.2">
      <c r="A52" s="13"/>
      <c r="B52" s="72" t="s">
        <v>85</v>
      </c>
      <c r="C52" s="70" t="s">
        <v>86</v>
      </c>
      <c r="D52" s="13" t="str">
        <f>IF(C52="","",IF(E52="","",IF(E52&gt;1,"Nos.","No.")))</f>
        <v>No.</v>
      </c>
      <c r="E52" s="67">
        <f>E48</f>
        <v>1</v>
      </c>
      <c r="F52" s="67"/>
      <c r="G52" s="73">
        <v>38000</v>
      </c>
      <c r="H52" s="73">
        <f>G52*E52</f>
        <v>38000</v>
      </c>
      <c r="I52" s="73">
        <v>3000</v>
      </c>
      <c r="J52" s="73">
        <f>I52*E52</f>
        <v>3000</v>
      </c>
      <c r="K52" s="182">
        <f>J52+H52</f>
        <v>41000</v>
      </c>
    </row>
    <row r="53" spans="1:11" s="45" customFormat="1" ht="31.5" x14ac:dyDescent="0.2">
      <c r="A53" s="82"/>
      <c r="B53" s="72">
        <f>B51+0.1</f>
        <v>3.7000000000000006</v>
      </c>
      <c r="C53" s="83" t="s">
        <v>92</v>
      </c>
      <c r="D53" s="13" t="str">
        <f>IF(C53="","",IF(E53="","",IF(E53&gt;1,"Nos.","No.")))</f>
        <v>No.</v>
      </c>
      <c r="E53" s="67">
        <f>E52</f>
        <v>1</v>
      </c>
      <c r="F53" s="67"/>
      <c r="G53" s="73">
        <v>18500</v>
      </c>
      <c r="H53" s="73">
        <f>G53*E53</f>
        <v>18500</v>
      </c>
      <c r="I53" s="73">
        <v>2000</v>
      </c>
      <c r="J53" s="73">
        <f>I53*E53</f>
        <v>2000</v>
      </c>
      <c r="K53" s="182">
        <f>J53+H53</f>
        <v>20500</v>
      </c>
    </row>
    <row r="54" spans="1:11" s="45" customFormat="1" ht="31.5" x14ac:dyDescent="0.2">
      <c r="A54" s="82"/>
      <c r="B54" s="72">
        <f>B53+0.1</f>
        <v>3.8000000000000007</v>
      </c>
      <c r="C54" s="83" t="s">
        <v>93</v>
      </c>
      <c r="D54" s="13" t="s">
        <v>94</v>
      </c>
      <c r="E54" s="67">
        <f>E53</f>
        <v>1</v>
      </c>
      <c r="F54" s="67"/>
      <c r="G54" s="73">
        <v>5000</v>
      </c>
      <c r="H54" s="73">
        <f>G54*E54</f>
        <v>5000</v>
      </c>
      <c r="I54" s="73">
        <v>1500</v>
      </c>
      <c r="J54" s="73">
        <f>I54*E54</f>
        <v>1500</v>
      </c>
      <c r="K54" s="182">
        <f>J54+H54</f>
        <v>6500</v>
      </c>
    </row>
    <row r="55" spans="1:11" ht="126" x14ac:dyDescent="0.25">
      <c r="A55" s="85">
        <f>A42+1</f>
        <v>4</v>
      </c>
      <c r="B55" s="86"/>
      <c r="C55" s="76" t="s">
        <v>95</v>
      </c>
      <c r="D55" s="58"/>
      <c r="E55" s="61"/>
      <c r="F55" s="61"/>
      <c r="G55" s="62"/>
      <c r="H55" s="62"/>
      <c r="I55" s="62"/>
      <c r="J55" s="62"/>
      <c r="K55" s="181"/>
    </row>
    <row r="56" spans="1:11" s="45" customFormat="1" ht="24" customHeight="1" x14ac:dyDescent="0.2">
      <c r="A56" s="13"/>
      <c r="B56" s="87">
        <f>A55+0.1</f>
        <v>4.0999999999999996</v>
      </c>
      <c r="C56" s="70" t="s">
        <v>96</v>
      </c>
      <c r="D56" s="13" t="s">
        <v>97</v>
      </c>
      <c r="E56" s="67">
        <v>80</v>
      </c>
      <c r="F56" s="67"/>
      <c r="G56" s="73">
        <v>1250</v>
      </c>
      <c r="H56" s="73">
        <f>G56*E56</f>
        <v>100000</v>
      </c>
      <c r="I56" s="73">
        <v>595</v>
      </c>
      <c r="J56" s="73">
        <f>I56*E56</f>
        <v>47600</v>
      </c>
      <c r="K56" s="182">
        <f>J56+H56</f>
        <v>147600</v>
      </c>
    </row>
    <row r="57" spans="1:11" ht="105" customHeight="1" x14ac:dyDescent="0.25">
      <c r="A57" s="88">
        <f>A55+1</f>
        <v>5</v>
      </c>
      <c r="B57" s="86"/>
      <c r="C57" s="76" t="s">
        <v>164</v>
      </c>
      <c r="D57" s="58"/>
      <c r="E57" s="61"/>
      <c r="F57" s="61"/>
      <c r="G57" s="62"/>
      <c r="H57" s="62"/>
      <c r="I57" s="80"/>
      <c r="J57" s="80"/>
      <c r="K57" s="181"/>
    </row>
    <row r="58" spans="1:11" s="45" customFormat="1" ht="24" customHeight="1" x14ac:dyDescent="0.2">
      <c r="A58" s="13"/>
      <c r="B58" s="72">
        <f>A57+0.1</f>
        <v>5.0999999999999996</v>
      </c>
      <c r="C58" s="70" t="s">
        <v>98</v>
      </c>
      <c r="D58" s="13" t="s">
        <v>97</v>
      </c>
      <c r="E58" s="67">
        <v>50</v>
      </c>
      <c r="F58" s="67"/>
      <c r="G58" s="73">
        <v>1000</v>
      </c>
      <c r="H58" s="73">
        <f>G58*E58</f>
        <v>50000</v>
      </c>
      <c r="I58" s="73">
        <v>280</v>
      </c>
      <c r="J58" s="73">
        <f>I58*E58</f>
        <v>14000</v>
      </c>
      <c r="K58" s="182">
        <f>J58+H58</f>
        <v>64000</v>
      </c>
    </row>
    <row r="59" spans="1:11" ht="69" customHeight="1" x14ac:dyDescent="0.25">
      <c r="A59" s="85">
        <f>A57+1</f>
        <v>6</v>
      </c>
      <c r="B59" s="86"/>
      <c r="C59" s="76" t="s">
        <v>99</v>
      </c>
      <c r="D59" s="58"/>
      <c r="E59" s="61"/>
      <c r="F59" s="61"/>
      <c r="G59" s="62"/>
      <c r="H59" s="62"/>
      <c r="I59" s="80"/>
      <c r="J59" s="80"/>
      <c r="K59" s="181"/>
    </row>
    <row r="60" spans="1:11" s="45" customFormat="1" ht="24" customHeight="1" x14ac:dyDescent="0.2">
      <c r="A60" s="89"/>
      <c r="B60" s="90">
        <f>A59+0.1</f>
        <v>6.1</v>
      </c>
      <c r="C60" s="91" t="s">
        <v>100</v>
      </c>
      <c r="D60" s="13" t="str">
        <f>IF(C60="","",IF(E60="","",IF(E60&gt;1,"Nos.","No.")))</f>
        <v>No.</v>
      </c>
      <c r="E60" s="81">
        <v>1</v>
      </c>
      <c r="F60" s="81"/>
      <c r="G60" s="73">
        <v>191000</v>
      </c>
      <c r="H60" s="73">
        <f>G60*E60</f>
        <v>191000</v>
      </c>
      <c r="I60" s="73">
        <v>5000</v>
      </c>
      <c r="J60" s="73">
        <f>I60*E60</f>
        <v>5000</v>
      </c>
      <c r="K60" s="182">
        <f>J60+H60</f>
        <v>196000</v>
      </c>
    </row>
    <row r="61" spans="1:11" s="45" customFormat="1" ht="24" customHeight="1" x14ac:dyDescent="0.2">
      <c r="A61" s="89"/>
      <c r="B61" s="90">
        <f>B60+0.1</f>
        <v>6.1999999999999993</v>
      </c>
      <c r="C61" s="91" t="s">
        <v>101</v>
      </c>
      <c r="D61" s="13" t="str">
        <f>IF(C61="","",IF(E61="","",IF(E61&gt;1,"Nos.","No.")))</f>
        <v>No.</v>
      </c>
      <c r="E61" s="81">
        <v>1</v>
      </c>
      <c r="F61" s="81"/>
      <c r="G61" s="73">
        <v>35000</v>
      </c>
      <c r="H61" s="73">
        <f>G61*E61</f>
        <v>35000</v>
      </c>
      <c r="I61" s="73">
        <v>3000</v>
      </c>
      <c r="J61" s="73">
        <f>I61*E61</f>
        <v>3000</v>
      </c>
      <c r="K61" s="182">
        <f>J61+H61</f>
        <v>38000</v>
      </c>
    </row>
    <row r="62" spans="1:11" s="45" customFormat="1" ht="112.5" customHeight="1" x14ac:dyDescent="0.2">
      <c r="A62" s="102">
        <f>A59+1</f>
        <v>7</v>
      </c>
      <c r="B62" s="100"/>
      <c r="C62" s="83" t="s">
        <v>102</v>
      </c>
      <c r="D62" s="13" t="s">
        <v>103</v>
      </c>
      <c r="E62" s="81">
        <v>820</v>
      </c>
      <c r="F62" s="81"/>
      <c r="G62" s="73">
        <v>3500</v>
      </c>
      <c r="H62" s="73">
        <f>G62*E62</f>
        <v>2870000</v>
      </c>
      <c r="I62" s="73">
        <v>920</v>
      </c>
      <c r="J62" s="73">
        <f>I62*E62</f>
        <v>754400</v>
      </c>
      <c r="K62" s="182">
        <f>J62+H62</f>
        <v>3624400</v>
      </c>
    </row>
    <row r="63" spans="1:11" s="45" customFormat="1" ht="64.5" customHeight="1" x14ac:dyDescent="0.2">
      <c r="A63" s="102">
        <f>A62+1</f>
        <v>8</v>
      </c>
      <c r="B63" s="100"/>
      <c r="C63" s="185" t="s">
        <v>104</v>
      </c>
      <c r="D63" s="13" t="s">
        <v>103</v>
      </c>
      <c r="E63" s="81">
        <v>820</v>
      </c>
      <c r="F63" s="81"/>
      <c r="G63" s="73">
        <v>3480</v>
      </c>
      <c r="H63" s="73">
        <f>G63*E63</f>
        <v>2853600</v>
      </c>
      <c r="I63" s="73">
        <v>600</v>
      </c>
      <c r="J63" s="73">
        <f>I63*E63</f>
        <v>492000</v>
      </c>
      <c r="K63" s="182">
        <f>J63+H63</f>
        <v>3345600</v>
      </c>
    </row>
    <row r="64" spans="1:11" s="45" customFormat="1" ht="63" x14ac:dyDescent="0.2">
      <c r="A64" s="102">
        <f>A63+1</f>
        <v>9</v>
      </c>
      <c r="B64" s="100"/>
      <c r="C64" s="185" t="s">
        <v>105</v>
      </c>
      <c r="D64" s="13" t="s">
        <v>103</v>
      </c>
      <c r="E64" s="67">
        <v>85</v>
      </c>
      <c r="F64" s="67"/>
      <c r="G64" s="73">
        <v>3000</v>
      </c>
      <c r="H64" s="73">
        <f>G64*E64</f>
        <v>255000</v>
      </c>
      <c r="I64" s="73">
        <v>600</v>
      </c>
      <c r="J64" s="73">
        <f>I64*E64</f>
        <v>51000</v>
      </c>
      <c r="K64" s="182">
        <f>J64+H64</f>
        <v>306000</v>
      </c>
    </row>
    <row r="65" spans="1:13" ht="81" customHeight="1" x14ac:dyDescent="0.25">
      <c r="A65" s="95">
        <f>A64+1</f>
        <v>10</v>
      </c>
      <c r="B65" s="96"/>
      <c r="C65" s="97" t="s">
        <v>106</v>
      </c>
      <c r="D65" s="58"/>
      <c r="E65" s="61"/>
      <c r="F65" s="61"/>
      <c r="G65" s="98"/>
      <c r="H65" s="98"/>
      <c r="I65" s="99"/>
      <c r="J65" s="99"/>
      <c r="K65" s="181"/>
    </row>
    <row r="66" spans="1:13" s="45" customFormat="1" ht="21.95" customHeight="1" x14ac:dyDescent="0.2">
      <c r="A66" s="13"/>
      <c r="B66" s="100">
        <f>A65+0.1</f>
        <v>10.1</v>
      </c>
      <c r="C66" s="101" t="s">
        <v>107</v>
      </c>
      <c r="D66" s="102" t="s">
        <v>103</v>
      </c>
      <c r="E66" s="67">
        <v>5</v>
      </c>
      <c r="F66" s="67"/>
      <c r="G66" s="73">
        <v>48000</v>
      </c>
      <c r="H66" s="73">
        <f>G66*E66</f>
        <v>240000</v>
      </c>
      <c r="I66" s="73">
        <v>7500</v>
      </c>
      <c r="J66" s="73">
        <f>I66*E66</f>
        <v>37500</v>
      </c>
      <c r="K66" s="182">
        <f>J66+H66</f>
        <v>277500</v>
      </c>
    </row>
    <row r="67" spans="1:13" s="45" customFormat="1" ht="21.95" customHeight="1" x14ac:dyDescent="0.2">
      <c r="A67" s="13"/>
      <c r="B67" s="100">
        <f>B66+0.1</f>
        <v>10.199999999999999</v>
      </c>
      <c r="C67" s="101" t="s">
        <v>108</v>
      </c>
      <c r="D67" s="102" t="s">
        <v>103</v>
      </c>
      <c r="E67" s="103">
        <v>2.5</v>
      </c>
      <c r="F67" s="103"/>
      <c r="G67" s="73">
        <v>25000</v>
      </c>
      <c r="H67" s="73">
        <f>G67*E67</f>
        <v>62500</v>
      </c>
      <c r="I67" s="73">
        <v>7800</v>
      </c>
      <c r="J67" s="73">
        <f>I67*E67</f>
        <v>19500</v>
      </c>
      <c r="K67" s="182">
        <f>J67+H67</f>
        <v>82000</v>
      </c>
    </row>
    <row r="68" spans="1:13" s="45" customFormat="1" ht="21.95" customHeight="1" x14ac:dyDescent="0.2">
      <c r="A68" s="13"/>
      <c r="B68" s="100">
        <f>B67+0.1</f>
        <v>10.299999999999999</v>
      </c>
      <c r="C68" s="101" t="s">
        <v>109</v>
      </c>
      <c r="D68" s="102"/>
      <c r="E68" s="67"/>
      <c r="F68" s="67"/>
      <c r="G68" s="68"/>
      <c r="H68" s="68"/>
      <c r="I68" s="69"/>
      <c r="J68" s="69"/>
      <c r="K68" s="183"/>
    </row>
    <row r="69" spans="1:13" s="45" customFormat="1" ht="21.95" customHeight="1" x14ac:dyDescent="0.2">
      <c r="A69" s="13"/>
      <c r="B69" s="72" t="s">
        <v>85</v>
      </c>
      <c r="C69" s="101" t="s">
        <v>110</v>
      </c>
      <c r="D69" s="102" t="s">
        <v>97</v>
      </c>
      <c r="E69" s="67">
        <v>22</v>
      </c>
      <c r="F69" s="67"/>
      <c r="G69" s="73">
        <v>4197</v>
      </c>
      <c r="H69" s="73">
        <f>G69*E69</f>
        <v>92334</v>
      </c>
      <c r="I69" s="73">
        <v>700</v>
      </c>
      <c r="J69" s="73">
        <f>I69*E69</f>
        <v>15400</v>
      </c>
      <c r="K69" s="182">
        <f>J69+H69</f>
        <v>107734</v>
      </c>
    </row>
    <row r="70" spans="1:13" s="45" customFormat="1" ht="21.95" customHeight="1" x14ac:dyDescent="0.2">
      <c r="A70" s="13"/>
      <c r="B70" s="72" t="s">
        <v>111</v>
      </c>
      <c r="C70" s="101" t="s">
        <v>112</v>
      </c>
      <c r="D70" s="102" t="s">
        <v>97</v>
      </c>
      <c r="E70" s="67">
        <v>50</v>
      </c>
      <c r="F70" s="67"/>
      <c r="G70" s="73">
        <v>5100</v>
      </c>
      <c r="H70" s="73">
        <f>G70*E70</f>
        <v>255000</v>
      </c>
      <c r="I70" s="73">
        <v>700</v>
      </c>
      <c r="J70" s="73">
        <f>I70*E70</f>
        <v>35000</v>
      </c>
      <c r="K70" s="182">
        <f>J70+H70</f>
        <v>290000</v>
      </c>
    </row>
    <row r="71" spans="1:13" s="45" customFormat="1" ht="21.95" customHeight="1" x14ac:dyDescent="0.2">
      <c r="A71" s="13"/>
      <c r="B71" s="100">
        <f>B68+0.1</f>
        <v>10.399999999999999</v>
      </c>
      <c r="C71" s="101" t="s">
        <v>113</v>
      </c>
      <c r="D71" s="102"/>
      <c r="E71" s="67"/>
      <c r="F71" s="67"/>
      <c r="G71" s="68"/>
      <c r="H71" s="68"/>
      <c r="I71" s="69"/>
      <c r="J71" s="69"/>
      <c r="K71" s="183"/>
    </row>
    <row r="72" spans="1:13" s="45" customFormat="1" ht="21.95" customHeight="1" x14ac:dyDescent="0.2">
      <c r="A72" s="13"/>
      <c r="B72" s="72" t="s">
        <v>85</v>
      </c>
      <c r="C72" s="101" t="s">
        <v>114</v>
      </c>
      <c r="D72" s="102" t="s">
        <v>17</v>
      </c>
      <c r="E72" s="67">
        <v>12</v>
      </c>
      <c r="F72" s="67"/>
      <c r="G72" s="73">
        <v>2800</v>
      </c>
      <c r="H72" s="73">
        <f>G72*E72</f>
        <v>33600</v>
      </c>
      <c r="I72" s="73">
        <v>1000</v>
      </c>
      <c r="J72" s="73">
        <f>I72*E72</f>
        <v>12000</v>
      </c>
      <c r="K72" s="182">
        <f>J72+H72</f>
        <v>45600</v>
      </c>
    </row>
    <row r="73" spans="1:13" s="45" customFormat="1" ht="51" customHeight="1" x14ac:dyDescent="0.2">
      <c r="A73" s="92">
        <f>A65+1</f>
        <v>11</v>
      </c>
      <c r="B73" s="93"/>
      <c r="C73" s="104" t="s">
        <v>115</v>
      </c>
      <c r="D73" s="102"/>
      <c r="E73" s="67"/>
      <c r="F73" s="67"/>
      <c r="G73" s="68"/>
      <c r="H73" s="68"/>
      <c r="I73" s="69"/>
      <c r="J73" s="69"/>
      <c r="K73" s="183"/>
    </row>
    <row r="74" spans="1:13" s="45" customFormat="1" ht="24" customHeight="1" x14ac:dyDescent="0.2">
      <c r="A74" s="102"/>
      <c r="B74" s="100">
        <f>A73+0.1</f>
        <v>11.1</v>
      </c>
      <c r="C74" s="101" t="s">
        <v>114</v>
      </c>
      <c r="D74" s="102" t="s">
        <v>97</v>
      </c>
      <c r="E74" s="67">
        <v>120</v>
      </c>
      <c r="F74" s="67"/>
      <c r="G74" s="73">
        <v>690</v>
      </c>
      <c r="H74" s="73">
        <f>G74*E74</f>
        <v>82800</v>
      </c>
      <c r="I74" s="73">
        <v>150</v>
      </c>
      <c r="J74" s="73">
        <f>I74*E74</f>
        <v>18000</v>
      </c>
      <c r="K74" s="182">
        <f>J74+H74</f>
        <v>100800</v>
      </c>
    </row>
    <row r="75" spans="1:13" s="45" customFormat="1" ht="24" customHeight="1" x14ac:dyDescent="0.2">
      <c r="A75" s="102"/>
      <c r="B75" s="100">
        <f>B74+0.1</f>
        <v>11.2</v>
      </c>
      <c r="C75" s="101" t="s">
        <v>116</v>
      </c>
      <c r="D75" s="102" t="s">
        <v>97</v>
      </c>
      <c r="E75" s="67">
        <v>3</v>
      </c>
      <c r="F75" s="67"/>
      <c r="G75" s="73">
        <v>1066</v>
      </c>
      <c r="H75" s="73">
        <f>G75*E75</f>
        <v>3198</v>
      </c>
      <c r="I75" s="73">
        <v>160</v>
      </c>
      <c r="J75" s="73">
        <f>I75*E75</f>
        <v>480</v>
      </c>
      <c r="K75" s="182">
        <f>J75+H75</f>
        <v>3678</v>
      </c>
    </row>
    <row r="76" spans="1:13" s="45" customFormat="1" ht="52.5" customHeight="1" x14ac:dyDescent="0.2">
      <c r="A76" s="92">
        <f>A73+1</f>
        <v>12</v>
      </c>
      <c r="B76" s="93"/>
      <c r="C76" s="76" t="s">
        <v>117</v>
      </c>
      <c r="D76" s="102"/>
      <c r="E76" s="67"/>
      <c r="F76" s="67"/>
      <c r="G76" s="68"/>
      <c r="H76" s="68"/>
      <c r="I76" s="69"/>
      <c r="J76" s="69"/>
      <c r="K76" s="183"/>
    </row>
    <row r="77" spans="1:13" s="45" customFormat="1" ht="24" customHeight="1" x14ac:dyDescent="0.2">
      <c r="A77" s="102"/>
      <c r="B77" s="100">
        <f>A76+0.1</f>
        <v>12.1</v>
      </c>
      <c r="C77" s="101" t="s">
        <v>114</v>
      </c>
      <c r="D77" s="13" t="str">
        <f t="shared" ref="D77:D78" si="12">IF(C77="","",IF(E77="","",IF(E77&gt;1,"Nos.","No.")))</f>
        <v>Nos.</v>
      </c>
      <c r="E77" s="67">
        <v>90</v>
      </c>
      <c r="F77" s="67"/>
      <c r="G77" s="73">
        <v>2800</v>
      </c>
      <c r="H77" s="73">
        <f>G77*E77</f>
        <v>252000</v>
      </c>
      <c r="I77" s="73">
        <v>800</v>
      </c>
      <c r="J77" s="73">
        <f>I77*E77</f>
        <v>72000</v>
      </c>
      <c r="K77" s="182">
        <f>J77+H77</f>
        <v>324000</v>
      </c>
    </row>
    <row r="78" spans="1:13" s="45" customFormat="1" ht="24" customHeight="1" x14ac:dyDescent="0.2">
      <c r="A78" s="102"/>
      <c r="B78" s="100">
        <f>B77+0.1</f>
        <v>12.2</v>
      </c>
      <c r="C78" s="101" t="s">
        <v>116</v>
      </c>
      <c r="D78" s="13" t="str">
        <f t="shared" si="12"/>
        <v>No.</v>
      </c>
      <c r="E78" s="67">
        <v>1</v>
      </c>
      <c r="F78" s="67"/>
      <c r="G78" s="73">
        <v>3500</v>
      </c>
      <c r="H78" s="73">
        <f>G78*E78</f>
        <v>3500</v>
      </c>
      <c r="I78" s="73">
        <v>1000</v>
      </c>
      <c r="J78" s="73">
        <f>I78*E78</f>
        <v>1000</v>
      </c>
      <c r="K78" s="182">
        <f>J78+H78</f>
        <v>4500</v>
      </c>
    </row>
    <row r="79" spans="1:13" s="45" customFormat="1" ht="63" x14ac:dyDescent="0.2">
      <c r="A79" s="102">
        <f>A76+1</f>
        <v>13</v>
      </c>
      <c r="B79" s="100"/>
      <c r="C79" s="186" t="s">
        <v>118</v>
      </c>
      <c r="D79" s="102" t="s">
        <v>103</v>
      </c>
      <c r="E79" s="67">
        <v>3</v>
      </c>
      <c r="F79" s="67"/>
      <c r="G79" s="73">
        <v>3500</v>
      </c>
      <c r="H79" s="73">
        <f>G79*E79</f>
        <v>10500</v>
      </c>
      <c r="I79" s="73">
        <v>700</v>
      </c>
      <c r="J79" s="73">
        <f>I79*E79</f>
        <v>2100</v>
      </c>
      <c r="K79" s="182">
        <f>J79+H79</f>
        <v>12600</v>
      </c>
    </row>
    <row r="80" spans="1:13" s="45" customFormat="1" ht="85.5" customHeight="1" x14ac:dyDescent="0.2">
      <c r="A80" s="95">
        <f>A79+1</f>
        <v>14</v>
      </c>
      <c r="B80" s="106"/>
      <c r="C80" s="76" t="s">
        <v>119</v>
      </c>
      <c r="D80" s="13"/>
      <c r="E80" s="67"/>
      <c r="F80" s="67"/>
      <c r="G80" s="68"/>
      <c r="H80" s="68"/>
      <c r="I80" s="69"/>
      <c r="J80" s="69"/>
      <c r="K80" s="183"/>
      <c r="L80" s="107"/>
      <c r="M80" s="107"/>
    </row>
    <row r="81" spans="1:11" s="45" customFormat="1" ht="24" customHeight="1" x14ac:dyDescent="0.2">
      <c r="A81" s="13"/>
      <c r="B81" s="100">
        <f>A80+0.1</f>
        <v>14.1</v>
      </c>
      <c r="C81" s="70" t="s">
        <v>96</v>
      </c>
      <c r="D81" s="13" t="s">
        <v>97</v>
      </c>
      <c r="E81" s="67">
        <v>45</v>
      </c>
      <c r="F81" s="67"/>
      <c r="G81" s="73">
        <v>2800</v>
      </c>
      <c r="H81" s="73">
        <f>G81*E81</f>
        <v>126000</v>
      </c>
      <c r="I81" s="73">
        <v>400</v>
      </c>
      <c r="J81" s="73">
        <f>I81*E81</f>
        <v>18000</v>
      </c>
      <c r="K81" s="182">
        <f>J81+H81</f>
        <v>144000</v>
      </c>
    </row>
    <row r="82" spans="1:11" ht="63" x14ac:dyDescent="0.25">
      <c r="A82" s="95">
        <f>A80+1</f>
        <v>15</v>
      </c>
      <c r="B82" s="96"/>
      <c r="C82" s="76" t="s">
        <v>120</v>
      </c>
      <c r="D82" s="58" t="s">
        <v>94</v>
      </c>
      <c r="E82" s="61">
        <v>1</v>
      </c>
      <c r="F82" s="61"/>
      <c r="G82" s="73">
        <v>25000</v>
      </c>
      <c r="H82" s="73">
        <f>G82*E82</f>
        <v>25000</v>
      </c>
      <c r="I82" s="73">
        <v>12000</v>
      </c>
      <c r="J82" s="73">
        <f>I82*E82</f>
        <v>12000</v>
      </c>
      <c r="K82" s="182">
        <f>J82+H82</f>
        <v>37000</v>
      </c>
    </row>
    <row r="83" spans="1:11" ht="78.75" x14ac:dyDescent="0.25">
      <c r="A83" s="95">
        <f t="shared" ref="A83" si="13">A82+1</f>
        <v>16</v>
      </c>
      <c r="B83" s="96"/>
      <c r="C83" s="76" t="s">
        <v>121</v>
      </c>
      <c r="D83" s="105" t="s">
        <v>94</v>
      </c>
      <c r="E83" s="61">
        <v>1</v>
      </c>
      <c r="F83" s="61"/>
      <c r="G83" s="73">
        <v>50000</v>
      </c>
      <c r="H83" s="73">
        <f>G83*E83</f>
        <v>50000</v>
      </c>
      <c r="I83" s="73">
        <v>15000</v>
      </c>
      <c r="J83" s="73">
        <f>I83*E83</f>
        <v>15000</v>
      </c>
      <c r="K83" s="182">
        <f>J83+H83</f>
        <v>65000</v>
      </c>
    </row>
    <row r="84" spans="1:11" s="45" customFormat="1" ht="63" x14ac:dyDescent="0.25">
      <c r="A84" s="95">
        <f>A83+1</f>
        <v>17</v>
      </c>
      <c r="B84" s="106"/>
      <c r="C84" s="94" t="s">
        <v>122</v>
      </c>
      <c r="D84" s="105" t="s">
        <v>94</v>
      </c>
      <c r="E84" s="61">
        <v>1</v>
      </c>
      <c r="F84" s="61"/>
      <c r="G84" s="73">
        <v>20000</v>
      </c>
      <c r="H84" s="73">
        <f>G84*E84</f>
        <v>20000</v>
      </c>
      <c r="I84" s="73">
        <v>18000</v>
      </c>
      <c r="J84" s="73">
        <f>I84*E84</f>
        <v>18000</v>
      </c>
      <c r="K84" s="182">
        <f>J84+H84</f>
        <v>38000</v>
      </c>
    </row>
    <row r="85" spans="1:11" s="45" customFormat="1" ht="37.5" customHeight="1" x14ac:dyDescent="0.25">
      <c r="A85" s="95"/>
      <c r="B85" s="106"/>
      <c r="C85" s="94" t="s">
        <v>155</v>
      </c>
      <c r="D85" s="105" t="s">
        <v>94</v>
      </c>
      <c r="E85" s="61">
        <v>1</v>
      </c>
      <c r="F85" s="61"/>
      <c r="G85" s="73"/>
      <c r="H85" s="73">
        <f>G85*E85</f>
        <v>0</v>
      </c>
      <c r="I85" s="73"/>
      <c r="J85" s="73">
        <f>I85*E85</f>
        <v>0</v>
      </c>
      <c r="K85" s="182">
        <f>J85+H85</f>
        <v>0</v>
      </c>
    </row>
    <row r="86" spans="1:11" s="45" customFormat="1" ht="32.25" customHeight="1" x14ac:dyDescent="0.2">
      <c r="A86" s="13"/>
      <c r="B86" s="72"/>
      <c r="C86" s="12" t="s">
        <v>123</v>
      </c>
      <c r="D86" s="13"/>
      <c r="E86" s="55"/>
      <c r="F86" s="55"/>
      <c r="G86" s="14"/>
      <c r="H86" s="14"/>
      <c r="I86" s="14"/>
      <c r="J86" s="14"/>
      <c r="K86" s="184">
        <f>SUM(K9:K85)</f>
        <v>9549512</v>
      </c>
    </row>
    <row r="87" spans="1:11" s="112" customFormat="1" x14ac:dyDescent="0.25">
      <c r="A87" s="108"/>
      <c r="B87" s="109"/>
      <c r="C87" s="63"/>
      <c r="D87" s="108"/>
      <c r="E87" s="110"/>
      <c r="F87" s="110"/>
      <c r="G87" s="111"/>
      <c r="H87" s="111"/>
      <c r="I87" s="111"/>
      <c r="J87" s="111"/>
      <c r="K87" s="111"/>
    </row>
    <row r="88" spans="1:11" s="112" customFormat="1" x14ac:dyDescent="0.25">
      <c r="A88" s="108"/>
      <c r="B88" s="109"/>
      <c r="C88" s="63"/>
      <c r="D88" s="108"/>
      <c r="E88" s="110"/>
      <c r="F88" s="110"/>
      <c r="G88" s="111"/>
      <c r="H88" s="111"/>
      <c r="I88" s="111"/>
      <c r="J88" s="111"/>
      <c r="K88" s="111"/>
    </row>
    <row r="89" spans="1:11" s="112" customFormat="1" x14ac:dyDescent="0.25">
      <c r="A89" s="108"/>
      <c r="B89" s="109"/>
      <c r="C89" s="63"/>
      <c r="D89" s="108"/>
      <c r="E89" s="110"/>
      <c r="F89" s="110"/>
      <c r="G89" s="111"/>
      <c r="H89" s="111"/>
      <c r="I89" s="111"/>
      <c r="J89" s="111"/>
      <c r="K89" s="111"/>
    </row>
    <row r="90" spans="1:11" s="112" customFormat="1" x14ac:dyDescent="0.25">
      <c r="A90" s="108"/>
      <c r="B90" s="109"/>
      <c r="C90" s="63"/>
      <c r="D90" s="108"/>
      <c r="E90" s="110"/>
      <c r="F90" s="110"/>
      <c r="G90" s="111"/>
      <c r="H90" s="111"/>
      <c r="I90" s="111"/>
      <c r="J90" s="111"/>
      <c r="K90" s="111"/>
    </row>
    <row r="91" spans="1:11" s="112" customFormat="1" x14ac:dyDescent="0.25">
      <c r="A91" s="108"/>
      <c r="B91" s="109"/>
      <c r="C91" s="63"/>
      <c r="D91" s="108"/>
      <c r="E91" s="110"/>
      <c r="F91" s="110"/>
      <c r="G91" s="111"/>
      <c r="H91" s="111"/>
      <c r="I91" s="111"/>
      <c r="J91" s="111"/>
      <c r="K91" s="111"/>
    </row>
    <row r="92" spans="1:11" s="112" customFormat="1" x14ac:dyDescent="0.25">
      <c r="A92" s="108"/>
      <c r="B92" s="109"/>
      <c r="C92" s="63"/>
      <c r="D92" s="108"/>
      <c r="E92" s="110"/>
      <c r="F92" s="110"/>
      <c r="G92" s="111"/>
      <c r="H92" s="111"/>
      <c r="I92" s="111"/>
      <c r="J92" s="111"/>
      <c r="K92" s="111"/>
    </row>
  </sheetData>
  <mergeCells count="3">
    <mergeCell ref="G7:H7"/>
    <mergeCell ref="I7:J7"/>
    <mergeCell ref="A8:B8"/>
  </mergeCells>
  <printOptions horizontalCentered="1"/>
  <pageMargins left="0.25" right="0.25" top="0.75" bottom="0.5" header="0.32" footer="0.25"/>
  <pageSetup paperSize="9" scale="76" orientation="landscape" r:id="rId1"/>
  <headerFooter scaleWithDoc="0" alignWithMargins="0">
    <oddFooter>&amp;L&amp;8SEM Engineers&amp;R&amp;8Page &amp;P of  &amp;N</oddFooter>
  </headerFooter>
  <rowBreaks count="3" manualBreakCount="3">
    <brk id="49" max="10" man="1"/>
    <brk id="61" max="10" man="1"/>
    <brk id="75"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0"/>
  <sheetViews>
    <sheetView topLeftCell="A60" workbookViewId="0">
      <selection activeCell="G72" sqref="G72"/>
    </sheetView>
  </sheetViews>
  <sheetFormatPr defaultColWidth="10.28515625" defaultRowHeight="15" x14ac:dyDescent="0.25"/>
  <cols>
    <col min="1" max="1" width="5" style="47" customWidth="1"/>
    <col min="2" max="2" width="6.7109375" style="220" customWidth="1"/>
    <col min="3" max="3" width="63.7109375" style="170" customWidth="1"/>
    <col min="4" max="4" width="7.5703125" style="47" customWidth="1"/>
    <col min="5" max="5" width="9.5703125" style="221" customWidth="1"/>
    <col min="6" max="6" width="14.42578125" style="218" customWidth="1"/>
    <col min="7" max="7" width="17.28515625" style="218" customWidth="1"/>
    <col min="8" max="8" width="14.42578125" style="218" customWidth="1"/>
    <col min="9" max="9" width="16.7109375" style="218" customWidth="1"/>
    <col min="10" max="10" width="21.28515625" style="218" customWidth="1"/>
    <col min="11" max="16384" width="10.28515625" style="222"/>
  </cols>
  <sheetData>
    <row r="1" spans="1:10" s="208" customFormat="1" ht="18" customHeight="1" x14ac:dyDescent="0.2">
      <c r="A1" s="202" t="s">
        <v>0</v>
      </c>
      <c r="B1" s="203"/>
      <c r="C1" s="204"/>
      <c r="D1" s="205"/>
      <c r="E1" s="206"/>
      <c r="F1" s="207"/>
      <c r="G1" s="207"/>
      <c r="H1" s="207"/>
      <c r="I1" s="207"/>
      <c r="J1" s="207"/>
    </row>
    <row r="2" spans="1:10" s="208" customFormat="1" ht="18" customHeight="1" x14ac:dyDescent="0.2">
      <c r="A2" s="209" t="s">
        <v>170</v>
      </c>
      <c r="B2" s="203"/>
      <c r="C2" s="204"/>
      <c r="D2" s="205"/>
      <c r="E2" s="206"/>
      <c r="F2" s="210"/>
      <c r="G2" s="210"/>
      <c r="H2" s="210"/>
      <c r="I2" s="210"/>
      <c r="J2" s="211"/>
    </row>
    <row r="3" spans="1:10" s="212" customFormat="1" ht="10.5" customHeight="1" x14ac:dyDescent="0.2">
      <c r="A3" s="202"/>
      <c r="B3" s="203"/>
      <c r="C3" s="204"/>
      <c r="D3" s="205"/>
      <c r="E3" s="206"/>
      <c r="F3" s="210"/>
      <c r="G3" s="210"/>
      <c r="H3" s="210"/>
      <c r="I3" s="210"/>
      <c r="J3" s="210"/>
    </row>
    <row r="4" spans="1:10" s="212" customFormat="1" ht="18" customHeight="1" x14ac:dyDescent="0.2">
      <c r="A4" s="202" t="s">
        <v>24</v>
      </c>
      <c r="B4" s="203"/>
      <c r="C4" s="213"/>
      <c r="D4" s="205"/>
      <c r="E4" s="206"/>
      <c r="F4" s="210"/>
      <c r="G4" s="210"/>
      <c r="H4" s="210"/>
      <c r="I4" s="210"/>
      <c r="J4" s="214" t="s">
        <v>171</v>
      </c>
    </row>
    <row r="5" spans="1:10" s="212" customFormat="1" ht="18" customHeight="1" x14ac:dyDescent="0.2">
      <c r="A5" s="209" t="s">
        <v>26</v>
      </c>
      <c r="B5" s="203"/>
      <c r="C5" s="213"/>
      <c r="D5" s="205"/>
      <c r="E5" s="206"/>
      <c r="F5" s="210"/>
      <c r="G5" s="210"/>
      <c r="H5" s="210"/>
      <c r="I5" s="210"/>
      <c r="J5" s="214" t="s">
        <v>172</v>
      </c>
    </row>
    <row r="6" spans="1:10" s="212" customFormat="1" ht="5.25" customHeight="1" x14ac:dyDescent="0.2">
      <c r="A6" s="202"/>
      <c r="B6" s="203"/>
      <c r="C6" s="213"/>
      <c r="D6" s="205"/>
      <c r="E6" s="206"/>
      <c r="F6" s="210"/>
      <c r="G6" s="210"/>
      <c r="H6" s="210"/>
      <c r="I6" s="210"/>
      <c r="J6" s="214"/>
    </row>
    <row r="7" spans="1:10" s="238" customFormat="1" ht="15" customHeight="1" x14ac:dyDescent="0.25">
      <c r="A7" s="232" t="s">
        <v>31</v>
      </c>
      <c r="B7" s="233"/>
      <c r="C7" s="234" t="s">
        <v>2</v>
      </c>
      <c r="D7" s="234" t="s">
        <v>21</v>
      </c>
      <c r="E7" s="235" t="s">
        <v>20</v>
      </c>
      <c r="F7" s="236" t="s">
        <v>28</v>
      </c>
      <c r="G7" s="236"/>
      <c r="H7" s="236" t="s">
        <v>29</v>
      </c>
      <c r="I7" s="236"/>
      <c r="J7" s="237" t="s">
        <v>30</v>
      </c>
    </row>
    <row r="8" spans="1:10" s="244" customFormat="1" ht="15" customHeight="1" x14ac:dyDescent="0.25">
      <c r="A8" s="239"/>
      <c r="B8" s="240"/>
      <c r="C8" s="241"/>
      <c r="D8" s="241"/>
      <c r="E8" s="242"/>
      <c r="F8" s="243" t="s">
        <v>32</v>
      </c>
      <c r="G8" s="243" t="s">
        <v>9</v>
      </c>
      <c r="H8" s="243" t="s">
        <v>32</v>
      </c>
      <c r="I8" s="243" t="s">
        <v>9</v>
      </c>
      <c r="J8" s="243" t="s">
        <v>33</v>
      </c>
    </row>
    <row r="9" spans="1:10" s="244" customFormat="1" x14ac:dyDescent="0.25">
      <c r="A9" s="245"/>
      <c r="B9" s="245"/>
      <c r="C9" s="245"/>
      <c r="D9" s="245"/>
      <c r="E9" s="246"/>
      <c r="F9" s="243"/>
      <c r="G9" s="243"/>
      <c r="H9" s="243"/>
      <c r="I9" s="243"/>
      <c r="J9" s="243"/>
    </row>
    <row r="10" spans="1:10" s="248" customFormat="1" ht="38.25" x14ac:dyDescent="0.2">
      <c r="A10" s="223"/>
      <c r="B10" s="224"/>
      <c r="C10" s="247" t="s">
        <v>34</v>
      </c>
      <c r="D10" s="223"/>
      <c r="E10" s="225"/>
      <c r="F10" s="226"/>
      <c r="G10" s="226"/>
      <c r="H10" s="226"/>
      <c r="I10" s="226"/>
      <c r="J10" s="226"/>
    </row>
    <row r="11" spans="1:10" s="248" customFormat="1" ht="102" x14ac:dyDescent="0.2">
      <c r="A11" s="223">
        <v>1</v>
      </c>
      <c r="B11" s="224"/>
      <c r="C11" s="247" t="s">
        <v>166</v>
      </c>
      <c r="D11" s="223"/>
      <c r="E11" s="225"/>
      <c r="F11" s="225"/>
      <c r="G11" s="226"/>
      <c r="H11" s="226"/>
      <c r="I11" s="226"/>
      <c r="J11" s="226"/>
    </row>
    <row r="12" spans="1:10" s="248" customFormat="1" ht="15.75" x14ac:dyDescent="0.25">
      <c r="A12" s="249"/>
      <c r="B12" s="224">
        <f>A11+0.1</f>
        <v>1.1000000000000001</v>
      </c>
      <c r="C12" s="250" t="s">
        <v>35</v>
      </c>
      <c r="D12" s="223" t="str">
        <f>IF(C12="","",IF(E12="","",IF(E12&gt;1,"Nos.","No.")))</f>
        <v>No.</v>
      </c>
      <c r="E12" s="225">
        <v>1</v>
      </c>
      <c r="F12" s="251">
        <v>0</v>
      </c>
      <c r="G12" s="251">
        <f>F12*E12</f>
        <v>0</v>
      </c>
      <c r="H12" s="251">
        <v>12000</v>
      </c>
      <c r="I12" s="251">
        <f>H12*E12</f>
        <v>12000</v>
      </c>
      <c r="J12" s="251">
        <f t="shared" ref="J12" si="0">I12+G12</f>
        <v>12000</v>
      </c>
    </row>
    <row r="13" spans="1:10" s="248" customFormat="1" ht="15.75" x14ac:dyDescent="0.25">
      <c r="A13" s="249"/>
      <c r="B13" s="224">
        <f>B12+0.1</f>
        <v>1.2000000000000002</v>
      </c>
      <c r="C13" s="250" t="s">
        <v>167</v>
      </c>
      <c r="D13" s="223" t="str">
        <f>IF(C13="","",IF(E13="","",IF(E13&gt;1,"Nos.","No.")))</f>
        <v>No.</v>
      </c>
      <c r="E13" s="225">
        <v>1</v>
      </c>
      <c r="F13" s="251">
        <v>0</v>
      </c>
      <c r="G13" s="251">
        <f>F13*E13</f>
        <v>0</v>
      </c>
      <c r="H13" s="251">
        <v>12000</v>
      </c>
      <c r="I13" s="251">
        <f>H13*E13</f>
        <v>12000</v>
      </c>
      <c r="J13" s="251">
        <f t="shared" ref="J13" si="1">I13+G13</f>
        <v>12000</v>
      </c>
    </row>
    <row r="14" spans="1:10" s="256" customFormat="1" ht="63.75" x14ac:dyDescent="0.2">
      <c r="A14" s="252">
        <f>A11+1</f>
        <v>2</v>
      </c>
      <c r="B14" s="253"/>
      <c r="C14" s="254" t="s">
        <v>173</v>
      </c>
      <c r="D14" s="255"/>
      <c r="E14" s="225"/>
      <c r="F14" s="226"/>
      <c r="G14" s="226"/>
      <c r="H14" s="226"/>
      <c r="I14" s="226"/>
      <c r="J14" s="226"/>
    </row>
    <row r="15" spans="1:10" s="256" customFormat="1" ht="12.75" x14ac:dyDescent="0.2">
      <c r="A15" s="252"/>
      <c r="B15" s="253">
        <f>A14+0.1</f>
        <v>2.1</v>
      </c>
      <c r="C15" s="257" t="s">
        <v>38</v>
      </c>
      <c r="D15" s="223" t="str">
        <f>IF(C15="","",IF(E15="","",IF(E15&gt;1,"Nos.","No.")))</f>
        <v>No.</v>
      </c>
      <c r="E15" s="225">
        <v>1</v>
      </c>
      <c r="F15" s="230"/>
      <c r="G15" s="230"/>
      <c r="H15" s="230"/>
      <c r="I15" s="230"/>
      <c r="J15" s="226"/>
    </row>
    <row r="16" spans="1:10" s="248" customFormat="1" ht="51" x14ac:dyDescent="0.2">
      <c r="A16" s="258">
        <f>A14+1</f>
        <v>3</v>
      </c>
      <c r="B16" s="224"/>
      <c r="C16" s="247" t="s">
        <v>174</v>
      </c>
      <c r="D16" s="223"/>
      <c r="E16" s="225"/>
      <c r="F16" s="226"/>
      <c r="G16" s="226"/>
      <c r="H16" s="226"/>
      <c r="I16" s="226"/>
      <c r="J16" s="226"/>
    </row>
    <row r="17" spans="1:10" s="262" customFormat="1" ht="12.75" x14ac:dyDescent="0.2">
      <c r="A17" s="259"/>
      <c r="B17" s="260" t="s">
        <v>6</v>
      </c>
      <c r="C17" s="261" t="s">
        <v>175</v>
      </c>
      <c r="D17" s="227"/>
      <c r="E17" s="228"/>
      <c r="F17" s="229"/>
      <c r="G17" s="229"/>
      <c r="H17" s="229"/>
      <c r="I17" s="229"/>
      <c r="J17" s="229"/>
    </row>
    <row r="18" spans="1:10" s="248" customFormat="1" ht="12.75" x14ac:dyDescent="0.2">
      <c r="A18" s="223"/>
      <c r="B18" s="224">
        <f>A16+0.1</f>
        <v>3.1</v>
      </c>
      <c r="C18" s="250" t="s">
        <v>84</v>
      </c>
      <c r="D18" s="223"/>
      <c r="E18" s="225"/>
      <c r="F18" s="226"/>
      <c r="G18" s="226"/>
      <c r="H18" s="226"/>
      <c r="I18" s="226"/>
      <c r="J18" s="226"/>
    </row>
    <row r="19" spans="1:10" s="248" customFormat="1" ht="15.75" x14ac:dyDescent="0.25">
      <c r="A19" s="223"/>
      <c r="B19" s="224" t="s">
        <v>85</v>
      </c>
      <c r="C19" s="250" t="s">
        <v>86</v>
      </c>
      <c r="D19" s="223" t="str">
        <f>IF(C19="","",IF(E19="","",IF(E19&gt;1,"Nos.","No.")))</f>
        <v>Nos.</v>
      </c>
      <c r="E19" s="225">
        <f>E12*4</f>
        <v>4</v>
      </c>
      <c r="F19" s="251">
        <v>4700</v>
      </c>
      <c r="G19" s="251">
        <f>F19*E19</f>
        <v>18800</v>
      </c>
      <c r="H19" s="251">
        <v>1000</v>
      </c>
      <c r="I19" s="251">
        <f>H19*E19</f>
        <v>4000</v>
      </c>
      <c r="J19" s="251">
        <f t="shared" ref="J19" si="2">I19+G19</f>
        <v>22800</v>
      </c>
    </row>
    <row r="20" spans="1:10" s="248" customFormat="1" ht="12.75" x14ac:dyDescent="0.2">
      <c r="A20" s="223"/>
      <c r="B20" s="224">
        <f>B18+0.1</f>
        <v>3.2</v>
      </c>
      <c r="C20" s="250" t="s">
        <v>87</v>
      </c>
      <c r="D20" s="223"/>
      <c r="E20" s="225"/>
      <c r="F20" s="226"/>
      <c r="G20" s="226"/>
      <c r="H20" s="226"/>
      <c r="I20" s="226"/>
      <c r="J20" s="226"/>
    </row>
    <row r="21" spans="1:10" s="248" customFormat="1" ht="15.75" x14ac:dyDescent="0.25">
      <c r="A21" s="223"/>
      <c r="B21" s="224" t="s">
        <v>85</v>
      </c>
      <c r="C21" s="250" t="str">
        <f>C19</f>
        <v xml:space="preserve">25mm dia </v>
      </c>
      <c r="D21" s="223" t="str">
        <f>IF(C21="","",IF(E21="","",IF(E21&gt;1,"Nos.","No.")))</f>
        <v>No.</v>
      </c>
      <c r="E21" s="225">
        <f>E19/4</f>
        <v>1</v>
      </c>
      <c r="F21" s="251">
        <v>3500</v>
      </c>
      <c r="G21" s="251">
        <f>F21*E21</f>
        <v>3500</v>
      </c>
      <c r="H21" s="251">
        <v>1000</v>
      </c>
      <c r="I21" s="251">
        <f>H21*E21</f>
        <v>1000</v>
      </c>
      <c r="J21" s="251">
        <f t="shared" ref="J21" si="3">I21+G21</f>
        <v>4500</v>
      </c>
    </row>
    <row r="22" spans="1:10" s="248" customFormat="1" ht="12.75" x14ac:dyDescent="0.2">
      <c r="A22" s="223"/>
      <c r="B22" s="224">
        <f>B20+0.1</f>
        <v>3.3000000000000003</v>
      </c>
      <c r="C22" s="250" t="s">
        <v>88</v>
      </c>
      <c r="D22" s="223"/>
      <c r="E22" s="225"/>
      <c r="F22" s="226"/>
      <c r="G22" s="226"/>
      <c r="H22" s="226"/>
      <c r="I22" s="226"/>
      <c r="J22" s="226"/>
    </row>
    <row r="23" spans="1:10" s="248" customFormat="1" ht="15.75" x14ac:dyDescent="0.25">
      <c r="A23" s="223"/>
      <c r="B23" s="224" t="s">
        <v>85</v>
      </c>
      <c r="C23" s="250" t="str">
        <f>C21</f>
        <v xml:space="preserve">25mm dia </v>
      </c>
      <c r="D23" s="223" t="str">
        <f>IF(C23="","",IF(E23="","",IF(E23&gt;1,"Nos.","No.")))</f>
        <v>No.</v>
      </c>
      <c r="E23" s="225">
        <f>E21</f>
        <v>1</v>
      </c>
      <c r="F23" s="251">
        <v>8700</v>
      </c>
      <c r="G23" s="251">
        <f>F23*E23</f>
        <v>8700</v>
      </c>
      <c r="H23" s="251">
        <v>1000</v>
      </c>
      <c r="I23" s="251">
        <f>H23*E23</f>
        <v>1000</v>
      </c>
      <c r="J23" s="251">
        <f t="shared" ref="J23:J24" si="4">I23+G23</f>
        <v>9700</v>
      </c>
    </row>
    <row r="24" spans="1:10" s="248" customFormat="1" ht="15.75" x14ac:dyDescent="0.25">
      <c r="A24" s="227"/>
      <c r="B24" s="224">
        <f>B22+0.1</f>
        <v>3.4000000000000004</v>
      </c>
      <c r="C24" s="263" t="s">
        <v>176</v>
      </c>
      <c r="D24" s="223" t="str">
        <f>IF(C24="","",IF(E24="","",IF(E24&gt;1,"Nos.","No.")))</f>
        <v>Nos.</v>
      </c>
      <c r="E24" s="225">
        <f>SUM(E23)*2</f>
        <v>2</v>
      </c>
      <c r="F24" s="251">
        <v>6500</v>
      </c>
      <c r="G24" s="251">
        <f>F24*E24</f>
        <v>13000</v>
      </c>
      <c r="H24" s="251">
        <v>1000</v>
      </c>
      <c r="I24" s="251">
        <f>H24*E24</f>
        <v>2000</v>
      </c>
      <c r="J24" s="251">
        <f t="shared" si="4"/>
        <v>15000</v>
      </c>
    </row>
    <row r="25" spans="1:10" s="248" customFormat="1" ht="26.25" x14ac:dyDescent="0.25">
      <c r="A25" s="227"/>
      <c r="B25" s="224">
        <f>B24+0.1</f>
        <v>3.5000000000000004</v>
      </c>
      <c r="C25" s="263" t="s">
        <v>177</v>
      </c>
      <c r="D25" s="223" t="str">
        <f>IF(C25="","",IF(E25="","",IF(E25&gt;1,"Nos.","No.")))</f>
        <v>Nos.</v>
      </c>
      <c r="E25" s="225">
        <f>E24</f>
        <v>2</v>
      </c>
      <c r="F25" s="251">
        <v>7700</v>
      </c>
      <c r="G25" s="251">
        <f>F25*E25</f>
        <v>15400</v>
      </c>
      <c r="H25" s="251">
        <v>1000</v>
      </c>
      <c r="I25" s="251">
        <f>H25*E25</f>
        <v>2000</v>
      </c>
      <c r="J25" s="251">
        <f t="shared" ref="J25" si="5">I25+G25</f>
        <v>17400</v>
      </c>
    </row>
    <row r="26" spans="1:10" s="248" customFormat="1" ht="12.75" x14ac:dyDescent="0.2">
      <c r="A26" s="227"/>
      <c r="B26" s="224">
        <f>B25+0.1</f>
        <v>3.6000000000000005</v>
      </c>
      <c r="C26" s="250" t="s">
        <v>91</v>
      </c>
      <c r="D26" s="227"/>
      <c r="E26" s="225"/>
      <c r="F26" s="226"/>
      <c r="G26" s="226"/>
      <c r="H26" s="226"/>
      <c r="I26" s="226"/>
      <c r="J26" s="226"/>
    </row>
    <row r="27" spans="1:10" s="248" customFormat="1" ht="15.75" x14ac:dyDescent="0.25">
      <c r="A27" s="223"/>
      <c r="B27" s="224" t="s">
        <v>85</v>
      </c>
      <c r="C27" s="250" t="s">
        <v>86</v>
      </c>
      <c r="D27" s="223" t="str">
        <f>IF(C27="","",IF(E27="","",IF(E27&gt;1,"Nos.","No.")))</f>
        <v>No.</v>
      </c>
      <c r="E27" s="225">
        <f>E23</f>
        <v>1</v>
      </c>
      <c r="F27" s="251">
        <v>38000</v>
      </c>
      <c r="G27" s="251">
        <f t="shared" ref="G27:G29" si="6">F27*E27</f>
        <v>38000</v>
      </c>
      <c r="H27" s="251">
        <v>3000</v>
      </c>
      <c r="I27" s="251">
        <f t="shared" ref="I27:I29" si="7">H27*E27</f>
        <v>3000</v>
      </c>
      <c r="J27" s="251">
        <f t="shared" ref="J27:J29" si="8">I27+G27</f>
        <v>41000</v>
      </c>
    </row>
    <row r="28" spans="1:10" s="248" customFormat="1" ht="26.25" x14ac:dyDescent="0.25">
      <c r="A28" s="227"/>
      <c r="B28" s="224">
        <f>B26+0.1</f>
        <v>3.7000000000000006</v>
      </c>
      <c r="C28" s="264" t="s">
        <v>178</v>
      </c>
      <c r="D28" s="223" t="str">
        <f>IF(C28="","",IF(E28="","",IF(E28&gt;1,"Nos.","No.")))</f>
        <v>No.</v>
      </c>
      <c r="E28" s="225">
        <f>SUM(E27)</f>
        <v>1</v>
      </c>
      <c r="F28" s="251">
        <v>18500</v>
      </c>
      <c r="G28" s="251">
        <f t="shared" si="6"/>
        <v>18500</v>
      </c>
      <c r="H28" s="251">
        <v>2000</v>
      </c>
      <c r="I28" s="251">
        <f t="shared" si="7"/>
        <v>2000</v>
      </c>
      <c r="J28" s="251">
        <f t="shared" si="8"/>
        <v>20500</v>
      </c>
    </row>
    <row r="29" spans="1:10" s="248" customFormat="1" ht="26.25" x14ac:dyDescent="0.25">
      <c r="A29" s="227"/>
      <c r="B29" s="224">
        <f>B28+0.1</f>
        <v>3.8000000000000007</v>
      </c>
      <c r="C29" s="264" t="s">
        <v>179</v>
      </c>
      <c r="D29" s="223" t="s">
        <v>94</v>
      </c>
      <c r="E29" s="225">
        <f>E28</f>
        <v>1</v>
      </c>
      <c r="F29" s="251">
        <v>5000</v>
      </c>
      <c r="G29" s="251">
        <f t="shared" si="6"/>
        <v>5000</v>
      </c>
      <c r="H29" s="251">
        <v>1500</v>
      </c>
      <c r="I29" s="251">
        <f t="shared" si="7"/>
        <v>1500</v>
      </c>
      <c r="J29" s="251">
        <f t="shared" si="8"/>
        <v>6500</v>
      </c>
    </row>
    <row r="30" spans="1:10" s="262" customFormat="1" ht="12.75" x14ac:dyDescent="0.2">
      <c r="A30" s="259"/>
      <c r="B30" s="260" t="s">
        <v>18</v>
      </c>
      <c r="C30" s="261" t="s">
        <v>180</v>
      </c>
      <c r="D30" s="227"/>
      <c r="E30" s="228"/>
      <c r="F30" s="229"/>
      <c r="G30" s="229"/>
      <c r="H30" s="229"/>
      <c r="I30" s="229"/>
      <c r="J30" s="229"/>
    </row>
    <row r="31" spans="1:10" s="248" customFormat="1" ht="12.75" x14ac:dyDescent="0.2">
      <c r="A31" s="223"/>
      <c r="B31" s="265">
        <f>B29+0.1</f>
        <v>3.9000000000000008</v>
      </c>
      <c r="C31" s="250" t="s">
        <v>84</v>
      </c>
      <c r="D31" s="223"/>
      <c r="E31" s="225"/>
      <c r="F31" s="226"/>
      <c r="G31" s="226"/>
      <c r="H31" s="226"/>
      <c r="I31" s="226"/>
      <c r="J31" s="226"/>
    </row>
    <row r="32" spans="1:10" s="248" customFormat="1" ht="15.75" x14ac:dyDescent="0.25">
      <c r="A32" s="223"/>
      <c r="B32" s="224" t="s">
        <v>85</v>
      </c>
      <c r="C32" s="250" t="s">
        <v>86</v>
      </c>
      <c r="D32" s="223" t="str">
        <f>IF(C32="","",IF(E32="","",IF(E32&gt;1,"Nos.","No.")))</f>
        <v>Nos.</v>
      </c>
      <c r="E32" s="225">
        <f>E13*4</f>
        <v>4</v>
      </c>
      <c r="F32" s="251">
        <v>4700</v>
      </c>
      <c r="G32" s="251">
        <f>F32*E32</f>
        <v>18800</v>
      </c>
      <c r="H32" s="251">
        <v>1000</v>
      </c>
      <c r="I32" s="251">
        <f>H32*E32</f>
        <v>4000</v>
      </c>
      <c r="J32" s="251">
        <f t="shared" ref="J32" si="9">I32+G32</f>
        <v>22800</v>
      </c>
    </row>
    <row r="33" spans="1:10" s="248" customFormat="1" ht="12.75" x14ac:dyDescent="0.2">
      <c r="A33" s="223"/>
      <c r="B33" s="266">
        <f>B31-0.8</f>
        <v>3.1000000000000005</v>
      </c>
      <c r="C33" s="250" t="s">
        <v>87</v>
      </c>
      <c r="D33" s="223"/>
      <c r="E33" s="225"/>
      <c r="F33" s="226"/>
      <c r="G33" s="226"/>
      <c r="H33" s="226"/>
      <c r="I33" s="226"/>
      <c r="J33" s="226"/>
    </row>
    <row r="34" spans="1:10" s="248" customFormat="1" ht="15.75" x14ac:dyDescent="0.25">
      <c r="A34" s="223"/>
      <c r="B34" s="224" t="s">
        <v>85</v>
      </c>
      <c r="C34" s="250" t="str">
        <f>C32</f>
        <v xml:space="preserve">25mm dia </v>
      </c>
      <c r="D34" s="223" t="str">
        <f>IF(C34="","",IF(E34="","",IF(E34&gt;1,"Nos.","No.")))</f>
        <v>No.</v>
      </c>
      <c r="E34" s="225">
        <f>E32/4</f>
        <v>1</v>
      </c>
      <c r="F34" s="251">
        <v>3500</v>
      </c>
      <c r="G34" s="251">
        <f>F34*E34</f>
        <v>3500</v>
      </c>
      <c r="H34" s="251">
        <v>1000</v>
      </c>
      <c r="I34" s="251">
        <f>H34*E34</f>
        <v>1000</v>
      </c>
      <c r="J34" s="251">
        <f t="shared" ref="J34" si="10">I34+G34</f>
        <v>4500</v>
      </c>
    </row>
    <row r="35" spans="1:10" s="248" customFormat="1" ht="12.75" x14ac:dyDescent="0.2">
      <c r="A35" s="223"/>
      <c r="B35" s="266">
        <f>B33+0.01</f>
        <v>3.1100000000000003</v>
      </c>
      <c r="C35" s="250" t="s">
        <v>88</v>
      </c>
      <c r="D35" s="223"/>
      <c r="E35" s="225"/>
      <c r="F35" s="226"/>
      <c r="G35" s="226"/>
      <c r="H35" s="226"/>
      <c r="I35" s="226"/>
      <c r="J35" s="226"/>
    </row>
    <row r="36" spans="1:10" s="248" customFormat="1" ht="15.75" x14ac:dyDescent="0.25">
      <c r="A36" s="223"/>
      <c r="B36" s="224" t="s">
        <v>85</v>
      </c>
      <c r="C36" s="250" t="str">
        <f>C34</f>
        <v xml:space="preserve">25mm dia </v>
      </c>
      <c r="D36" s="223" t="str">
        <f>IF(C36="","",IF(E36="","",IF(E36&gt;1,"Nos.","No.")))</f>
        <v>No.</v>
      </c>
      <c r="E36" s="225">
        <f>E34</f>
        <v>1</v>
      </c>
      <c r="F36" s="251">
        <v>8700</v>
      </c>
      <c r="G36" s="251">
        <f>F36*E36</f>
        <v>8700</v>
      </c>
      <c r="H36" s="251">
        <v>1000</v>
      </c>
      <c r="I36" s="251">
        <f>H36*E36</f>
        <v>1000</v>
      </c>
      <c r="J36" s="251">
        <f t="shared" ref="J36" si="11">I36+G36</f>
        <v>9700</v>
      </c>
    </row>
    <row r="37" spans="1:10" s="248" customFormat="1" ht="12.75" x14ac:dyDescent="0.2">
      <c r="A37" s="223"/>
      <c r="B37" s="266">
        <f>B35+0.01</f>
        <v>3.12</v>
      </c>
      <c r="C37" s="250" t="s">
        <v>181</v>
      </c>
      <c r="D37" s="223"/>
      <c r="E37" s="225"/>
      <c r="F37" s="226"/>
      <c r="G37" s="226"/>
      <c r="H37" s="226"/>
      <c r="I37" s="226"/>
      <c r="J37" s="226"/>
    </row>
    <row r="38" spans="1:10" s="248" customFormat="1" ht="15.75" x14ac:dyDescent="0.25">
      <c r="A38" s="223"/>
      <c r="B38" s="224" t="s">
        <v>85</v>
      </c>
      <c r="C38" s="250" t="str">
        <f>C36</f>
        <v xml:space="preserve">25mm dia </v>
      </c>
      <c r="D38" s="223" t="str">
        <f>IF(C38="","",IF(E38="","",IF(E38&gt;1,"Nos.","No.")))</f>
        <v>Nos.</v>
      </c>
      <c r="E38" s="225">
        <f>E36*2</f>
        <v>2</v>
      </c>
      <c r="F38" s="251">
        <v>7500</v>
      </c>
      <c r="G38" s="251">
        <f>F38*E38</f>
        <v>15000</v>
      </c>
      <c r="H38" s="251">
        <v>1000</v>
      </c>
      <c r="I38" s="251">
        <f>H38*E38</f>
        <v>2000</v>
      </c>
      <c r="J38" s="251">
        <f t="shared" ref="J38" si="12">I38+G38</f>
        <v>17000</v>
      </c>
    </row>
    <row r="39" spans="1:10" s="248" customFormat="1" ht="12.75" x14ac:dyDescent="0.2">
      <c r="A39" s="227"/>
      <c r="B39" s="266">
        <f>B37+0.01</f>
        <v>3.13</v>
      </c>
      <c r="C39" s="250" t="s">
        <v>91</v>
      </c>
      <c r="D39" s="227"/>
      <c r="E39" s="225"/>
      <c r="F39" s="226"/>
      <c r="G39" s="226"/>
      <c r="H39" s="226"/>
      <c r="I39" s="226"/>
      <c r="J39" s="226"/>
    </row>
    <row r="40" spans="1:10" s="248" customFormat="1" ht="15.75" x14ac:dyDescent="0.25">
      <c r="A40" s="223"/>
      <c r="B40" s="224" t="s">
        <v>85</v>
      </c>
      <c r="C40" s="250" t="s">
        <v>86</v>
      </c>
      <c r="D40" s="223" t="str">
        <f>IF(C40="","",IF(E40="","",IF(E40&gt;1,"Nos.","No.")))</f>
        <v>No.</v>
      </c>
      <c r="E40" s="225">
        <f>E36</f>
        <v>1</v>
      </c>
      <c r="F40" s="251">
        <v>38000</v>
      </c>
      <c r="G40" s="251">
        <f t="shared" ref="G40:G43" si="13">F40*E40</f>
        <v>38000</v>
      </c>
      <c r="H40" s="251">
        <v>1000</v>
      </c>
      <c r="I40" s="251">
        <f t="shared" ref="I40:I43" si="14">H40*E40</f>
        <v>1000</v>
      </c>
      <c r="J40" s="251">
        <f t="shared" ref="J40:J43" si="15">I40+G40</f>
        <v>39000</v>
      </c>
    </row>
    <row r="41" spans="1:10" s="248" customFormat="1" ht="15.75" x14ac:dyDescent="0.25">
      <c r="A41" s="227"/>
      <c r="B41" s="266">
        <f>B39+0.01</f>
        <v>3.1399999999999997</v>
      </c>
      <c r="C41" s="263" t="s">
        <v>182</v>
      </c>
      <c r="D41" s="223" t="str">
        <f>IF(C41="","",IF(E41="","",IF(E41&gt;1,"Nos.","No.")))</f>
        <v>No.</v>
      </c>
      <c r="E41" s="225">
        <f>SUM(E40)</f>
        <v>1</v>
      </c>
      <c r="F41" s="251">
        <v>12000</v>
      </c>
      <c r="G41" s="251">
        <f t="shared" si="13"/>
        <v>12000</v>
      </c>
      <c r="H41" s="251">
        <v>3000</v>
      </c>
      <c r="I41" s="251">
        <f t="shared" si="14"/>
        <v>3000</v>
      </c>
      <c r="J41" s="251">
        <f t="shared" si="15"/>
        <v>15000</v>
      </c>
    </row>
    <row r="42" spans="1:10" s="248" customFormat="1" ht="26.25" x14ac:dyDescent="0.25">
      <c r="A42" s="227"/>
      <c r="B42" s="266">
        <f>B41+0.01</f>
        <v>3.1499999999999995</v>
      </c>
      <c r="C42" s="264" t="s">
        <v>178</v>
      </c>
      <c r="D42" s="223" t="s">
        <v>183</v>
      </c>
      <c r="E42" s="225">
        <f>SUM(E41)</f>
        <v>1</v>
      </c>
      <c r="F42" s="251">
        <v>18500</v>
      </c>
      <c r="G42" s="251">
        <f t="shared" si="13"/>
        <v>18500</v>
      </c>
      <c r="H42" s="251">
        <v>2000</v>
      </c>
      <c r="I42" s="251">
        <f t="shared" si="14"/>
        <v>2000</v>
      </c>
      <c r="J42" s="251">
        <f t="shared" si="15"/>
        <v>20500</v>
      </c>
    </row>
    <row r="43" spans="1:10" s="248" customFormat="1" ht="26.25" x14ac:dyDescent="0.25">
      <c r="A43" s="227"/>
      <c r="B43" s="266">
        <f>B42+0.01</f>
        <v>3.1599999999999993</v>
      </c>
      <c r="C43" s="264" t="s">
        <v>179</v>
      </c>
      <c r="D43" s="223" t="s">
        <v>94</v>
      </c>
      <c r="E43" s="225">
        <f>E41</f>
        <v>1</v>
      </c>
      <c r="F43" s="251">
        <v>5000</v>
      </c>
      <c r="G43" s="251">
        <f t="shared" si="13"/>
        <v>5000</v>
      </c>
      <c r="H43" s="251">
        <v>1500</v>
      </c>
      <c r="I43" s="251">
        <f t="shared" si="14"/>
        <v>1500</v>
      </c>
      <c r="J43" s="251">
        <f t="shared" si="15"/>
        <v>6500</v>
      </c>
    </row>
    <row r="44" spans="1:10" s="248" customFormat="1" ht="89.25" x14ac:dyDescent="0.2">
      <c r="A44" s="267">
        <f>A16+1</f>
        <v>4</v>
      </c>
      <c r="B44" s="268"/>
      <c r="C44" s="247" t="s">
        <v>95</v>
      </c>
      <c r="D44" s="223"/>
      <c r="E44" s="225"/>
      <c r="F44" s="226"/>
      <c r="G44" s="226"/>
      <c r="H44" s="226"/>
      <c r="I44" s="226"/>
      <c r="J44" s="226"/>
    </row>
    <row r="45" spans="1:10" s="271" customFormat="1" ht="15.75" x14ac:dyDescent="0.25">
      <c r="A45" s="269"/>
      <c r="B45" s="270">
        <f>A44+0.1</f>
        <v>4.0999999999999996</v>
      </c>
      <c r="C45" s="250" t="s">
        <v>96</v>
      </c>
      <c r="D45" s="223" t="s">
        <v>183</v>
      </c>
      <c r="E45" s="225">
        <v>1</v>
      </c>
      <c r="F45" s="251">
        <v>60000</v>
      </c>
      <c r="G45" s="251">
        <f>F45*E45</f>
        <v>60000</v>
      </c>
      <c r="H45" s="251">
        <v>15000</v>
      </c>
      <c r="I45" s="251">
        <f>H45*E45</f>
        <v>15000</v>
      </c>
      <c r="J45" s="251">
        <f t="shared" ref="J45" si="16">I45+G45</f>
        <v>75000</v>
      </c>
    </row>
    <row r="46" spans="1:10" s="248" customFormat="1" ht="66" x14ac:dyDescent="0.2">
      <c r="A46" s="272">
        <f>A44+1</f>
        <v>5</v>
      </c>
      <c r="B46" s="268"/>
      <c r="C46" s="247" t="s">
        <v>197</v>
      </c>
      <c r="D46" s="223"/>
      <c r="E46" s="225"/>
      <c r="F46" s="226"/>
      <c r="G46" s="226"/>
      <c r="H46" s="226"/>
      <c r="I46" s="226"/>
      <c r="J46" s="226"/>
    </row>
    <row r="47" spans="1:10" s="271" customFormat="1" ht="12.75" x14ac:dyDescent="0.2">
      <c r="A47" s="269"/>
      <c r="B47" s="273"/>
      <c r="C47" s="250" t="s">
        <v>184</v>
      </c>
      <c r="D47" s="223"/>
      <c r="E47" s="274"/>
      <c r="F47" s="230"/>
      <c r="G47" s="230"/>
      <c r="H47" s="230"/>
      <c r="I47" s="230"/>
      <c r="J47" s="226"/>
    </row>
    <row r="48" spans="1:10" s="248" customFormat="1" ht="15.75" x14ac:dyDescent="0.25">
      <c r="A48" s="223"/>
      <c r="B48" s="273">
        <f>A46+0.1</f>
        <v>5.0999999999999996</v>
      </c>
      <c r="C48" s="250" t="str">
        <f>C45</f>
        <v>25mm dia</v>
      </c>
      <c r="D48" s="223" t="s">
        <v>183</v>
      </c>
      <c r="E48" s="225">
        <v>1</v>
      </c>
      <c r="F48" s="251">
        <v>77000</v>
      </c>
      <c r="G48" s="251">
        <f>F48*E48</f>
        <v>77000</v>
      </c>
      <c r="H48" s="251">
        <v>17000</v>
      </c>
      <c r="I48" s="251">
        <f>H48*E48</f>
        <v>17000</v>
      </c>
      <c r="J48" s="251">
        <f t="shared" ref="J48:J51" si="17">I48+G48</f>
        <v>94000</v>
      </c>
    </row>
    <row r="49" spans="1:11" s="256" customFormat="1" ht="77.25" x14ac:dyDescent="0.25">
      <c r="A49" s="255">
        <f>A46+1</f>
        <v>6</v>
      </c>
      <c r="B49" s="275"/>
      <c r="C49" s="263" t="s">
        <v>185</v>
      </c>
      <c r="D49" s="223" t="s">
        <v>103</v>
      </c>
      <c r="E49" s="225">
        <v>35</v>
      </c>
      <c r="F49" s="251">
        <v>3500</v>
      </c>
      <c r="G49" s="251">
        <f t="shared" ref="G49:G51" si="18">F49*E49</f>
        <v>122500</v>
      </c>
      <c r="H49" s="251">
        <v>920</v>
      </c>
      <c r="I49" s="251">
        <f t="shared" ref="I49:I51" si="19">H49*E49</f>
        <v>32200</v>
      </c>
      <c r="J49" s="251">
        <f t="shared" si="17"/>
        <v>154700</v>
      </c>
    </row>
    <row r="50" spans="1:11" s="256" customFormat="1" ht="39" x14ac:dyDescent="0.25">
      <c r="A50" s="255">
        <f t="shared" ref="A50" si="20">A49+1</f>
        <v>7</v>
      </c>
      <c r="B50" s="275"/>
      <c r="C50" s="263" t="s">
        <v>186</v>
      </c>
      <c r="D50" s="223" t="s">
        <v>103</v>
      </c>
      <c r="E50" s="225">
        <v>35</v>
      </c>
      <c r="F50" s="251">
        <v>3000</v>
      </c>
      <c r="G50" s="251">
        <f t="shared" si="18"/>
        <v>105000</v>
      </c>
      <c r="H50" s="251">
        <v>650</v>
      </c>
      <c r="I50" s="251">
        <f t="shared" si="19"/>
        <v>22750</v>
      </c>
      <c r="J50" s="251">
        <f t="shared" si="17"/>
        <v>127750</v>
      </c>
    </row>
    <row r="51" spans="1:11" s="256" customFormat="1" ht="39" x14ac:dyDescent="0.25">
      <c r="A51" s="255">
        <f>A50+1</f>
        <v>8</v>
      </c>
      <c r="B51" s="275"/>
      <c r="C51" s="263" t="s">
        <v>187</v>
      </c>
      <c r="D51" s="223" t="s">
        <v>103</v>
      </c>
      <c r="E51" s="225">
        <v>12</v>
      </c>
      <c r="F51" s="251">
        <v>2500</v>
      </c>
      <c r="G51" s="251">
        <f t="shared" si="18"/>
        <v>30000</v>
      </c>
      <c r="H51" s="251">
        <v>600</v>
      </c>
      <c r="I51" s="251">
        <f t="shared" si="19"/>
        <v>7200</v>
      </c>
      <c r="J51" s="251">
        <f t="shared" si="17"/>
        <v>37200</v>
      </c>
    </row>
    <row r="52" spans="1:11" s="256" customFormat="1" ht="63.75" x14ac:dyDescent="0.2">
      <c r="A52" s="276">
        <f>A51+1</f>
        <v>9</v>
      </c>
      <c r="B52" s="277"/>
      <c r="C52" s="278" t="s">
        <v>106</v>
      </c>
      <c r="D52" s="223"/>
      <c r="E52" s="225"/>
      <c r="F52" s="230"/>
      <c r="G52" s="230"/>
      <c r="H52" s="230"/>
      <c r="I52" s="230"/>
      <c r="J52" s="226"/>
    </row>
    <row r="53" spans="1:11" s="256" customFormat="1" ht="12.75" x14ac:dyDescent="0.2">
      <c r="A53" s="223"/>
      <c r="B53" s="253">
        <f>A52+0.1</f>
        <v>9.1</v>
      </c>
      <c r="C53" s="257" t="s">
        <v>188</v>
      </c>
      <c r="D53" s="255"/>
      <c r="E53" s="225"/>
      <c r="F53" s="230"/>
      <c r="G53" s="230"/>
      <c r="H53" s="230"/>
      <c r="I53" s="230"/>
      <c r="J53" s="226"/>
    </row>
    <row r="54" spans="1:11" s="256" customFormat="1" ht="15.75" x14ac:dyDescent="0.25">
      <c r="A54" s="223"/>
      <c r="B54" s="224" t="s">
        <v>85</v>
      </c>
      <c r="C54" s="257" t="s">
        <v>189</v>
      </c>
      <c r="D54" s="255" t="s">
        <v>97</v>
      </c>
      <c r="E54" s="225">
        <v>5</v>
      </c>
      <c r="F54" s="251">
        <v>3000</v>
      </c>
      <c r="G54" s="251">
        <f t="shared" ref="G54" si="21">F54*E54</f>
        <v>15000</v>
      </c>
      <c r="H54" s="251">
        <v>280</v>
      </c>
      <c r="I54" s="251">
        <f t="shared" ref="I54" si="22">H54*E54</f>
        <v>1400</v>
      </c>
      <c r="J54" s="251">
        <f t="shared" ref="J54" si="23">I54+G54</f>
        <v>16400</v>
      </c>
    </row>
    <row r="55" spans="1:11" s="256" customFormat="1" ht="12.75" x14ac:dyDescent="0.2">
      <c r="A55" s="223"/>
      <c r="B55" s="253">
        <f>B53+0.1</f>
        <v>9.1999999999999993</v>
      </c>
      <c r="C55" s="257" t="s">
        <v>190</v>
      </c>
      <c r="D55" s="255"/>
      <c r="E55" s="225"/>
      <c r="F55" s="230"/>
      <c r="G55" s="230"/>
      <c r="H55" s="230"/>
      <c r="I55" s="230"/>
      <c r="J55" s="226"/>
    </row>
    <row r="56" spans="1:11" s="256" customFormat="1" ht="15.75" x14ac:dyDescent="0.25">
      <c r="A56" s="223"/>
      <c r="B56" s="224" t="s">
        <v>85</v>
      </c>
      <c r="C56" s="257" t="s">
        <v>191</v>
      </c>
      <c r="D56" s="255" t="s">
        <v>17</v>
      </c>
      <c r="E56" s="225">
        <v>2</v>
      </c>
      <c r="F56" s="251">
        <v>5500</v>
      </c>
      <c r="G56" s="251">
        <f t="shared" ref="G56" si="24">F56*E56</f>
        <v>11000</v>
      </c>
      <c r="H56" s="251">
        <v>1000</v>
      </c>
      <c r="I56" s="251">
        <f t="shared" ref="I56" si="25">H56*E56</f>
        <v>2000</v>
      </c>
      <c r="J56" s="251">
        <f t="shared" ref="J56" si="26">I56+G56</f>
        <v>13000</v>
      </c>
    </row>
    <row r="57" spans="1:11" s="256" customFormat="1" ht="51" x14ac:dyDescent="0.2">
      <c r="A57" s="252">
        <f>A52+1</f>
        <v>10</v>
      </c>
      <c r="B57" s="253"/>
      <c r="C57" s="279" t="s">
        <v>192</v>
      </c>
      <c r="D57" s="255"/>
      <c r="E57" s="225"/>
      <c r="F57" s="226"/>
      <c r="G57" s="226"/>
      <c r="H57" s="226"/>
      <c r="I57" s="226"/>
      <c r="J57" s="226"/>
    </row>
    <row r="58" spans="1:11" s="256" customFormat="1" ht="15.75" x14ac:dyDescent="0.25">
      <c r="A58" s="252"/>
      <c r="B58" s="253">
        <f>A57+0.1</f>
        <v>10.1</v>
      </c>
      <c r="C58" s="257" t="s">
        <v>193</v>
      </c>
      <c r="D58" s="255" t="s">
        <v>17</v>
      </c>
      <c r="E58" s="225">
        <v>4</v>
      </c>
      <c r="F58" s="251">
        <v>4800</v>
      </c>
      <c r="G58" s="251">
        <f t="shared" ref="G58" si="27">F58*E58</f>
        <v>19200</v>
      </c>
      <c r="H58" s="251">
        <v>1000</v>
      </c>
      <c r="I58" s="251">
        <f t="shared" ref="I58" si="28">H58*E58</f>
        <v>4000</v>
      </c>
      <c r="J58" s="251">
        <f t="shared" ref="J58" si="29">I58+G58</f>
        <v>23200</v>
      </c>
    </row>
    <row r="59" spans="1:11" s="256" customFormat="1" ht="38.25" x14ac:dyDescent="0.2">
      <c r="A59" s="252">
        <f>A57+1</f>
        <v>11</v>
      </c>
      <c r="B59" s="253"/>
      <c r="C59" s="279" t="s">
        <v>194</v>
      </c>
      <c r="D59" s="255"/>
      <c r="E59" s="225"/>
      <c r="F59" s="226"/>
      <c r="G59" s="226"/>
      <c r="H59" s="226"/>
      <c r="I59" s="226"/>
      <c r="J59" s="226"/>
    </row>
    <row r="60" spans="1:11" s="256" customFormat="1" ht="15.75" x14ac:dyDescent="0.25">
      <c r="A60" s="252"/>
      <c r="B60" s="253">
        <f>A59+0.1</f>
        <v>11.1</v>
      </c>
      <c r="C60" s="257" t="s">
        <v>191</v>
      </c>
      <c r="D60" s="255" t="s">
        <v>17</v>
      </c>
      <c r="E60" s="225">
        <v>2</v>
      </c>
      <c r="F60" s="251">
        <v>7000</v>
      </c>
      <c r="G60" s="251">
        <f t="shared" ref="G60" si="30">F60*E60</f>
        <v>14000</v>
      </c>
      <c r="H60" s="251">
        <v>1500</v>
      </c>
      <c r="I60" s="251">
        <f t="shared" ref="I60" si="31">H60*E60</f>
        <v>3000</v>
      </c>
      <c r="J60" s="251">
        <f t="shared" ref="J60" si="32">I60+G60</f>
        <v>17000</v>
      </c>
    </row>
    <row r="61" spans="1:11" s="248" customFormat="1" ht="63.75" x14ac:dyDescent="0.2">
      <c r="A61" s="280">
        <f>A59+1</f>
        <v>12</v>
      </c>
      <c r="B61" s="281"/>
      <c r="C61" s="247" t="s">
        <v>195</v>
      </c>
      <c r="D61" s="223"/>
      <c r="E61" s="225"/>
      <c r="F61" s="226"/>
      <c r="G61" s="226"/>
      <c r="H61" s="226"/>
      <c r="I61" s="226"/>
      <c r="J61" s="226"/>
      <c r="K61" s="282"/>
    </row>
    <row r="62" spans="1:11" s="271" customFormat="1" ht="15.75" x14ac:dyDescent="0.25">
      <c r="A62" s="283"/>
      <c r="B62" s="253">
        <f>A61+0.1</f>
        <v>12.1</v>
      </c>
      <c r="C62" s="284" t="s">
        <v>96</v>
      </c>
      <c r="D62" s="3" t="s">
        <v>183</v>
      </c>
      <c r="E62" s="225">
        <v>1</v>
      </c>
      <c r="F62" s="251">
        <v>38000</v>
      </c>
      <c r="G62" s="251">
        <f t="shared" ref="G62:G64" si="33">F62*E62</f>
        <v>38000</v>
      </c>
      <c r="H62" s="251">
        <v>12000</v>
      </c>
      <c r="I62" s="251">
        <f t="shared" ref="I62:I64" si="34">H62*E62</f>
        <v>12000</v>
      </c>
      <c r="J62" s="251">
        <f t="shared" ref="J62:J64" si="35">I62+G62</f>
        <v>50000</v>
      </c>
    </row>
    <row r="63" spans="1:11" s="248" customFormat="1" ht="51.75" x14ac:dyDescent="0.25">
      <c r="A63" s="285">
        <f>A61+1</f>
        <v>13</v>
      </c>
      <c r="B63" s="286"/>
      <c r="C63" s="247" t="s">
        <v>121</v>
      </c>
      <c r="D63" s="231" t="s">
        <v>94</v>
      </c>
      <c r="E63" s="225">
        <v>1</v>
      </c>
      <c r="F63" s="251">
        <v>25000</v>
      </c>
      <c r="G63" s="251">
        <f t="shared" si="33"/>
        <v>25000</v>
      </c>
      <c r="H63" s="251">
        <v>5000</v>
      </c>
      <c r="I63" s="251">
        <f t="shared" si="34"/>
        <v>5000</v>
      </c>
      <c r="J63" s="251">
        <f t="shared" si="35"/>
        <v>30000</v>
      </c>
    </row>
    <row r="64" spans="1:11" s="248" customFormat="1" ht="51.75" x14ac:dyDescent="0.25">
      <c r="A64" s="285">
        <f>A63+1</f>
        <v>14</v>
      </c>
      <c r="B64" s="286"/>
      <c r="C64" s="263" t="s">
        <v>122</v>
      </c>
      <c r="D64" s="231" t="s">
        <v>94</v>
      </c>
      <c r="E64" s="225">
        <v>1</v>
      </c>
      <c r="F64" s="251">
        <v>10000</v>
      </c>
      <c r="G64" s="251">
        <f t="shared" si="33"/>
        <v>10000</v>
      </c>
      <c r="H64" s="251">
        <v>5000</v>
      </c>
      <c r="I64" s="251">
        <f t="shared" si="34"/>
        <v>5000</v>
      </c>
      <c r="J64" s="251">
        <f t="shared" si="35"/>
        <v>15000</v>
      </c>
    </row>
    <row r="65" spans="1:10" s="248" customFormat="1" ht="18.75" x14ac:dyDescent="0.3">
      <c r="A65" s="3"/>
      <c r="B65" s="287"/>
      <c r="C65" s="288" t="s">
        <v>196</v>
      </c>
      <c r="D65" s="58"/>
      <c r="E65" s="289"/>
      <c r="F65" s="290"/>
      <c r="G65" s="291"/>
      <c r="H65" s="290"/>
      <c r="I65" s="291"/>
      <c r="J65" s="292">
        <f>SUM(J11:J64)</f>
        <v>949650</v>
      </c>
    </row>
    <row r="66" spans="1:10" s="219" customFormat="1" x14ac:dyDescent="0.25">
      <c r="A66" s="215"/>
      <c r="B66" s="216"/>
      <c r="C66" s="170"/>
      <c r="D66" s="215"/>
      <c r="E66" s="217"/>
      <c r="F66" s="218"/>
      <c r="G66" s="218"/>
      <c r="H66" s="218"/>
      <c r="I66" s="218"/>
      <c r="J66" s="218"/>
    </row>
    <row r="67" spans="1:10" s="219" customFormat="1" x14ac:dyDescent="0.25">
      <c r="A67" s="215"/>
      <c r="B67" s="216"/>
      <c r="C67" s="170"/>
      <c r="D67" s="215"/>
      <c r="E67" s="217"/>
      <c r="F67" s="218"/>
      <c r="G67" s="218"/>
      <c r="H67" s="218"/>
      <c r="I67" s="218"/>
      <c r="J67" s="218"/>
    </row>
    <row r="68" spans="1:10" s="219" customFormat="1" x14ac:dyDescent="0.25">
      <c r="A68" s="215"/>
      <c r="B68" s="216"/>
      <c r="C68" s="170"/>
      <c r="D68" s="215"/>
      <c r="E68" s="217"/>
      <c r="F68" s="218"/>
      <c r="G68" s="218"/>
      <c r="H68" s="218"/>
      <c r="I68" s="218"/>
      <c r="J68" s="218"/>
    </row>
    <row r="69" spans="1:10" s="219" customFormat="1" x14ac:dyDescent="0.25">
      <c r="A69" s="215"/>
      <c r="B69" s="216"/>
      <c r="C69" s="170"/>
      <c r="D69" s="215"/>
      <c r="E69" s="217"/>
      <c r="F69" s="218"/>
      <c r="G69" s="218"/>
      <c r="H69" s="218"/>
      <c r="I69" s="218"/>
      <c r="J69" s="218"/>
    </row>
    <row r="70" spans="1:10" s="219" customFormat="1" x14ac:dyDescent="0.25">
      <c r="A70" s="215"/>
      <c r="B70" s="216"/>
      <c r="C70" s="170"/>
      <c r="D70" s="215"/>
      <c r="E70" s="217"/>
      <c r="F70" s="218"/>
      <c r="G70" s="218"/>
      <c r="H70" s="218"/>
      <c r="I70" s="218"/>
      <c r="J70" s="218"/>
    </row>
    <row r="71" spans="1:10" s="219" customFormat="1" x14ac:dyDescent="0.25">
      <c r="A71" s="215"/>
      <c r="B71" s="216"/>
      <c r="C71" s="170"/>
      <c r="D71" s="215"/>
      <c r="E71" s="217"/>
      <c r="F71" s="218"/>
      <c r="G71" s="218"/>
      <c r="H71" s="218"/>
      <c r="I71" s="218"/>
      <c r="J71" s="218"/>
    </row>
    <row r="72" spans="1:10" s="219" customFormat="1" x14ac:dyDescent="0.25">
      <c r="A72" s="215"/>
      <c r="B72" s="216"/>
      <c r="C72" s="170"/>
      <c r="D72" s="215"/>
      <c r="E72" s="217"/>
      <c r="F72" s="218"/>
      <c r="G72" s="218"/>
      <c r="H72" s="218"/>
      <c r="I72" s="218"/>
      <c r="J72" s="218"/>
    </row>
    <row r="73" spans="1:10" s="219" customFormat="1" x14ac:dyDescent="0.25">
      <c r="A73" s="215"/>
      <c r="B73" s="216"/>
      <c r="C73" s="170"/>
      <c r="D73" s="215"/>
      <c r="E73" s="217"/>
      <c r="F73" s="218"/>
      <c r="G73" s="218"/>
      <c r="H73" s="218"/>
      <c r="I73" s="218"/>
      <c r="J73" s="218"/>
    </row>
    <row r="74" spans="1:10" s="219" customFormat="1" x14ac:dyDescent="0.25">
      <c r="A74" s="215"/>
      <c r="B74" s="216"/>
      <c r="C74" s="170"/>
      <c r="D74" s="215"/>
      <c r="E74" s="217"/>
      <c r="F74" s="218"/>
      <c r="G74" s="218"/>
      <c r="H74" s="218"/>
      <c r="I74" s="218"/>
      <c r="J74" s="218"/>
    </row>
    <row r="75" spans="1:10" s="219" customFormat="1" x14ac:dyDescent="0.25">
      <c r="A75" s="215"/>
      <c r="B75" s="216"/>
      <c r="C75" s="170"/>
      <c r="D75" s="215"/>
      <c r="E75" s="217"/>
      <c r="F75" s="218"/>
      <c r="G75" s="218"/>
      <c r="H75" s="218"/>
      <c r="I75" s="218"/>
      <c r="J75" s="218"/>
    </row>
    <row r="76" spans="1:10" s="219" customFormat="1" x14ac:dyDescent="0.25">
      <c r="A76" s="215"/>
      <c r="B76" s="216"/>
      <c r="C76" s="170"/>
      <c r="D76" s="215"/>
      <c r="E76" s="217"/>
      <c r="F76" s="218"/>
      <c r="G76" s="218"/>
      <c r="H76" s="218"/>
      <c r="I76" s="218"/>
      <c r="J76" s="218"/>
    </row>
    <row r="77" spans="1:10" s="219" customFormat="1" x14ac:dyDescent="0.25">
      <c r="A77" s="215"/>
      <c r="B77" s="216"/>
      <c r="C77" s="170"/>
      <c r="D77" s="215"/>
      <c r="E77" s="217"/>
      <c r="F77" s="218"/>
      <c r="G77" s="218"/>
      <c r="H77" s="218"/>
      <c r="I77" s="218"/>
      <c r="J77" s="218"/>
    </row>
    <row r="78" spans="1:10" s="219" customFormat="1" x14ac:dyDescent="0.25">
      <c r="A78" s="215"/>
      <c r="B78" s="216"/>
      <c r="C78" s="170"/>
      <c r="D78" s="215"/>
      <c r="E78" s="217"/>
      <c r="F78" s="218"/>
      <c r="G78" s="218"/>
      <c r="H78" s="218"/>
      <c r="I78" s="218"/>
      <c r="J78" s="218"/>
    </row>
    <row r="79" spans="1:10" s="219" customFormat="1" x14ac:dyDescent="0.25">
      <c r="A79" s="215"/>
      <c r="B79" s="216"/>
      <c r="C79" s="170"/>
      <c r="D79" s="215"/>
      <c r="E79" s="217"/>
      <c r="F79" s="218"/>
      <c r="G79" s="218"/>
      <c r="H79" s="218"/>
      <c r="I79" s="218"/>
      <c r="J79" s="218"/>
    </row>
    <row r="80" spans="1:10" s="219" customFormat="1" x14ac:dyDescent="0.25">
      <c r="A80" s="215"/>
      <c r="B80" s="216"/>
      <c r="C80" s="170"/>
      <c r="D80" s="215"/>
      <c r="E80" s="217"/>
      <c r="F80" s="218"/>
      <c r="G80" s="218"/>
      <c r="H80" s="218"/>
      <c r="I80" s="218"/>
      <c r="J80" s="218"/>
    </row>
    <row r="81" spans="1:10" s="219" customFormat="1" x14ac:dyDescent="0.25">
      <c r="A81" s="215"/>
      <c r="B81" s="216"/>
      <c r="C81" s="170"/>
      <c r="D81" s="215"/>
      <c r="E81" s="217"/>
      <c r="F81" s="218"/>
      <c r="G81" s="218"/>
      <c r="H81" s="218"/>
      <c r="I81" s="218"/>
      <c r="J81" s="218"/>
    </row>
    <row r="82" spans="1:10" s="219" customFormat="1" x14ac:dyDescent="0.25">
      <c r="A82" s="215"/>
      <c r="B82" s="216"/>
      <c r="C82" s="170"/>
      <c r="D82" s="215"/>
      <c r="E82" s="217"/>
      <c r="F82" s="218"/>
      <c r="G82" s="218"/>
      <c r="H82" s="218"/>
      <c r="I82" s="218"/>
      <c r="J82" s="218"/>
    </row>
    <row r="83" spans="1:10" s="219" customFormat="1" x14ac:dyDescent="0.25">
      <c r="A83" s="215"/>
      <c r="B83" s="216"/>
      <c r="C83" s="170"/>
      <c r="D83" s="215"/>
      <c r="E83" s="217"/>
      <c r="F83" s="218"/>
      <c r="G83" s="218"/>
      <c r="H83" s="218"/>
      <c r="I83" s="218"/>
      <c r="J83" s="218"/>
    </row>
    <row r="84" spans="1:10" s="219" customFormat="1" x14ac:dyDescent="0.25">
      <c r="A84" s="215"/>
      <c r="B84" s="216"/>
      <c r="C84" s="170"/>
      <c r="D84" s="215"/>
      <c r="E84" s="217"/>
      <c r="F84" s="218"/>
      <c r="G84" s="218"/>
      <c r="H84" s="218"/>
      <c r="I84" s="218"/>
      <c r="J84" s="218"/>
    </row>
    <row r="85" spans="1:10" s="219" customFormat="1" x14ac:dyDescent="0.25">
      <c r="A85" s="215"/>
      <c r="B85" s="216"/>
      <c r="C85" s="170"/>
      <c r="D85" s="215"/>
      <c r="E85" s="217"/>
      <c r="F85" s="218"/>
      <c r="G85" s="218"/>
      <c r="H85" s="218"/>
      <c r="I85" s="218"/>
      <c r="J85" s="218"/>
    </row>
    <row r="86" spans="1:10" s="219" customFormat="1" x14ac:dyDescent="0.25">
      <c r="A86" s="215"/>
      <c r="B86" s="216"/>
      <c r="C86" s="170"/>
      <c r="D86" s="215"/>
      <c r="E86" s="217"/>
      <c r="F86" s="218"/>
      <c r="G86" s="218"/>
      <c r="H86" s="218"/>
      <c r="I86" s="218"/>
      <c r="J86" s="218"/>
    </row>
    <row r="87" spans="1:10" s="219" customFormat="1" x14ac:dyDescent="0.25">
      <c r="A87" s="215"/>
      <c r="B87" s="216"/>
      <c r="C87" s="170"/>
      <c r="D87" s="215"/>
      <c r="E87" s="217"/>
      <c r="F87" s="218"/>
      <c r="G87" s="218"/>
      <c r="H87" s="218"/>
      <c r="I87" s="218"/>
      <c r="J87" s="218"/>
    </row>
    <row r="88" spans="1:10" s="219" customFormat="1" x14ac:dyDescent="0.25">
      <c r="A88" s="215"/>
      <c r="B88" s="216"/>
      <c r="C88" s="170"/>
      <c r="D88" s="215"/>
      <c r="E88" s="217"/>
      <c r="F88" s="218"/>
      <c r="G88" s="218"/>
      <c r="H88" s="218"/>
      <c r="I88" s="218"/>
      <c r="J88" s="218"/>
    </row>
    <row r="89" spans="1:10" s="219" customFormat="1" x14ac:dyDescent="0.25">
      <c r="A89" s="215"/>
      <c r="B89" s="216"/>
      <c r="C89" s="170"/>
      <c r="D89" s="215"/>
      <c r="E89" s="217"/>
      <c r="F89" s="218"/>
      <c r="G89" s="218"/>
      <c r="H89" s="218"/>
      <c r="I89" s="218"/>
      <c r="J89" s="218"/>
    </row>
    <row r="90" spans="1:10" s="219" customFormat="1" x14ac:dyDescent="0.25">
      <c r="A90" s="215"/>
      <c r="B90" s="216"/>
      <c r="C90" s="170"/>
      <c r="D90" s="215"/>
      <c r="E90" s="217"/>
      <c r="F90" s="218"/>
      <c r="G90" s="218"/>
      <c r="H90" s="218"/>
      <c r="I90" s="218"/>
      <c r="J90" s="218"/>
    </row>
    <row r="91" spans="1:10" s="219" customFormat="1" x14ac:dyDescent="0.25">
      <c r="A91" s="215"/>
      <c r="B91" s="216"/>
      <c r="C91" s="170"/>
      <c r="D91" s="215"/>
      <c r="E91" s="217"/>
      <c r="F91" s="218"/>
      <c r="G91" s="218"/>
      <c r="H91" s="218"/>
      <c r="I91" s="218"/>
      <c r="J91" s="218"/>
    </row>
    <row r="92" spans="1:10" s="219" customFormat="1" x14ac:dyDescent="0.25">
      <c r="A92" s="215"/>
      <c r="B92" s="216"/>
      <c r="C92" s="170"/>
      <c r="D92" s="215"/>
      <c r="E92" s="217"/>
      <c r="F92" s="218"/>
      <c r="G92" s="218"/>
      <c r="H92" s="218"/>
      <c r="I92" s="218"/>
      <c r="J92" s="218"/>
    </row>
    <row r="93" spans="1:10" s="219" customFormat="1" x14ac:dyDescent="0.25">
      <c r="A93" s="215"/>
      <c r="B93" s="216"/>
      <c r="C93" s="170"/>
      <c r="D93" s="215"/>
      <c r="E93" s="217"/>
      <c r="F93" s="218"/>
      <c r="G93" s="218"/>
      <c r="H93" s="218"/>
      <c r="I93" s="218"/>
      <c r="J93" s="218"/>
    </row>
    <row r="94" spans="1:10" s="219" customFormat="1" x14ac:dyDescent="0.25">
      <c r="A94" s="215"/>
      <c r="B94" s="216"/>
      <c r="C94" s="170"/>
      <c r="D94" s="215"/>
      <c r="E94" s="217"/>
      <c r="F94" s="218"/>
      <c r="G94" s="218"/>
      <c r="H94" s="218"/>
      <c r="I94" s="218"/>
      <c r="J94" s="218"/>
    </row>
    <row r="95" spans="1:10" s="219" customFormat="1" x14ac:dyDescent="0.25">
      <c r="A95" s="215"/>
      <c r="B95" s="216"/>
      <c r="C95" s="170"/>
      <c r="D95" s="215"/>
      <c r="E95" s="217"/>
      <c r="F95" s="218"/>
      <c r="G95" s="218"/>
      <c r="H95" s="218"/>
      <c r="I95" s="218"/>
      <c r="J95" s="218"/>
    </row>
    <row r="96" spans="1:10" s="219" customFormat="1" x14ac:dyDescent="0.25">
      <c r="A96" s="215"/>
      <c r="B96" s="216"/>
      <c r="C96" s="170"/>
      <c r="D96" s="215"/>
      <c r="E96" s="217"/>
      <c r="F96" s="218"/>
      <c r="G96" s="218"/>
      <c r="H96" s="218"/>
      <c r="I96" s="218"/>
      <c r="J96" s="218"/>
    </row>
    <row r="97" spans="1:10" s="219" customFormat="1" x14ac:dyDescent="0.25">
      <c r="A97" s="215"/>
      <c r="B97" s="216"/>
      <c r="C97" s="170"/>
      <c r="D97" s="215"/>
      <c r="E97" s="217"/>
      <c r="F97" s="218"/>
      <c r="G97" s="218"/>
      <c r="H97" s="218"/>
      <c r="I97" s="218"/>
      <c r="J97" s="218"/>
    </row>
    <row r="98" spans="1:10" s="219" customFormat="1" x14ac:dyDescent="0.25">
      <c r="A98" s="215"/>
      <c r="B98" s="216"/>
      <c r="C98" s="170"/>
      <c r="D98" s="215"/>
      <c r="E98" s="217"/>
      <c r="F98" s="218"/>
      <c r="G98" s="218"/>
      <c r="H98" s="218"/>
      <c r="I98" s="218"/>
      <c r="J98" s="218"/>
    </row>
    <row r="99" spans="1:10" s="219" customFormat="1" x14ac:dyDescent="0.25">
      <c r="A99" s="215"/>
      <c r="B99" s="216"/>
      <c r="C99" s="170"/>
      <c r="D99" s="215"/>
      <c r="E99" s="217"/>
      <c r="F99" s="218"/>
      <c r="G99" s="218"/>
      <c r="H99" s="218"/>
      <c r="I99" s="218"/>
      <c r="J99" s="218"/>
    </row>
    <row r="100" spans="1:10" s="219" customFormat="1" x14ac:dyDescent="0.25">
      <c r="A100" s="215"/>
      <c r="B100" s="216"/>
      <c r="C100" s="170"/>
      <c r="D100" s="215"/>
      <c r="E100" s="217"/>
      <c r="F100" s="218"/>
      <c r="G100" s="218"/>
      <c r="H100" s="218"/>
      <c r="I100" s="218"/>
      <c r="J100" s="218"/>
    </row>
    <row r="101" spans="1:10" s="219" customFormat="1" x14ac:dyDescent="0.25">
      <c r="A101" s="215"/>
      <c r="B101" s="216"/>
      <c r="C101" s="170"/>
      <c r="D101" s="215"/>
      <c r="E101" s="217"/>
      <c r="F101" s="218"/>
      <c r="G101" s="218"/>
      <c r="H101" s="218"/>
      <c r="I101" s="218"/>
      <c r="J101" s="218"/>
    </row>
    <row r="102" spans="1:10" s="219" customFormat="1" x14ac:dyDescent="0.25">
      <c r="A102" s="215"/>
      <c r="B102" s="216"/>
      <c r="C102" s="170"/>
      <c r="D102" s="215"/>
      <c r="E102" s="217"/>
      <c r="F102" s="218"/>
      <c r="G102" s="218"/>
      <c r="H102" s="218"/>
      <c r="I102" s="218"/>
      <c r="J102" s="218"/>
    </row>
    <row r="103" spans="1:10" s="219" customFormat="1" x14ac:dyDescent="0.25">
      <c r="A103" s="215"/>
      <c r="B103" s="216"/>
      <c r="C103" s="170"/>
      <c r="D103" s="215"/>
      <c r="E103" s="217"/>
      <c r="F103" s="218"/>
      <c r="G103" s="218"/>
      <c r="H103" s="218"/>
      <c r="I103" s="218"/>
      <c r="J103" s="218"/>
    </row>
    <row r="104" spans="1:10" s="219" customFormat="1" x14ac:dyDescent="0.25">
      <c r="A104" s="215"/>
      <c r="B104" s="216"/>
      <c r="C104" s="170"/>
      <c r="D104" s="215"/>
      <c r="E104" s="217"/>
      <c r="F104" s="218"/>
      <c r="G104" s="218"/>
      <c r="H104" s="218"/>
      <c r="I104" s="218"/>
      <c r="J104" s="218"/>
    </row>
    <row r="105" spans="1:10" s="219" customFormat="1" x14ac:dyDescent="0.25">
      <c r="A105" s="215"/>
      <c r="B105" s="216"/>
      <c r="C105" s="170"/>
      <c r="D105" s="215"/>
      <c r="E105" s="217"/>
      <c r="F105" s="218"/>
      <c r="G105" s="218"/>
      <c r="H105" s="218"/>
      <c r="I105" s="218"/>
      <c r="J105" s="218"/>
    </row>
    <row r="106" spans="1:10" s="219" customFormat="1" x14ac:dyDescent="0.25">
      <c r="A106" s="215"/>
      <c r="B106" s="216"/>
      <c r="C106" s="170"/>
      <c r="D106" s="215"/>
      <c r="E106" s="217"/>
      <c r="F106" s="218"/>
      <c r="G106" s="218"/>
      <c r="H106" s="218"/>
      <c r="I106" s="218"/>
      <c r="J106" s="218"/>
    </row>
    <row r="107" spans="1:10" s="219" customFormat="1" x14ac:dyDescent="0.25">
      <c r="A107" s="215"/>
      <c r="B107" s="216"/>
      <c r="C107" s="170"/>
      <c r="D107" s="215"/>
      <c r="E107" s="217"/>
      <c r="F107" s="218"/>
      <c r="G107" s="218"/>
      <c r="H107" s="218"/>
      <c r="I107" s="218"/>
      <c r="J107" s="218"/>
    </row>
    <row r="108" spans="1:10" s="219" customFormat="1" x14ac:dyDescent="0.25">
      <c r="A108" s="215"/>
      <c r="B108" s="216"/>
      <c r="C108" s="170"/>
      <c r="D108" s="215"/>
      <c r="E108" s="217"/>
      <c r="F108" s="218"/>
      <c r="G108" s="218"/>
      <c r="H108" s="218"/>
      <c r="I108" s="218"/>
      <c r="J108" s="218"/>
    </row>
    <row r="109" spans="1:10" s="219" customFormat="1" x14ac:dyDescent="0.25">
      <c r="A109" s="215"/>
      <c r="B109" s="216"/>
      <c r="C109" s="170"/>
      <c r="D109" s="215"/>
      <c r="E109" s="217"/>
      <c r="F109" s="218"/>
      <c r="G109" s="218"/>
      <c r="H109" s="218"/>
      <c r="I109" s="218"/>
      <c r="J109" s="218"/>
    </row>
    <row r="110" spans="1:10" s="219" customFormat="1" x14ac:dyDescent="0.25">
      <c r="A110" s="215"/>
      <c r="B110" s="216"/>
      <c r="C110" s="170"/>
      <c r="D110" s="215"/>
      <c r="E110" s="217"/>
      <c r="F110" s="218"/>
      <c r="G110" s="218"/>
      <c r="H110" s="218"/>
      <c r="I110" s="218"/>
      <c r="J110" s="218"/>
    </row>
    <row r="111" spans="1:10" s="219" customFormat="1" x14ac:dyDescent="0.25">
      <c r="A111" s="215"/>
      <c r="B111" s="216"/>
      <c r="C111" s="170"/>
      <c r="D111" s="215"/>
      <c r="E111" s="217"/>
      <c r="F111" s="218"/>
      <c r="G111" s="218"/>
      <c r="H111" s="218"/>
      <c r="I111" s="218"/>
      <c r="J111" s="218"/>
    </row>
    <row r="112" spans="1:10" s="219" customFormat="1" x14ac:dyDescent="0.25">
      <c r="A112" s="215"/>
      <c r="B112" s="216"/>
      <c r="C112" s="170"/>
      <c r="D112" s="215"/>
      <c r="E112" s="217"/>
      <c r="F112" s="218"/>
      <c r="G112" s="218"/>
      <c r="H112" s="218"/>
      <c r="I112" s="218"/>
      <c r="J112" s="218"/>
    </row>
    <row r="113" spans="1:10" s="219" customFormat="1" x14ac:dyDescent="0.25">
      <c r="A113" s="215"/>
      <c r="B113" s="216"/>
      <c r="C113" s="170"/>
      <c r="D113" s="215"/>
      <c r="E113" s="217"/>
      <c r="F113" s="218"/>
      <c r="G113" s="218"/>
      <c r="H113" s="218"/>
      <c r="I113" s="218"/>
      <c r="J113" s="218"/>
    </row>
    <row r="114" spans="1:10" s="219" customFormat="1" x14ac:dyDescent="0.25">
      <c r="A114" s="215"/>
      <c r="B114" s="216"/>
      <c r="C114" s="170"/>
      <c r="D114" s="215"/>
      <c r="E114" s="217"/>
      <c r="F114" s="218"/>
      <c r="G114" s="218"/>
      <c r="H114" s="218"/>
      <c r="I114" s="218"/>
      <c r="J114" s="218"/>
    </row>
    <row r="115" spans="1:10" s="219" customFormat="1" x14ac:dyDescent="0.25">
      <c r="A115" s="215"/>
      <c r="B115" s="216"/>
      <c r="C115" s="170"/>
      <c r="D115" s="215"/>
      <c r="E115" s="217"/>
      <c r="F115" s="218"/>
      <c r="G115" s="218"/>
      <c r="H115" s="218"/>
      <c r="I115" s="218"/>
      <c r="J115" s="218"/>
    </row>
    <row r="116" spans="1:10" s="219" customFormat="1" x14ac:dyDescent="0.25">
      <c r="A116" s="215"/>
      <c r="B116" s="216"/>
      <c r="C116" s="170"/>
      <c r="D116" s="215"/>
      <c r="E116" s="217"/>
      <c r="F116" s="218"/>
      <c r="G116" s="218"/>
      <c r="H116" s="218"/>
      <c r="I116" s="218"/>
      <c r="J116" s="218"/>
    </row>
    <row r="117" spans="1:10" s="219" customFormat="1" x14ac:dyDescent="0.25">
      <c r="A117" s="215"/>
      <c r="B117" s="216"/>
      <c r="C117" s="170"/>
      <c r="D117" s="215"/>
      <c r="E117" s="217"/>
      <c r="F117" s="218"/>
      <c r="G117" s="218"/>
      <c r="H117" s="218"/>
      <c r="I117" s="218"/>
      <c r="J117" s="218"/>
    </row>
    <row r="118" spans="1:10" s="219" customFormat="1" x14ac:dyDescent="0.25">
      <c r="A118" s="215"/>
      <c r="B118" s="216"/>
      <c r="C118" s="170"/>
      <c r="D118" s="215"/>
      <c r="E118" s="217"/>
      <c r="F118" s="218"/>
      <c r="G118" s="218"/>
      <c r="H118" s="218"/>
      <c r="I118" s="218"/>
      <c r="J118" s="218"/>
    </row>
    <row r="119" spans="1:10" s="219" customFormat="1" x14ac:dyDescent="0.25">
      <c r="A119" s="215"/>
      <c r="B119" s="216"/>
      <c r="C119" s="170"/>
      <c r="D119" s="215"/>
      <c r="E119" s="217"/>
      <c r="F119" s="218"/>
      <c r="G119" s="218"/>
      <c r="H119" s="218"/>
      <c r="I119" s="218"/>
      <c r="J119" s="218"/>
    </row>
    <row r="120" spans="1:10" s="219" customFormat="1" x14ac:dyDescent="0.25">
      <c r="A120" s="215"/>
      <c r="B120" s="216"/>
      <c r="C120" s="170"/>
      <c r="D120" s="215"/>
      <c r="E120" s="217"/>
      <c r="F120" s="218"/>
      <c r="G120" s="218"/>
      <c r="H120" s="218"/>
      <c r="I120" s="218"/>
      <c r="J120" s="218"/>
    </row>
    <row r="121" spans="1:10" s="219" customFormat="1" x14ac:dyDescent="0.25">
      <c r="A121" s="215"/>
      <c r="B121" s="216"/>
      <c r="C121" s="170"/>
      <c r="D121" s="215"/>
      <c r="E121" s="217"/>
      <c r="F121" s="218"/>
      <c r="G121" s="218"/>
      <c r="H121" s="218"/>
      <c r="I121" s="218"/>
      <c r="J121" s="218"/>
    </row>
    <row r="122" spans="1:10" s="219" customFormat="1" x14ac:dyDescent="0.25">
      <c r="A122" s="215"/>
      <c r="B122" s="216"/>
      <c r="C122" s="170"/>
      <c r="D122" s="215"/>
      <c r="E122" s="217"/>
      <c r="F122" s="218"/>
      <c r="G122" s="218"/>
      <c r="H122" s="218"/>
      <c r="I122" s="218"/>
      <c r="J122" s="218"/>
    </row>
    <row r="123" spans="1:10" s="219" customFormat="1" x14ac:dyDescent="0.25">
      <c r="A123" s="215"/>
      <c r="B123" s="216"/>
      <c r="C123" s="170"/>
      <c r="D123" s="215"/>
      <c r="E123" s="217"/>
      <c r="F123" s="218"/>
      <c r="G123" s="218"/>
      <c r="H123" s="218"/>
      <c r="I123" s="218"/>
      <c r="J123" s="218"/>
    </row>
    <row r="124" spans="1:10" s="219" customFormat="1" x14ac:dyDescent="0.25">
      <c r="A124" s="215"/>
      <c r="B124" s="216"/>
      <c r="C124" s="170"/>
      <c r="D124" s="215"/>
      <c r="E124" s="217"/>
      <c r="F124" s="218"/>
      <c r="G124" s="218"/>
      <c r="H124" s="218"/>
      <c r="I124" s="218"/>
      <c r="J124" s="218"/>
    </row>
    <row r="125" spans="1:10" s="219" customFormat="1" x14ac:dyDescent="0.25">
      <c r="A125" s="215"/>
      <c r="B125" s="216"/>
      <c r="C125" s="170"/>
      <c r="D125" s="215"/>
      <c r="E125" s="217"/>
      <c r="F125" s="218"/>
      <c r="G125" s="218"/>
      <c r="H125" s="218"/>
      <c r="I125" s="218"/>
      <c r="J125" s="218"/>
    </row>
    <row r="126" spans="1:10" s="219" customFormat="1" x14ac:dyDescent="0.25">
      <c r="A126" s="215"/>
      <c r="B126" s="216"/>
      <c r="C126" s="170"/>
      <c r="D126" s="215"/>
      <c r="E126" s="217"/>
      <c r="F126" s="218"/>
      <c r="G126" s="218"/>
      <c r="H126" s="218"/>
      <c r="I126" s="218"/>
      <c r="J126" s="218"/>
    </row>
    <row r="127" spans="1:10" s="219" customFormat="1" x14ac:dyDescent="0.25">
      <c r="A127" s="215"/>
      <c r="B127" s="216"/>
      <c r="C127" s="170"/>
      <c r="D127" s="215"/>
      <c r="E127" s="217"/>
      <c r="F127" s="218"/>
      <c r="G127" s="218"/>
      <c r="H127" s="218"/>
      <c r="I127" s="218"/>
      <c r="J127" s="218"/>
    </row>
    <row r="128" spans="1:10" s="219" customFormat="1" x14ac:dyDescent="0.25">
      <c r="A128" s="215"/>
      <c r="B128" s="216"/>
      <c r="C128" s="170"/>
      <c r="D128" s="215"/>
      <c r="E128" s="217"/>
      <c r="F128" s="218"/>
      <c r="G128" s="218"/>
      <c r="H128" s="218"/>
      <c r="I128" s="218"/>
      <c r="J128" s="218"/>
    </row>
    <row r="129" spans="1:10" s="219" customFormat="1" x14ac:dyDescent="0.25">
      <c r="A129" s="215"/>
      <c r="B129" s="216"/>
      <c r="C129" s="170"/>
      <c r="D129" s="215"/>
      <c r="E129" s="217"/>
      <c r="F129" s="218"/>
      <c r="G129" s="218"/>
      <c r="H129" s="218"/>
      <c r="I129" s="218"/>
      <c r="J129" s="218"/>
    </row>
    <row r="130" spans="1:10" s="219" customFormat="1" x14ac:dyDescent="0.25">
      <c r="A130" s="215"/>
      <c r="B130" s="216"/>
      <c r="C130" s="170"/>
      <c r="D130" s="215"/>
      <c r="E130" s="217"/>
      <c r="F130" s="218"/>
      <c r="G130" s="218"/>
      <c r="H130" s="218"/>
      <c r="I130" s="218"/>
      <c r="J130" s="218"/>
    </row>
  </sheetData>
  <mergeCells count="7">
    <mergeCell ref="A7:B8"/>
    <mergeCell ref="C7:C8"/>
    <mergeCell ref="D7:D8"/>
    <mergeCell ref="E7:E8"/>
    <mergeCell ref="F1:J1"/>
    <mergeCell ref="F7:G7"/>
    <mergeCell ref="H7:I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showGridLines="0" view="pageBreakPreview" topLeftCell="A19" zoomScale="130" zoomScaleNormal="100" zoomScaleSheetLayoutView="130" workbookViewId="0">
      <selection activeCell="C30" sqref="C30"/>
    </sheetView>
  </sheetViews>
  <sheetFormatPr defaultColWidth="9.5703125" defaultRowHeight="15" x14ac:dyDescent="0.25"/>
  <cols>
    <col min="1" max="1" width="3.28515625" style="171" customWidth="1"/>
    <col min="2" max="2" width="5" style="171" customWidth="1"/>
    <col min="3" max="3" width="55.28515625" style="172" customWidth="1"/>
    <col min="4" max="4" width="6.5703125" style="171" customWidth="1"/>
    <col min="5" max="5" width="7.140625" style="171" customWidth="1"/>
    <col min="6" max="6" width="7" style="171" customWidth="1"/>
    <col min="7" max="7" width="8.140625" style="171" customWidth="1"/>
    <col min="8" max="8" width="13.7109375" style="171" customWidth="1"/>
    <col min="9" max="9" width="8.42578125" style="171" customWidth="1"/>
    <col min="10" max="11" width="13.7109375" style="171" customWidth="1"/>
    <col min="12" max="246" width="9.5703125" style="16"/>
    <col min="247" max="247" width="3.28515625" style="16" customWidth="1"/>
    <col min="248" max="248" width="5" style="16" customWidth="1"/>
    <col min="249" max="249" width="47.28515625" style="16" customWidth="1"/>
    <col min="250" max="250" width="6.5703125" style="16" customWidth="1"/>
    <col min="251" max="251" width="7.140625" style="16" customWidth="1"/>
    <col min="252" max="252" width="11.5703125" style="16" customWidth="1"/>
    <col min="253" max="256" width="13.7109375" style="16" customWidth="1"/>
    <col min="257" max="502" width="9.5703125" style="16"/>
    <col min="503" max="503" width="3.28515625" style="16" customWidth="1"/>
    <col min="504" max="504" width="5" style="16" customWidth="1"/>
    <col min="505" max="505" width="47.28515625" style="16" customWidth="1"/>
    <col min="506" max="506" width="6.5703125" style="16" customWidth="1"/>
    <col min="507" max="507" width="7.140625" style="16" customWidth="1"/>
    <col min="508" max="508" width="11.5703125" style="16" customWidth="1"/>
    <col min="509" max="512" width="13.7109375" style="16" customWidth="1"/>
    <col min="513" max="758" width="9.5703125" style="16"/>
    <col min="759" max="759" width="3.28515625" style="16" customWidth="1"/>
    <col min="760" max="760" width="5" style="16" customWidth="1"/>
    <col min="761" max="761" width="47.28515625" style="16" customWidth="1"/>
    <col min="762" max="762" width="6.5703125" style="16" customWidth="1"/>
    <col min="763" max="763" width="7.140625" style="16" customWidth="1"/>
    <col min="764" max="764" width="11.5703125" style="16" customWidth="1"/>
    <col min="765" max="768" width="13.7109375" style="16" customWidth="1"/>
    <col min="769" max="1014" width="9.5703125" style="16"/>
    <col min="1015" max="1015" width="3.28515625" style="16" customWidth="1"/>
    <col min="1016" max="1016" width="5" style="16" customWidth="1"/>
    <col min="1017" max="1017" width="47.28515625" style="16" customWidth="1"/>
    <col min="1018" max="1018" width="6.5703125" style="16" customWidth="1"/>
    <col min="1019" max="1019" width="7.140625" style="16" customWidth="1"/>
    <col min="1020" max="1020" width="11.5703125" style="16" customWidth="1"/>
    <col min="1021" max="1024" width="13.7109375" style="16" customWidth="1"/>
    <col min="1025" max="1270" width="9.5703125" style="16"/>
    <col min="1271" max="1271" width="3.28515625" style="16" customWidth="1"/>
    <col min="1272" max="1272" width="5" style="16" customWidth="1"/>
    <col min="1273" max="1273" width="47.28515625" style="16" customWidth="1"/>
    <col min="1274" max="1274" width="6.5703125" style="16" customWidth="1"/>
    <col min="1275" max="1275" width="7.140625" style="16" customWidth="1"/>
    <col min="1276" max="1276" width="11.5703125" style="16" customWidth="1"/>
    <col min="1277" max="1280" width="13.7109375" style="16" customWidth="1"/>
    <col min="1281" max="1526" width="9.5703125" style="16"/>
    <col min="1527" max="1527" width="3.28515625" style="16" customWidth="1"/>
    <col min="1528" max="1528" width="5" style="16" customWidth="1"/>
    <col min="1529" max="1529" width="47.28515625" style="16" customWidth="1"/>
    <col min="1530" max="1530" width="6.5703125" style="16" customWidth="1"/>
    <col min="1531" max="1531" width="7.140625" style="16" customWidth="1"/>
    <col min="1532" max="1532" width="11.5703125" style="16" customWidth="1"/>
    <col min="1533" max="1536" width="13.7109375" style="16" customWidth="1"/>
    <col min="1537" max="1782" width="9.5703125" style="16"/>
    <col min="1783" max="1783" width="3.28515625" style="16" customWidth="1"/>
    <col min="1784" max="1784" width="5" style="16" customWidth="1"/>
    <col min="1785" max="1785" width="47.28515625" style="16" customWidth="1"/>
    <col min="1786" max="1786" width="6.5703125" style="16" customWidth="1"/>
    <col min="1787" max="1787" width="7.140625" style="16" customWidth="1"/>
    <col min="1788" max="1788" width="11.5703125" style="16" customWidth="1"/>
    <col min="1789" max="1792" width="13.7109375" style="16" customWidth="1"/>
    <col min="1793" max="2038" width="9.5703125" style="16"/>
    <col min="2039" max="2039" width="3.28515625" style="16" customWidth="1"/>
    <col min="2040" max="2040" width="5" style="16" customWidth="1"/>
    <col min="2041" max="2041" width="47.28515625" style="16" customWidth="1"/>
    <col min="2042" max="2042" width="6.5703125" style="16" customWidth="1"/>
    <col min="2043" max="2043" width="7.140625" style="16" customWidth="1"/>
    <col min="2044" max="2044" width="11.5703125" style="16" customWidth="1"/>
    <col min="2045" max="2048" width="13.7109375" style="16" customWidth="1"/>
    <col min="2049" max="2294" width="9.5703125" style="16"/>
    <col min="2295" max="2295" width="3.28515625" style="16" customWidth="1"/>
    <col min="2296" max="2296" width="5" style="16" customWidth="1"/>
    <col min="2297" max="2297" width="47.28515625" style="16" customWidth="1"/>
    <col min="2298" max="2298" width="6.5703125" style="16" customWidth="1"/>
    <col min="2299" max="2299" width="7.140625" style="16" customWidth="1"/>
    <col min="2300" max="2300" width="11.5703125" style="16" customWidth="1"/>
    <col min="2301" max="2304" width="13.7109375" style="16" customWidth="1"/>
    <col min="2305" max="2550" width="9.5703125" style="16"/>
    <col min="2551" max="2551" width="3.28515625" style="16" customWidth="1"/>
    <col min="2552" max="2552" width="5" style="16" customWidth="1"/>
    <col min="2553" max="2553" width="47.28515625" style="16" customWidth="1"/>
    <col min="2554" max="2554" width="6.5703125" style="16" customWidth="1"/>
    <col min="2555" max="2555" width="7.140625" style="16" customWidth="1"/>
    <col min="2556" max="2556" width="11.5703125" style="16" customWidth="1"/>
    <col min="2557" max="2560" width="13.7109375" style="16" customWidth="1"/>
    <col min="2561" max="2806" width="9.5703125" style="16"/>
    <col min="2807" max="2807" width="3.28515625" style="16" customWidth="1"/>
    <col min="2808" max="2808" width="5" style="16" customWidth="1"/>
    <col min="2809" max="2809" width="47.28515625" style="16" customWidth="1"/>
    <col min="2810" max="2810" width="6.5703125" style="16" customWidth="1"/>
    <col min="2811" max="2811" width="7.140625" style="16" customWidth="1"/>
    <col min="2812" max="2812" width="11.5703125" style="16" customWidth="1"/>
    <col min="2813" max="2816" width="13.7109375" style="16" customWidth="1"/>
    <col min="2817" max="3062" width="9.5703125" style="16"/>
    <col min="3063" max="3063" width="3.28515625" style="16" customWidth="1"/>
    <col min="3064" max="3064" width="5" style="16" customWidth="1"/>
    <col min="3065" max="3065" width="47.28515625" style="16" customWidth="1"/>
    <col min="3066" max="3066" width="6.5703125" style="16" customWidth="1"/>
    <col min="3067" max="3067" width="7.140625" style="16" customWidth="1"/>
    <col min="3068" max="3068" width="11.5703125" style="16" customWidth="1"/>
    <col min="3069" max="3072" width="13.7109375" style="16" customWidth="1"/>
    <col min="3073" max="3318" width="9.5703125" style="16"/>
    <col min="3319" max="3319" width="3.28515625" style="16" customWidth="1"/>
    <col min="3320" max="3320" width="5" style="16" customWidth="1"/>
    <col min="3321" max="3321" width="47.28515625" style="16" customWidth="1"/>
    <col min="3322" max="3322" width="6.5703125" style="16" customWidth="1"/>
    <col min="3323" max="3323" width="7.140625" style="16" customWidth="1"/>
    <col min="3324" max="3324" width="11.5703125" style="16" customWidth="1"/>
    <col min="3325" max="3328" width="13.7109375" style="16" customWidth="1"/>
    <col min="3329" max="3574" width="9.5703125" style="16"/>
    <col min="3575" max="3575" width="3.28515625" style="16" customWidth="1"/>
    <col min="3576" max="3576" width="5" style="16" customWidth="1"/>
    <col min="3577" max="3577" width="47.28515625" style="16" customWidth="1"/>
    <col min="3578" max="3578" width="6.5703125" style="16" customWidth="1"/>
    <col min="3579" max="3579" width="7.140625" style="16" customWidth="1"/>
    <col min="3580" max="3580" width="11.5703125" style="16" customWidth="1"/>
    <col min="3581" max="3584" width="13.7109375" style="16" customWidth="1"/>
    <col min="3585" max="3830" width="9.5703125" style="16"/>
    <col min="3831" max="3831" width="3.28515625" style="16" customWidth="1"/>
    <col min="3832" max="3832" width="5" style="16" customWidth="1"/>
    <col min="3833" max="3833" width="47.28515625" style="16" customWidth="1"/>
    <col min="3834" max="3834" width="6.5703125" style="16" customWidth="1"/>
    <col min="3835" max="3835" width="7.140625" style="16" customWidth="1"/>
    <col min="3836" max="3836" width="11.5703125" style="16" customWidth="1"/>
    <col min="3837" max="3840" width="13.7109375" style="16" customWidth="1"/>
    <col min="3841" max="4086" width="9.5703125" style="16"/>
    <col min="4087" max="4087" width="3.28515625" style="16" customWidth="1"/>
    <col min="4088" max="4088" width="5" style="16" customWidth="1"/>
    <col min="4089" max="4089" width="47.28515625" style="16" customWidth="1"/>
    <col min="4090" max="4090" width="6.5703125" style="16" customWidth="1"/>
    <col min="4091" max="4091" width="7.140625" style="16" customWidth="1"/>
    <col min="4092" max="4092" width="11.5703125" style="16" customWidth="1"/>
    <col min="4093" max="4096" width="13.7109375" style="16" customWidth="1"/>
    <col min="4097" max="4342" width="9.5703125" style="16"/>
    <col min="4343" max="4343" width="3.28515625" style="16" customWidth="1"/>
    <col min="4344" max="4344" width="5" style="16" customWidth="1"/>
    <col min="4345" max="4345" width="47.28515625" style="16" customWidth="1"/>
    <col min="4346" max="4346" width="6.5703125" style="16" customWidth="1"/>
    <col min="4347" max="4347" width="7.140625" style="16" customWidth="1"/>
    <col min="4348" max="4348" width="11.5703125" style="16" customWidth="1"/>
    <col min="4349" max="4352" width="13.7109375" style="16" customWidth="1"/>
    <col min="4353" max="4598" width="9.5703125" style="16"/>
    <col min="4599" max="4599" width="3.28515625" style="16" customWidth="1"/>
    <col min="4600" max="4600" width="5" style="16" customWidth="1"/>
    <col min="4601" max="4601" width="47.28515625" style="16" customWidth="1"/>
    <col min="4602" max="4602" width="6.5703125" style="16" customWidth="1"/>
    <col min="4603" max="4603" width="7.140625" style="16" customWidth="1"/>
    <col min="4604" max="4604" width="11.5703125" style="16" customWidth="1"/>
    <col min="4605" max="4608" width="13.7109375" style="16" customWidth="1"/>
    <col min="4609" max="4854" width="9.5703125" style="16"/>
    <col min="4855" max="4855" width="3.28515625" style="16" customWidth="1"/>
    <col min="4856" max="4856" width="5" style="16" customWidth="1"/>
    <col min="4857" max="4857" width="47.28515625" style="16" customWidth="1"/>
    <col min="4858" max="4858" width="6.5703125" style="16" customWidth="1"/>
    <col min="4859" max="4859" width="7.140625" style="16" customWidth="1"/>
    <col min="4860" max="4860" width="11.5703125" style="16" customWidth="1"/>
    <col min="4861" max="4864" width="13.7109375" style="16" customWidth="1"/>
    <col min="4865" max="5110" width="9.5703125" style="16"/>
    <col min="5111" max="5111" width="3.28515625" style="16" customWidth="1"/>
    <col min="5112" max="5112" width="5" style="16" customWidth="1"/>
    <col min="5113" max="5113" width="47.28515625" style="16" customWidth="1"/>
    <col min="5114" max="5114" width="6.5703125" style="16" customWidth="1"/>
    <col min="5115" max="5115" width="7.140625" style="16" customWidth="1"/>
    <col min="5116" max="5116" width="11.5703125" style="16" customWidth="1"/>
    <col min="5117" max="5120" width="13.7109375" style="16" customWidth="1"/>
    <col min="5121" max="5366" width="9.5703125" style="16"/>
    <col min="5367" max="5367" width="3.28515625" style="16" customWidth="1"/>
    <col min="5368" max="5368" width="5" style="16" customWidth="1"/>
    <col min="5369" max="5369" width="47.28515625" style="16" customWidth="1"/>
    <col min="5370" max="5370" width="6.5703125" style="16" customWidth="1"/>
    <col min="5371" max="5371" width="7.140625" style="16" customWidth="1"/>
    <col min="5372" max="5372" width="11.5703125" style="16" customWidth="1"/>
    <col min="5373" max="5376" width="13.7109375" style="16" customWidth="1"/>
    <col min="5377" max="5622" width="9.5703125" style="16"/>
    <col min="5623" max="5623" width="3.28515625" style="16" customWidth="1"/>
    <col min="5624" max="5624" width="5" style="16" customWidth="1"/>
    <col min="5625" max="5625" width="47.28515625" style="16" customWidth="1"/>
    <col min="5626" max="5626" width="6.5703125" style="16" customWidth="1"/>
    <col min="5627" max="5627" width="7.140625" style="16" customWidth="1"/>
    <col min="5628" max="5628" width="11.5703125" style="16" customWidth="1"/>
    <col min="5629" max="5632" width="13.7109375" style="16" customWidth="1"/>
    <col min="5633" max="5878" width="9.5703125" style="16"/>
    <col min="5879" max="5879" width="3.28515625" style="16" customWidth="1"/>
    <col min="5880" max="5880" width="5" style="16" customWidth="1"/>
    <col min="5881" max="5881" width="47.28515625" style="16" customWidth="1"/>
    <col min="5882" max="5882" width="6.5703125" style="16" customWidth="1"/>
    <col min="5883" max="5883" width="7.140625" style="16" customWidth="1"/>
    <col min="5884" max="5884" width="11.5703125" style="16" customWidth="1"/>
    <col min="5885" max="5888" width="13.7109375" style="16" customWidth="1"/>
    <col min="5889" max="6134" width="9.5703125" style="16"/>
    <col min="6135" max="6135" width="3.28515625" style="16" customWidth="1"/>
    <col min="6136" max="6136" width="5" style="16" customWidth="1"/>
    <col min="6137" max="6137" width="47.28515625" style="16" customWidth="1"/>
    <col min="6138" max="6138" width="6.5703125" style="16" customWidth="1"/>
    <col min="6139" max="6139" width="7.140625" style="16" customWidth="1"/>
    <col min="6140" max="6140" width="11.5703125" style="16" customWidth="1"/>
    <col min="6141" max="6144" width="13.7109375" style="16" customWidth="1"/>
    <col min="6145" max="6390" width="9.5703125" style="16"/>
    <col min="6391" max="6391" width="3.28515625" style="16" customWidth="1"/>
    <col min="6392" max="6392" width="5" style="16" customWidth="1"/>
    <col min="6393" max="6393" width="47.28515625" style="16" customWidth="1"/>
    <col min="6394" max="6394" width="6.5703125" style="16" customWidth="1"/>
    <col min="6395" max="6395" width="7.140625" style="16" customWidth="1"/>
    <col min="6396" max="6396" width="11.5703125" style="16" customWidth="1"/>
    <col min="6397" max="6400" width="13.7109375" style="16" customWidth="1"/>
    <col min="6401" max="6646" width="9.5703125" style="16"/>
    <col min="6647" max="6647" width="3.28515625" style="16" customWidth="1"/>
    <col min="6648" max="6648" width="5" style="16" customWidth="1"/>
    <col min="6649" max="6649" width="47.28515625" style="16" customWidth="1"/>
    <col min="6650" max="6650" width="6.5703125" style="16" customWidth="1"/>
    <col min="6651" max="6651" width="7.140625" style="16" customWidth="1"/>
    <col min="6652" max="6652" width="11.5703125" style="16" customWidth="1"/>
    <col min="6653" max="6656" width="13.7109375" style="16" customWidth="1"/>
    <col min="6657" max="6902" width="9.5703125" style="16"/>
    <col min="6903" max="6903" width="3.28515625" style="16" customWidth="1"/>
    <col min="6904" max="6904" width="5" style="16" customWidth="1"/>
    <col min="6905" max="6905" width="47.28515625" style="16" customWidth="1"/>
    <col min="6906" max="6906" width="6.5703125" style="16" customWidth="1"/>
    <col min="6907" max="6907" width="7.140625" style="16" customWidth="1"/>
    <col min="6908" max="6908" width="11.5703125" style="16" customWidth="1"/>
    <col min="6909" max="6912" width="13.7109375" style="16" customWidth="1"/>
    <col min="6913" max="7158" width="9.5703125" style="16"/>
    <col min="7159" max="7159" width="3.28515625" style="16" customWidth="1"/>
    <col min="7160" max="7160" width="5" style="16" customWidth="1"/>
    <col min="7161" max="7161" width="47.28515625" style="16" customWidth="1"/>
    <col min="7162" max="7162" width="6.5703125" style="16" customWidth="1"/>
    <col min="7163" max="7163" width="7.140625" style="16" customWidth="1"/>
    <col min="7164" max="7164" width="11.5703125" style="16" customWidth="1"/>
    <col min="7165" max="7168" width="13.7109375" style="16" customWidth="1"/>
    <col min="7169" max="7414" width="9.5703125" style="16"/>
    <col min="7415" max="7415" width="3.28515625" style="16" customWidth="1"/>
    <col min="7416" max="7416" width="5" style="16" customWidth="1"/>
    <col min="7417" max="7417" width="47.28515625" style="16" customWidth="1"/>
    <col min="7418" max="7418" width="6.5703125" style="16" customWidth="1"/>
    <col min="7419" max="7419" width="7.140625" style="16" customWidth="1"/>
    <col min="7420" max="7420" width="11.5703125" style="16" customWidth="1"/>
    <col min="7421" max="7424" width="13.7109375" style="16" customWidth="1"/>
    <col min="7425" max="7670" width="9.5703125" style="16"/>
    <col min="7671" max="7671" width="3.28515625" style="16" customWidth="1"/>
    <col min="7672" max="7672" width="5" style="16" customWidth="1"/>
    <col min="7673" max="7673" width="47.28515625" style="16" customWidth="1"/>
    <col min="7674" max="7674" width="6.5703125" style="16" customWidth="1"/>
    <col min="7675" max="7675" width="7.140625" style="16" customWidth="1"/>
    <col min="7676" max="7676" width="11.5703125" style="16" customWidth="1"/>
    <col min="7677" max="7680" width="13.7109375" style="16" customWidth="1"/>
    <col min="7681" max="7926" width="9.5703125" style="16"/>
    <col min="7927" max="7927" width="3.28515625" style="16" customWidth="1"/>
    <col min="7928" max="7928" width="5" style="16" customWidth="1"/>
    <col min="7929" max="7929" width="47.28515625" style="16" customWidth="1"/>
    <col min="7930" max="7930" width="6.5703125" style="16" customWidth="1"/>
    <col min="7931" max="7931" width="7.140625" style="16" customWidth="1"/>
    <col min="7932" max="7932" width="11.5703125" style="16" customWidth="1"/>
    <col min="7933" max="7936" width="13.7109375" style="16" customWidth="1"/>
    <col min="7937" max="8182" width="9.5703125" style="16"/>
    <col min="8183" max="8183" width="3.28515625" style="16" customWidth="1"/>
    <col min="8184" max="8184" width="5" style="16" customWidth="1"/>
    <col min="8185" max="8185" width="47.28515625" style="16" customWidth="1"/>
    <col min="8186" max="8186" width="6.5703125" style="16" customWidth="1"/>
    <col min="8187" max="8187" width="7.140625" style="16" customWidth="1"/>
    <col min="8188" max="8188" width="11.5703125" style="16" customWidth="1"/>
    <col min="8189" max="8192" width="13.7109375" style="16" customWidth="1"/>
    <col min="8193" max="8438" width="9.5703125" style="16"/>
    <col min="8439" max="8439" width="3.28515625" style="16" customWidth="1"/>
    <col min="8440" max="8440" width="5" style="16" customWidth="1"/>
    <col min="8441" max="8441" width="47.28515625" style="16" customWidth="1"/>
    <col min="8442" max="8442" width="6.5703125" style="16" customWidth="1"/>
    <col min="8443" max="8443" width="7.140625" style="16" customWidth="1"/>
    <col min="8444" max="8444" width="11.5703125" style="16" customWidth="1"/>
    <col min="8445" max="8448" width="13.7109375" style="16" customWidth="1"/>
    <col min="8449" max="8694" width="9.5703125" style="16"/>
    <col min="8695" max="8695" width="3.28515625" style="16" customWidth="1"/>
    <col min="8696" max="8696" width="5" style="16" customWidth="1"/>
    <col min="8697" max="8697" width="47.28515625" style="16" customWidth="1"/>
    <col min="8698" max="8698" width="6.5703125" style="16" customWidth="1"/>
    <col min="8699" max="8699" width="7.140625" style="16" customWidth="1"/>
    <col min="8700" max="8700" width="11.5703125" style="16" customWidth="1"/>
    <col min="8701" max="8704" width="13.7109375" style="16" customWidth="1"/>
    <col min="8705" max="8950" width="9.5703125" style="16"/>
    <col min="8951" max="8951" width="3.28515625" style="16" customWidth="1"/>
    <col min="8952" max="8952" width="5" style="16" customWidth="1"/>
    <col min="8953" max="8953" width="47.28515625" style="16" customWidth="1"/>
    <col min="8954" max="8954" width="6.5703125" style="16" customWidth="1"/>
    <col min="8955" max="8955" width="7.140625" style="16" customWidth="1"/>
    <col min="8956" max="8956" width="11.5703125" style="16" customWidth="1"/>
    <col min="8957" max="8960" width="13.7109375" style="16" customWidth="1"/>
    <col min="8961" max="9206" width="9.5703125" style="16"/>
    <col min="9207" max="9207" width="3.28515625" style="16" customWidth="1"/>
    <col min="9208" max="9208" width="5" style="16" customWidth="1"/>
    <col min="9209" max="9209" width="47.28515625" style="16" customWidth="1"/>
    <col min="9210" max="9210" width="6.5703125" style="16" customWidth="1"/>
    <col min="9211" max="9211" width="7.140625" style="16" customWidth="1"/>
    <col min="9212" max="9212" width="11.5703125" style="16" customWidth="1"/>
    <col min="9213" max="9216" width="13.7109375" style="16" customWidth="1"/>
    <col min="9217" max="9462" width="9.5703125" style="16"/>
    <col min="9463" max="9463" width="3.28515625" style="16" customWidth="1"/>
    <col min="9464" max="9464" width="5" style="16" customWidth="1"/>
    <col min="9465" max="9465" width="47.28515625" style="16" customWidth="1"/>
    <col min="9466" max="9466" width="6.5703125" style="16" customWidth="1"/>
    <col min="9467" max="9467" width="7.140625" style="16" customWidth="1"/>
    <col min="9468" max="9468" width="11.5703125" style="16" customWidth="1"/>
    <col min="9469" max="9472" width="13.7109375" style="16" customWidth="1"/>
    <col min="9473" max="9718" width="9.5703125" style="16"/>
    <col min="9719" max="9719" width="3.28515625" style="16" customWidth="1"/>
    <col min="9720" max="9720" width="5" style="16" customWidth="1"/>
    <col min="9721" max="9721" width="47.28515625" style="16" customWidth="1"/>
    <col min="9722" max="9722" width="6.5703125" style="16" customWidth="1"/>
    <col min="9723" max="9723" width="7.140625" style="16" customWidth="1"/>
    <col min="9724" max="9724" width="11.5703125" style="16" customWidth="1"/>
    <col min="9725" max="9728" width="13.7109375" style="16" customWidth="1"/>
    <col min="9729" max="9974" width="9.5703125" style="16"/>
    <col min="9975" max="9975" width="3.28515625" style="16" customWidth="1"/>
    <col min="9976" max="9976" width="5" style="16" customWidth="1"/>
    <col min="9977" max="9977" width="47.28515625" style="16" customWidth="1"/>
    <col min="9978" max="9978" width="6.5703125" style="16" customWidth="1"/>
    <col min="9979" max="9979" width="7.140625" style="16" customWidth="1"/>
    <col min="9980" max="9980" width="11.5703125" style="16" customWidth="1"/>
    <col min="9981" max="9984" width="13.7109375" style="16" customWidth="1"/>
    <col min="9985" max="10230" width="9.5703125" style="16"/>
    <col min="10231" max="10231" width="3.28515625" style="16" customWidth="1"/>
    <col min="10232" max="10232" width="5" style="16" customWidth="1"/>
    <col min="10233" max="10233" width="47.28515625" style="16" customWidth="1"/>
    <col min="10234" max="10234" width="6.5703125" style="16" customWidth="1"/>
    <col min="10235" max="10235" width="7.140625" style="16" customWidth="1"/>
    <col min="10236" max="10236" width="11.5703125" style="16" customWidth="1"/>
    <col min="10237" max="10240" width="13.7109375" style="16" customWidth="1"/>
    <col min="10241" max="10486" width="9.5703125" style="16"/>
    <col min="10487" max="10487" width="3.28515625" style="16" customWidth="1"/>
    <col min="10488" max="10488" width="5" style="16" customWidth="1"/>
    <col min="10489" max="10489" width="47.28515625" style="16" customWidth="1"/>
    <col min="10490" max="10490" width="6.5703125" style="16" customWidth="1"/>
    <col min="10491" max="10491" width="7.140625" style="16" customWidth="1"/>
    <col min="10492" max="10492" width="11.5703125" style="16" customWidth="1"/>
    <col min="10493" max="10496" width="13.7109375" style="16" customWidth="1"/>
    <col min="10497" max="10742" width="9.5703125" style="16"/>
    <col min="10743" max="10743" width="3.28515625" style="16" customWidth="1"/>
    <col min="10744" max="10744" width="5" style="16" customWidth="1"/>
    <col min="10745" max="10745" width="47.28515625" style="16" customWidth="1"/>
    <col min="10746" max="10746" width="6.5703125" style="16" customWidth="1"/>
    <col min="10747" max="10747" width="7.140625" style="16" customWidth="1"/>
    <col min="10748" max="10748" width="11.5703125" style="16" customWidth="1"/>
    <col min="10749" max="10752" width="13.7109375" style="16" customWidth="1"/>
    <col min="10753" max="10998" width="9.5703125" style="16"/>
    <col min="10999" max="10999" width="3.28515625" style="16" customWidth="1"/>
    <col min="11000" max="11000" width="5" style="16" customWidth="1"/>
    <col min="11001" max="11001" width="47.28515625" style="16" customWidth="1"/>
    <col min="11002" max="11002" width="6.5703125" style="16" customWidth="1"/>
    <col min="11003" max="11003" width="7.140625" style="16" customWidth="1"/>
    <col min="11004" max="11004" width="11.5703125" style="16" customWidth="1"/>
    <col min="11005" max="11008" width="13.7109375" style="16" customWidth="1"/>
    <col min="11009" max="11254" width="9.5703125" style="16"/>
    <col min="11255" max="11255" width="3.28515625" style="16" customWidth="1"/>
    <col min="11256" max="11256" width="5" style="16" customWidth="1"/>
    <col min="11257" max="11257" width="47.28515625" style="16" customWidth="1"/>
    <col min="11258" max="11258" width="6.5703125" style="16" customWidth="1"/>
    <col min="11259" max="11259" width="7.140625" style="16" customWidth="1"/>
    <col min="11260" max="11260" width="11.5703125" style="16" customWidth="1"/>
    <col min="11261" max="11264" width="13.7109375" style="16" customWidth="1"/>
    <col min="11265" max="11510" width="9.5703125" style="16"/>
    <col min="11511" max="11511" width="3.28515625" style="16" customWidth="1"/>
    <col min="11512" max="11512" width="5" style="16" customWidth="1"/>
    <col min="11513" max="11513" width="47.28515625" style="16" customWidth="1"/>
    <col min="11514" max="11514" width="6.5703125" style="16" customWidth="1"/>
    <col min="11515" max="11515" width="7.140625" style="16" customWidth="1"/>
    <col min="11516" max="11516" width="11.5703125" style="16" customWidth="1"/>
    <col min="11517" max="11520" width="13.7109375" style="16" customWidth="1"/>
    <col min="11521" max="11766" width="9.5703125" style="16"/>
    <col min="11767" max="11767" width="3.28515625" style="16" customWidth="1"/>
    <col min="11768" max="11768" width="5" style="16" customWidth="1"/>
    <col min="11769" max="11769" width="47.28515625" style="16" customWidth="1"/>
    <col min="11770" max="11770" width="6.5703125" style="16" customWidth="1"/>
    <col min="11771" max="11771" width="7.140625" style="16" customWidth="1"/>
    <col min="11772" max="11772" width="11.5703125" style="16" customWidth="1"/>
    <col min="11773" max="11776" width="13.7109375" style="16" customWidth="1"/>
    <col min="11777" max="12022" width="9.5703125" style="16"/>
    <col min="12023" max="12023" width="3.28515625" style="16" customWidth="1"/>
    <col min="12024" max="12024" width="5" style="16" customWidth="1"/>
    <col min="12025" max="12025" width="47.28515625" style="16" customWidth="1"/>
    <col min="12026" max="12026" width="6.5703125" style="16" customWidth="1"/>
    <col min="12027" max="12027" width="7.140625" style="16" customWidth="1"/>
    <col min="12028" max="12028" width="11.5703125" style="16" customWidth="1"/>
    <col min="12029" max="12032" width="13.7109375" style="16" customWidth="1"/>
    <col min="12033" max="12278" width="9.5703125" style="16"/>
    <col min="12279" max="12279" width="3.28515625" style="16" customWidth="1"/>
    <col min="12280" max="12280" width="5" style="16" customWidth="1"/>
    <col min="12281" max="12281" width="47.28515625" style="16" customWidth="1"/>
    <col min="12282" max="12282" width="6.5703125" style="16" customWidth="1"/>
    <col min="12283" max="12283" width="7.140625" style="16" customWidth="1"/>
    <col min="12284" max="12284" width="11.5703125" style="16" customWidth="1"/>
    <col min="12285" max="12288" width="13.7109375" style="16" customWidth="1"/>
    <col min="12289" max="12534" width="9.5703125" style="16"/>
    <col min="12535" max="12535" width="3.28515625" style="16" customWidth="1"/>
    <col min="12536" max="12536" width="5" style="16" customWidth="1"/>
    <col min="12537" max="12537" width="47.28515625" style="16" customWidth="1"/>
    <col min="12538" max="12538" width="6.5703125" style="16" customWidth="1"/>
    <col min="12539" max="12539" width="7.140625" style="16" customWidth="1"/>
    <col min="12540" max="12540" width="11.5703125" style="16" customWidth="1"/>
    <col min="12541" max="12544" width="13.7109375" style="16" customWidth="1"/>
    <col min="12545" max="12790" width="9.5703125" style="16"/>
    <col min="12791" max="12791" width="3.28515625" style="16" customWidth="1"/>
    <col min="12792" max="12792" width="5" style="16" customWidth="1"/>
    <col min="12793" max="12793" width="47.28515625" style="16" customWidth="1"/>
    <col min="12794" max="12794" width="6.5703125" style="16" customWidth="1"/>
    <col min="12795" max="12795" width="7.140625" style="16" customWidth="1"/>
    <col min="12796" max="12796" width="11.5703125" style="16" customWidth="1"/>
    <col min="12797" max="12800" width="13.7109375" style="16" customWidth="1"/>
    <col min="12801" max="13046" width="9.5703125" style="16"/>
    <col min="13047" max="13047" width="3.28515625" style="16" customWidth="1"/>
    <col min="13048" max="13048" width="5" style="16" customWidth="1"/>
    <col min="13049" max="13049" width="47.28515625" style="16" customWidth="1"/>
    <col min="13050" max="13050" width="6.5703125" style="16" customWidth="1"/>
    <col min="13051" max="13051" width="7.140625" style="16" customWidth="1"/>
    <col min="13052" max="13052" width="11.5703125" style="16" customWidth="1"/>
    <col min="13053" max="13056" width="13.7109375" style="16" customWidth="1"/>
    <col min="13057" max="13302" width="9.5703125" style="16"/>
    <col min="13303" max="13303" width="3.28515625" style="16" customWidth="1"/>
    <col min="13304" max="13304" width="5" style="16" customWidth="1"/>
    <col min="13305" max="13305" width="47.28515625" style="16" customWidth="1"/>
    <col min="13306" max="13306" width="6.5703125" style="16" customWidth="1"/>
    <col min="13307" max="13307" width="7.140625" style="16" customWidth="1"/>
    <col min="13308" max="13308" width="11.5703125" style="16" customWidth="1"/>
    <col min="13309" max="13312" width="13.7109375" style="16" customWidth="1"/>
    <col min="13313" max="13558" width="9.5703125" style="16"/>
    <col min="13559" max="13559" width="3.28515625" style="16" customWidth="1"/>
    <col min="13560" max="13560" width="5" style="16" customWidth="1"/>
    <col min="13561" max="13561" width="47.28515625" style="16" customWidth="1"/>
    <col min="13562" max="13562" width="6.5703125" style="16" customWidth="1"/>
    <col min="13563" max="13563" width="7.140625" style="16" customWidth="1"/>
    <col min="13564" max="13564" width="11.5703125" style="16" customWidth="1"/>
    <col min="13565" max="13568" width="13.7109375" style="16" customWidth="1"/>
    <col min="13569" max="13814" width="9.5703125" style="16"/>
    <col min="13815" max="13815" width="3.28515625" style="16" customWidth="1"/>
    <col min="13816" max="13816" width="5" style="16" customWidth="1"/>
    <col min="13817" max="13817" width="47.28515625" style="16" customWidth="1"/>
    <col min="13818" max="13818" width="6.5703125" style="16" customWidth="1"/>
    <col min="13819" max="13819" width="7.140625" style="16" customWidth="1"/>
    <col min="13820" max="13820" width="11.5703125" style="16" customWidth="1"/>
    <col min="13821" max="13824" width="13.7109375" style="16" customWidth="1"/>
    <col min="13825" max="14070" width="9.5703125" style="16"/>
    <col min="14071" max="14071" width="3.28515625" style="16" customWidth="1"/>
    <col min="14072" max="14072" width="5" style="16" customWidth="1"/>
    <col min="14073" max="14073" width="47.28515625" style="16" customWidth="1"/>
    <col min="14074" max="14074" width="6.5703125" style="16" customWidth="1"/>
    <col min="14075" max="14075" width="7.140625" style="16" customWidth="1"/>
    <col min="14076" max="14076" width="11.5703125" style="16" customWidth="1"/>
    <col min="14077" max="14080" width="13.7109375" style="16" customWidth="1"/>
    <col min="14081" max="14326" width="9.5703125" style="16"/>
    <col min="14327" max="14327" width="3.28515625" style="16" customWidth="1"/>
    <col min="14328" max="14328" width="5" style="16" customWidth="1"/>
    <col min="14329" max="14329" width="47.28515625" style="16" customWidth="1"/>
    <col min="14330" max="14330" width="6.5703125" style="16" customWidth="1"/>
    <col min="14331" max="14331" width="7.140625" style="16" customWidth="1"/>
    <col min="14332" max="14332" width="11.5703125" style="16" customWidth="1"/>
    <col min="14333" max="14336" width="13.7109375" style="16" customWidth="1"/>
    <col min="14337" max="14582" width="9.5703125" style="16"/>
    <col min="14583" max="14583" width="3.28515625" style="16" customWidth="1"/>
    <col min="14584" max="14584" width="5" style="16" customWidth="1"/>
    <col min="14585" max="14585" width="47.28515625" style="16" customWidth="1"/>
    <col min="14586" max="14586" width="6.5703125" style="16" customWidth="1"/>
    <col min="14587" max="14587" width="7.140625" style="16" customWidth="1"/>
    <col min="14588" max="14588" width="11.5703125" style="16" customWidth="1"/>
    <col min="14589" max="14592" width="13.7109375" style="16" customWidth="1"/>
    <col min="14593" max="14838" width="9.5703125" style="16"/>
    <col min="14839" max="14839" width="3.28515625" style="16" customWidth="1"/>
    <col min="14840" max="14840" width="5" style="16" customWidth="1"/>
    <col min="14841" max="14841" width="47.28515625" style="16" customWidth="1"/>
    <col min="14842" max="14842" width="6.5703125" style="16" customWidth="1"/>
    <col min="14843" max="14843" width="7.140625" style="16" customWidth="1"/>
    <col min="14844" max="14844" width="11.5703125" style="16" customWidth="1"/>
    <col min="14845" max="14848" width="13.7109375" style="16" customWidth="1"/>
    <col min="14849" max="15094" width="9.5703125" style="16"/>
    <col min="15095" max="15095" width="3.28515625" style="16" customWidth="1"/>
    <col min="15096" max="15096" width="5" style="16" customWidth="1"/>
    <col min="15097" max="15097" width="47.28515625" style="16" customWidth="1"/>
    <col min="15098" max="15098" width="6.5703125" style="16" customWidth="1"/>
    <col min="15099" max="15099" width="7.140625" style="16" customWidth="1"/>
    <col min="15100" max="15100" width="11.5703125" style="16" customWidth="1"/>
    <col min="15101" max="15104" width="13.7109375" style="16" customWidth="1"/>
    <col min="15105" max="15350" width="9.5703125" style="16"/>
    <col min="15351" max="15351" width="3.28515625" style="16" customWidth="1"/>
    <col min="15352" max="15352" width="5" style="16" customWidth="1"/>
    <col min="15353" max="15353" width="47.28515625" style="16" customWidth="1"/>
    <col min="15354" max="15354" width="6.5703125" style="16" customWidth="1"/>
    <col min="15355" max="15355" width="7.140625" style="16" customWidth="1"/>
    <col min="15356" max="15356" width="11.5703125" style="16" customWidth="1"/>
    <col min="15357" max="15360" width="13.7109375" style="16" customWidth="1"/>
    <col min="15361" max="15606" width="9.5703125" style="16"/>
    <col min="15607" max="15607" width="3.28515625" style="16" customWidth="1"/>
    <col min="15608" max="15608" width="5" style="16" customWidth="1"/>
    <col min="15609" max="15609" width="47.28515625" style="16" customWidth="1"/>
    <col min="15610" max="15610" width="6.5703125" style="16" customWidth="1"/>
    <col min="15611" max="15611" width="7.140625" style="16" customWidth="1"/>
    <col min="15612" max="15612" width="11.5703125" style="16" customWidth="1"/>
    <col min="15613" max="15616" width="13.7109375" style="16" customWidth="1"/>
    <col min="15617" max="15862" width="9.5703125" style="16"/>
    <col min="15863" max="15863" width="3.28515625" style="16" customWidth="1"/>
    <col min="15864" max="15864" width="5" style="16" customWidth="1"/>
    <col min="15865" max="15865" width="47.28515625" style="16" customWidth="1"/>
    <col min="15866" max="15866" width="6.5703125" style="16" customWidth="1"/>
    <col min="15867" max="15867" width="7.140625" style="16" customWidth="1"/>
    <col min="15868" max="15868" width="11.5703125" style="16" customWidth="1"/>
    <col min="15869" max="15872" width="13.7109375" style="16" customWidth="1"/>
    <col min="15873" max="16118" width="9.5703125" style="16"/>
    <col min="16119" max="16119" width="3.28515625" style="16" customWidth="1"/>
    <col min="16120" max="16120" width="5" style="16" customWidth="1"/>
    <col min="16121" max="16121" width="47.28515625" style="16" customWidth="1"/>
    <col min="16122" max="16122" width="6.5703125" style="16" customWidth="1"/>
    <col min="16123" max="16123" width="7.140625" style="16" customWidth="1"/>
    <col min="16124" max="16124" width="11.5703125" style="16" customWidth="1"/>
    <col min="16125" max="16128" width="13.7109375" style="16" customWidth="1"/>
    <col min="16129" max="16384" width="9.5703125" style="16"/>
  </cols>
  <sheetData>
    <row r="1" spans="1:11" s="120" customFormat="1" ht="21" x14ac:dyDescent="0.35">
      <c r="A1" s="116" t="s">
        <v>0</v>
      </c>
      <c r="B1" s="116"/>
      <c r="C1" s="117"/>
      <c r="D1" s="118"/>
      <c r="E1" s="119"/>
      <c r="F1" s="119"/>
      <c r="G1" s="119"/>
      <c r="H1" s="119"/>
      <c r="I1" s="119"/>
      <c r="J1" s="119"/>
      <c r="K1" s="119"/>
    </row>
    <row r="2" spans="1:11" s="120" customFormat="1" ht="12.75" customHeight="1" x14ac:dyDescent="0.25">
      <c r="A2" s="121" t="s">
        <v>124</v>
      </c>
      <c r="B2" s="121"/>
      <c r="C2" s="122"/>
      <c r="D2" s="123"/>
      <c r="E2" s="119"/>
      <c r="F2" s="119"/>
      <c r="G2" s="119"/>
      <c r="H2" s="119"/>
      <c r="I2" s="119"/>
      <c r="J2" s="119"/>
      <c r="K2" s="119"/>
    </row>
    <row r="3" spans="1:11" s="120" customFormat="1" ht="9" customHeight="1" x14ac:dyDescent="0.3">
      <c r="A3" s="122"/>
      <c r="B3" s="122"/>
      <c r="C3" s="122"/>
      <c r="D3" s="124"/>
      <c r="E3" s="119"/>
      <c r="F3" s="119"/>
      <c r="G3" s="119"/>
      <c r="H3" s="119"/>
      <c r="I3" s="119"/>
      <c r="J3" s="119"/>
      <c r="K3" s="119"/>
    </row>
    <row r="4" spans="1:11" ht="15.75" x14ac:dyDescent="0.25">
      <c r="A4" s="116" t="s">
        <v>125</v>
      </c>
      <c r="B4" s="116"/>
      <c r="C4" s="15"/>
      <c r="D4" s="47"/>
      <c r="E4" s="119"/>
      <c r="F4" s="119"/>
      <c r="G4" s="119"/>
      <c r="H4" s="119"/>
      <c r="I4" s="119"/>
      <c r="J4" s="47"/>
      <c r="K4" s="125" t="s">
        <v>25</v>
      </c>
    </row>
    <row r="5" spans="1:11" ht="15.75" x14ac:dyDescent="0.25">
      <c r="A5" s="126" t="s">
        <v>126</v>
      </c>
      <c r="B5" s="127"/>
      <c r="C5" s="15"/>
      <c r="D5" s="47"/>
      <c r="E5" s="119"/>
      <c r="F5" s="119"/>
      <c r="G5" s="47"/>
      <c r="H5" s="128"/>
      <c r="I5" s="128"/>
      <c r="J5" s="128"/>
      <c r="K5" s="129" t="s">
        <v>27</v>
      </c>
    </row>
    <row r="6" spans="1:11" ht="8.1" customHeight="1" thickBot="1" x14ac:dyDescent="0.3">
      <c r="A6" s="126"/>
      <c r="B6" s="126"/>
      <c r="C6" s="122"/>
      <c r="D6" s="130"/>
      <c r="E6" s="119"/>
      <c r="F6" s="119"/>
      <c r="G6" s="195"/>
      <c r="H6" s="195"/>
      <c r="I6" s="195"/>
      <c r="J6" s="195"/>
      <c r="K6" s="195"/>
    </row>
    <row r="7" spans="1:11" ht="15" customHeight="1" x14ac:dyDescent="0.25">
      <c r="A7" s="196" t="s">
        <v>1</v>
      </c>
      <c r="B7" s="197"/>
      <c r="C7" s="200" t="s">
        <v>127</v>
      </c>
      <c r="D7" s="200" t="s">
        <v>128</v>
      </c>
      <c r="E7" s="201" t="s">
        <v>3</v>
      </c>
      <c r="F7" s="201" t="s">
        <v>19</v>
      </c>
      <c r="G7" s="201" t="s">
        <v>129</v>
      </c>
      <c r="H7" s="201"/>
      <c r="I7" s="201" t="s">
        <v>130</v>
      </c>
      <c r="J7" s="201"/>
      <c r="K7" s="131" t="s">
        <v>131</v>
      </c>
    </row>
    <row r="8" spans="1:11" s="133" customFormat="1" ht="15" customHeight="1" thickBot="1" x14ac:dyDescent="0.3">
      <c r="A8" s="198"/>
      <c r="B8" s="199"/>
      <c r="C8" s="200"/>
      <c r="D8" s="200"/>
      <c r="E8" s="201"/>
      <c r="F8" s="201"/>
      <c r="G8" s="132" t="s">
        <v>4</v>
      </c>
      <c r="H8" s="132" t="s">
        <v>5</v>
      </c>
      <c r="I8" s="132" t="s">
        <v>4</v>
      </c>
      <c r="J8" s="132" t="s">
        <v>5</v>
      </c>
      <c r="K8" s="132" t="s">
        <v>5</v>
      </c>
    </row>
    <row r="9" spans="1:11" ht="18" customHeight="1" thickTop="1" x14ac:dyDescent="0.25">
      <c r="A9" s="134"/>
      <c r="B9" s="135"/>
      <c r="C9" s="136" t="s">
        <v>132</v>
      </c>
      <c r="D9" s="137"/>
      <c r="E9" s="6"/>
      <c r="F9" s="6"/>
      <c r="G9" s="6"/>
      <c r="H9" s="6"/>
      <c r="I9" s="6"/>
      <c r="J9" s="6"/>
      <c r="K9" s="6"/>
    </row>
    <row r="10" spans="1:11" ht="52.5" customHeight="1" x14ac:dyDescent="0.25">
      <c r="A10" s="138"/>
      <c r="B10" s="139"/>
      <c r="C10" s="140" t="s">
        <v>133</v>
      </c>
      <c r="D10" s="9"/>
      <c r="E10" s="6"/>
      <c r="F10" s="6"/>
      <c r="G10" s="6"/>
      <c r="H10" s="6"/>
      <c r="I10" s="6"/>
      <c r="J10" s="6"/>
      <c r="K10" s="6"/>
    </row>
    <row r="11" spans="1:11" ht="76.5" customHeight="1" x14ac:dyDescent="0.25">
      <c r="A11" s="141">
        <v>1</v>
      </c>
      <c r="B11" s="142"/>
      <c r="C11" s="10" t="s">
        <v>134</v>
      </c>
      <c r="D11" s="143"/>
      <c r="E11" s="4"/>
      <c r="F11" s="4"/>
      <c r="G11" s="144"/>
      <c r="H11" s="145"/>
      <c r="I11" s="144"/>
      <c r="J11" s="145"/>
      <c r="K11" s="145"/>
    </row>
    <row r="12" spans="1:11" ht="15" customHeight="1" x14ac:dyDescent="0.25">
      <c r="A12" s="146"/>
      <c r="B12" s="147" t="s">
        <v>85</v>
      </c>
      <c r="C12" s="148" t="s">
        <v>135</v>
      </c>
      <c r="D12" s="143" t="s">
        <v>22</v>
      </c>
      <c r="E12" s="4">
        <v>150</v>
      </c>
      <c r="F12" s="4"/>
      <c r="G12" s="7">
        <v>1635</v>
      </c>
      <c r="H12" s="7">
        <f>G12*E12</f>
        <v>245250</v>
      </c>
      <c r="I12" s="7">
        <v>650</v>
      </c>
      <c r="J12" s="7">
        <f>I12*E12</f>
        <v>97500</v>
      </c>
      <c r="K12" s="7">
        <f>J12+H12</f>
        <v>342750</v>
      </c>
    </row>
    <row r="13" spans="1:11" ht="15" customHeight="1" x14ac:dyDescent="0.25">
      <c r="A13" s="146"/>
      <c r="B13" s="147" t="s">
        <v>111</v>
      </c>
      <c r="C13" s="148" t="s">
        <v>136</v>
      </c>
      <c r="D13" s="143" t="s">
        <v>22</v>
      </c>
      <c r="E13" s="4">
        <v>50</v>
      </c>
      <c r="F13" s="4"/>
      <c r="G13" s="7">
        <v>2210</v>
      </c>
      <c r="H13" s="7">
        <f t="shared" ref="H13:H28" si="0">G13*E13</f>
        <v>110500</v>
      </c>
      <c r="I13" s="7">
        <v>680</v>
      </c>
      <c r="J13" s="7">
        <f t="shared" ref="J13:J28" si="1">I13*E13</f>
        <v>34000</v>
      </c>
      <c r="K13" s="7">
        <f t="shared" ref="K13:K28" si="2">J13+H13</f>
        <v>144500</v>
      </c>
    </row>
    <row r="14" spans="1:11" ht="15" customHeight="1" x14ac:dyDescent="0.25">
      <c r="A14" s="146"/>
      <c r="B14" s="147" t="s">
        <v>137</v>
      </c>
      <c r="C14" s="148" t="s">
        <v>138</v>
      </c>
      <c r="D14" s="143" t="s">
        <v>22</v>
      </c>
      <c r="E14" s="4">
        <v>50</v>
      </c>
      <c r="F14" s="4"/>
      <c r="G14" s="7">
        <v>2600</v>
      </c>
      <c r="H14" s="7">
        <f t="shared" si="0"/>
        <v>130000</v>
      </c>
      <c r="I14" s="7">
        <v>710</v>
      </c>
      <c r="J14" s="7">
        <f t="shared" si="1"/>
        <v>35500</v>
      </c>
      <c r="K14" s="7">
        <f t="shared" si="2"/>
        <v>165500</v>
      </c>
    </row>
    <row r="15" spans="1:11" ht="15" customHeight="1" x14ac:dyDescent="0.25">
      <c r="A15" s="146"/>
      <c r="B15" s="147" t="s">
        <v>139</v>
      </c>
      <c r="C15" s="148" t="s">
        <v>140</v>
      </c>
      <c r="D15" s="143" t="s">
        <v>22</v>
      </c>
      <c r="E15" s="4">
        <v>40</v>
      </c>
      <c r="F15" s="4"/>
      <c r="G15" s="7">
        <v>3400</v>
      </c>
      <c r="H15" s="7">
        <f t="shared" si="0"/>
        <v>136000</v>
      </c>
      <c r="I15" s="7">
        <v>740</v>
      </c>
      <c r="J15" s="7">
        <f t="shared" si="1"/>
        <v>29600</v>
      </c>
      <c r="K15" s="7">
        <f t="shared" si="2"/>
        <v>165600</v>
      </c>
    </row>
    <row r="16" spans="1:11" ht="15" customHeight="1" x14ac:dyDescent="0.25">
      <c r="A16" s="146"/>
      <c r="B16" s="147" t="s">
        <v>141</v>
      </c>
      <c r="C16" s="148" t="s">
        <v>142</v>
      </c>
      <c r="D16" s="143" t="s">
        <v>22</v>
      </c>
      <c r="E16" s="4">
        <v>40</v>
      </c>
      <c r="F16" s="4"/>
      <c r="G16" s="7">
        <v>5500</v>
      </c>
      <c r="H16" s="7">
        <f t="shared" si="0"/>
        <v>220000</v>
      </c>
      <c r="I16" s="7">
        <v>810</v>
      </c>
      <c r="J16" s="7">
        <f t="shared" si="1"/>
        <v>32400</v>
      </c>
      <c r="K16" s="7">
        <f t="shared" si="2"/>
        <v>252400</v>
      </c>
    </row>
    <row r="17" spans="1:11" s="149" customFormat="1" ht="15" customHeight="1" x14ac:dyDescent="0.25">
      <c r="A17" s="146"/>
      <c r="B17" s="147" t="s">
        <v>143</v>
      </c>
      <c r="C17" s="148" t="s">
        <v>144</v>
      </c>
      <c r="D17" s="143" t="s">
        <v>22</v>
      </c>
      <c r="E17" s="4">
        <v>15</v>
      </c>
      <c r="F17" s="4"/>
      <c r="G17" s="7">
        <v>6990</v>
      </c>
      <c r="H17" s="7">
        <f t="shared" si="0"/>
        <v>104850</v>
      </c>
      <c r="I17" s="7">
        <v>880</v>
      </c>
      <c r="J17" s="7">
        <f t="shared" si="1"/>
        <v>13200</v>
      </c>
      <c r="K17" s="7">
        <f t="shared" si="2"/>
        <v>118050</v>
      </c>
    </row>
    <row r="18" spans="1:11" s="153" customFormat="1" ht="18" customHeight="1" x14ac:dyDescent="0.2">
      <c r="A18" s="141">
        <f>A11+1</f>
        <v>2</v>
      </c>
      <c r="B18" s="150"/>
      <c r="C18" s="151" t="s">
        <v>145</v>
      </c>
      <c r="D18" s="152"/>
      <c r="E18" s="5"/>
      <c r="F18" s="5"/>
      <c r="G18" s="7"/>
      <c r="H18" s="7">
        <f t="shared" si="0"/>
        <v>0</v>
      </c>
      <c r="I18" s="7"/>
      <c r="J18" s="7">
        <f t="shared" si="1"/>
        <v>0</v>
      </c>
      <c r="K18" s="7">
        <f t="shared" si="2"/>
        <v>0</v>
      </c>
    </row>
    <row r="19" spans="1:11" ht="15" customHeight="1" x14ac:dyDescent="0.25">
      <c r="A19" s="154"/>
      <c r="B19" s="155" t="s">
        <v>85</v>
      </c>
      <c r="C19" s="156" t="s">
        <v>165</v>
      </c>
      <c r="D19" s="143" t="str">
        <f>IF(C19="","",IF(E19="","",IF(E19&gt;1,"Nos.","No.")))</f>
        <v>Nos.</v>
      </c>
      <c r="E19" s="3">
        <v>3</v>
      </c>
      <c r="F19" s="3"/>
      <c r="G19" s="7">
        <v>21500</v>
      </c>
      <c r="H19" s="7">
        <f t="shared" si="0"/>
        <v>64500</v>
      </c>
      <c r="I19" s="7">
        <v>700</v>
      </c>
      <c r="J19" s="7">
        <f t="shared" si="1"/>
        <v>2100</v>
      </c>
      <c r="K19" s="7">
        <f t="shared" si="2"/>
        <v>66600</v>
      </c>
    </row>
    <row r="20" spans="1:11" ht="15" customHeight="1" x14ac:dyDescent="0.25">
      <c r="A20" s="154"/>
      <c r="B20" s="155" t="s">
        <v>111</v>
      </c>
      <c r="C20" s="156" t="s">
        <v>146</v>
      </c>
      <c r="D20" s="143" t="str">
        <f>IF(C20="","",IF(E20="","",IF(E20&gt;1,"Nos.","No.")))</f>
        <v>Nos.</v>
      </c>
      <c r="E20" s="3">
        <v>3</v>
      </c>
      <c r="F20" s="3"/>
      <c r="G20" s="7">
        <v>12500</v>
      </c>
      <c r="H20" s="7">
        <f t="shared" si="0"/>
        <v>37500</v>
      </c>
      <c r="I20" s="7">
        <v>700</v>
      </c>
      <c r="J20" s="7">
        <f t="shared" si="1"/>
        <v>2100</v>
      </c>
      <c r="K20" s="7">
        <f t="shared" si="2"/>
        <v>39600</v>
      </c>
    </row>
    <row r="21" spans="1:11" s="153" customFormat="1" ht="15" customHeight="1" x14ac:dyDescent="0.2">
      <c r="A21" s="157">
        <f>A18+1</f>
        <v>3</v>
      </c>
      <c r="B21" s="158"/>
      <c r="C21" s="151" t="s">
        <v>147</v>
      </c>
      <c r="D21" s="143"/>
      <c r="E21" s="4"/>
      <c r="F21" s="4"/>
      <c r="G21" s="7"/>
      <c r="H21" s="7">
        <f t="shared" si="0"/>
        <v>0</v>
      </c>
      <c r="I21" s="7"/>
      <c r="J21" s="7">
        <f t="shared" si="1"/>
        <v>0</v>
      </c>
      <c r="K21" s="7">
        <f t="shared" si="2"/>
        <v>0</v>
      </c>
    </row>
    <row r="22" spans="1:11" s="161" customFormat="1" ht="15" customHeight="1" x14ac:dyDescent="0.2">
      <c r="A22" s="159"/>
      <c r="B22" s="160" t="s">
        <v>85</v>
      </c>
      <c r="C22" s="148" t="s">
        <v>148</v>
      </c>
      <c r="D22" s="143" t="str">
        <f>IF(C22="","",IF(E22="","",IF(E22&gt;1,"Nos.","No.")))</f>
        <v>Nos.</v>
      </c>
      <c r="E22" s="4">
        <v>49</v>
      </c>
      <c r="F22" s="4"/>
      <c r="G22" s="7">
        <v>2200</v>
      </c>
      <c r="H22" s="7">
        <f t="shared" si="0"/>
        <v>107800</v>
      </c>
      <c r="I22" s="7">
        <v>700</v>
      </c>
      <c r="J22" s="7">
        <f t="shared" si="1"/>
        <v>34300</v>
      </c>
      <c r="K22" s="7">
        <f t="shared" si="2"/>
        <v>142100</v>
      </c>
    </row>
    <row r="23" spans="1:11" s="153" customFormat="1" ht="25.5" x14ac:dyDescent="0.2">
      <c r="A23" s="159"/>
      <c r="B23" s="162" t="s">
        <v>111</v>
      </c>
      <c r="C23" s="148" t="s">
        <v>149</v>
      </c>
      <c r="D23" s="143" t="str">
        <f>IF(C23="","",IF(E23="","",IF(E23&gt;1,"Nos.","No.")))</f>
        <v>Nos.</v>
      </c>
      <c r="E23" s="4">
        <v>25</v>
      </c>
      <c r="F23" s="4"/>
      <c r="G23" s="7">
        <v>2800</v>
      </c>
      <c r="H23" s="7">
        <f t="shared" si="0"/>
        <v>70000</v>
      </c>
      <c r="I23" s="7">
        <v>700</v>
      </c>
      <c r="J23" s="7">
        <f t="shared" si="1"/>
        <v>17500</v>
      </c>
      <c r="K23" s="7">
        <f t="shared" si="2"/>
        <v>87500</v>
      </c>
    </row>
    <row r="24" spans="1:11" ht="39" customHeight="1" x14ac:dyDescent="0.25">
      <c r="A24" s="141">
        <f>A21+1</f>
        <v>4</v>
      </c>
      <c r="B24" s="142"/>
      <c r="C24" s="8" t="s">
        <v>150</v>
      </c>
      <c r="D24" s="143" t="s">
        <v>94</v>
      </c>
      <c r="E24" s="4">
        <v>1</v>
      </c>
      <c r="F24" s="4"/>
      <c r="G24" s="7">
        <v>15000</v>
      </c>
      <c r="H24" s="7">
        <f t="shared" si="0"/>
        <v>15000</v>
      </c>
      <c r="I24" s="7">
        <v>1000</v>
      </c>
      <c r="J24" s="7">
        <f t="shared" si="1"/>
        <v>1000</v>
      </c>
      <c r="K24" s="7">
        <f t="shared" si="2"/>
        <v>16000</v>
      </c>
    </row>
    <row r="25" spans="1:11" s="153" customFormat="1" ht="30.75" customHeight="1" thickBot="1" x14ac:dyDescent="0.25">
      <c r="A25" s="163">
        <f>A24+1</f>
        <v>5</v>
      </c>
      <c r="B25" s="164"/>
      <c r="C25" s="148" t="s">
        <v>151</v>
      </c>
      <c r="D25" s="143" t="s">
        <v>94</v>
      </c>
      <c r="E25" s="4">
        <v>1</v>
      </c>
      <c r="F25" s="4"/>
      <c r="G25" s="7">
        <v>45000</v>
      </c>
      <c r="H25" s="7">
        <f t="shared" si="0"/>
        <v>45000</v>
      </c>
      <c r="I25" s="7">
        <v>15000</v>
      </c>
      <c r="J25" s="7">
        <f t="shared" si="1"/>
        <v>15000</v>
      </c>
      <c r="K25" s="7">
        <f t="shared" si="2"/>
        <v>60000</v>
      </c>
    </row>
    <row r="26" spans="1:11" s="153" customFormat="1" ht="20.100000000000001" customHeight="1" x14ac:dyDescent="0.2">
      <c r="A26" s="159">
        <f>A25+1</f>
        <v>6</v>
      </c>
      <c r="B26" s="158"/>
      <c r="C26" s="148" t="s">
        <v>152</v>
      </c>
      <c r="D26" s="143" t="s">
        <v>94</v>
      </c>
      <c r="E26" s="4">
        <v>1</v>
      </c>
      <c r="F26" s="4"/>
      <c r="G26" s="7">
        <v>25000</v>
      </c>
      <c r="H26" s="7">
        <f t="shared" si="0"/>
        <v>25000</v>
      </c>
      <c r="I26" s="7">
        <v>5000</v>
      </c>
      <c r="J26" s="7">
        <f t="shared" si="1"/>
        <v>5000</v>
      </c>
      <c r="K26" s="7">
        <f t="shared" si="2"/>
        <v>30000</v>
      </c>
    </row>
    <row r="27" spans="1:11" ht="30" customHeight="1" x14ac:dyDescent="0.25">
      <c r="A27" s="146">
        <f>A26+1</f>
        <v>7</v>
      </c>
      <c r="B27" s="142"/>
      <c r="C27" s="10" t="s">
        <v>153</v>
      </c>
      <c r="D27" s="143" t="s">
        <v>94</v>
      </c>
      <c r="E27" s="4">
        <v>1</v>
      </c>
      <c r="F27" s="4"/>
      <c r="G27" s="7">
        <v>25000</v>
      </c>
      <c r="H27" s="7">
        <f t="shared" si="0"/>
        <v>25000</v>
      </c>
      <c r="I27" s="7">
        <v>7000</v>
      </c>
      <c r="J27" s="7">
        <f t="shared" si="1"/>
        <v>7000</v>
      </c>
      <c r="K27" s="7">
        <f t="shared" si="2"/>
        <v>32000</v>
      </c>
    </row>
    <row r="28" spans="1:11" ht="39.6" customHeight="1" thickBot="1" x14ac:dyDescent="0.3">
      <c r="A28" s="146"/>
      <c r="B28" s="142"/>
      <c r="C28" s="8" t="s">
        <v>156</v>
      </c>
      <c r="D28" s="11" t="s">
        <v>94</v>
      </c>
      <c r="E28" s="4">
        <v>1</v>
      </c>
      <c r="F28" s="4"/>
      <c r="G28" s="7"/>
      <c r="H28" s="7">
        <f t="shared" si="0"/>
        <v>0</v>
      </c>
      <c r="I28" s="7"/>
      <c r="J28" s="7">
        <f t="shared" si="1"/>
        <v>0</v>
      </c>
      <c r="K28" s="7">
        <f t="shared" si="2"/>
        <v>0</v>
      </c>
    </row>
    <row r="29" spans="1:11" ht="20.100000000000001" customHeight="1" thickTop="1" thickBot="1" x14ac:dyDescent="0.3">
      <c r="A29" s="165"/>
      <c r="B29" s="166"/>
      <c r="C29" s="167" t="s">
        <v>154</v>
      </c>
      <c r="D29" s="168"/>
      <c r="E29" s="168"/>
      <c r="F29" s="168"/>
      <c r="G29" s="168"/>
      <c r="H29" s="169"/>
      <c r="I29" s="168"/>
      <c r="J29" s="169"/>
      <c r="K29" s="17">
        <f>SUM(K1:K28)</f>
        <v>1662600</v>
      </c>
    </row>
  </sheetData>
  <mergeCells count="8">
    <mergeCell ref="G6:K6"/>
    <mergeCell ref="A7:B8"/>
    <mergeCell ref="C7:C8"/>
    <mergeCell ref="D7:D8"/>
    <mergeCell ref="E7:E8"/>
    <mergeCell ref="G7:H7"/>
    <mergeCell ref="I7:J7"/>
    <mergeCell ref="F7:F8"/>
  </mergeCells>
  <printOptions horizontalCentered="1"/>
  <pageMargins left="0.5" right="0.5" top="0" bottom="0" header="0.33" footer="0.33"/>
  <pageSetup paperSize="9" scale="97" orientation="landscape" r:id="rId1"/>
  <headerFooter scaleWithDoc="0" alignWithMargins="0">
    <oddFooter>&amp;L&amp;8SEM Engineers&amp;R&amp;8Page &amp;P of &amp;N</oddFooter>
  </headerFooter>
  <rowBreaks count="1" manualBreakCount="1">
    <brk id="25" max="1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8BEF076A962A43B6F9D3AD7FB3FB6F" ma:contentTypeVersion="17" ma:contentTypeDescription="Create a new document." ma:contentTypeScope="" ma:versionID="b93a116c216cc035aabd324865caeb8d">
  <xsd:schema xmlns:xsd="http://www.w3.org/2001/XMLSchema" xmlns:xs="http://www.w3.org/2001/XMLSchema" xmlns:p="http://schemas.microsoft.com/office/2006/metadata/properties" xmlns:ns2="db23c72c-e112-43fc-8a02-148203d9c31c" xmlns:ns3="2a2a445e-c453-4f04-9b2f-8a0068eac90e" targetNamespace="http://schemas.microsoft.com/office/2006/metadata/properties" ma:root="true" ma:fieldsID="917e61886d5161be230e7a99e354caee" ns2:_="" ns3:_="">
    <xsd:import namespace="db23c72c-e112-43fc-8a02-148203d9c31c"/>
    <xsd:import namespace="2a2a445e-c453-4f04-9b2f-8a0068eac9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Tim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23c72c-e112-43fc-8a02-148203d9c3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Time" ma:index="20" nillable="true" ma:displayName="Time" ma:format="DateOnly" ma:internalName="Time">
      <xsd:simpleType>
        <xsd:restriction base="dms:DateTime"/>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15bef08c-5acb-4489-9547-ea8ae88aab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a2a445e-c453-4f04-9b2f-8a0068eac90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88c2cc48-4328-49ff-9113-a44c58217a34}" ma:internalName="TaxCatchAll" ma:showField="CatchAllData" ma:web="2a2a445e-c453-4f04-9b2f-8a0068eac9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E4CAE7-EB70-47A8-8D69-5169D3D02B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23c72c-e112-43fc-8a02-148203d9c31c"/>
    <ds:schemaRef ds:uri="2a2a445e-c453-4f04-9b2f-8a0068eac9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25D393-DC91-4B80-8D6B-20049F3954BD}">
  <ds:schemaRefs>
    <ds:schemaRef ds:uri="http://www.w3.org/2000/xmlns/"/>
    <ds:schemaRef ds:uri="http://www.w3.org/2001/XMLSchema"/>
  </ds:schemaRefs>
</ds:datastoreItem>
</file>

<file path=customXml/itemProps3.xml><?xml version="1.0" encoding="utf-8"?>
<ds:datastoreItem xmlns:ds="http://schemas.openxmlformats.org/officeDocument/2006/customXml" ds:itemID="{E23FADFD-E78A-44F0-B5C4-F8CC76712F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GRAND SUMMARY</vt:lpstr>
      <vt:lpstr>HVAC BOQ</vt:lpstr>
      <vt:lpstr>Data Center AC work</vt:lpstr>
      <vt:lpstr>FSS - BOQ</vt:lpstr>
      <vt:lpstr>'FSS - BOQ'!Print_Area</vt:lpstr>
      <vt:lpstr>'GRAND SUMMARY'!Print_Area</vt:lpstr>
      <vt:lpstr>'HVAC BOQ'!Print_Area</vt:lpstr>
      <vt:lpstr>'FSS - BOQ'!Print_Titles</vt:lpstr>
      <vt:lpstr>'HVAC BOQ'!Print_Titles</vt:lpstr>
    </vt:vector>
  </TitlesOfParts>
  <Company>ICON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Shafi</dc:creator>
  <cp:lastModifiedBy>Rehan Aslam</cp:lastModifiedBy>
  <cp:lastPrinted>2022-09-14T06:05:12Z</cp:lastPrinted>
  <dcterms:created xsi:type="dcterms:W3CDTF">2009-01-02T20:16:08Z</dcterms:created>
  <dcterms:modified xsi:type="dcterms:W3CDTF">2022-11-05T11:09:28Z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{EC25D393-DC91-4B80-8D6B-20049F3954BD}</vt:lpwstr>
  </property>
</Properties>
</file>