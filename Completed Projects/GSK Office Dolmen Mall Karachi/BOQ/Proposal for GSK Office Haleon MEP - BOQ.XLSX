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defaultThemeVersion="124226"/>
  <mc:AlternateContent xmlns:mc="http://schemas.openxmlformats.org/markup-compatibility/2006">
    <mc:Choice Requires="x15">
      <x15ac:absPath xmlns:x15ac="http://schemas.microsoft.com/office/spreadsheetml/2010/11/ac" url="H:\Xls\Sent BOQ\GSK Office Dolmen Mall Karachi\"/>
    </mc:Choice>
  </mc:AlternateContent>
  <bookViews>
    <workbookView xWindow="0" yWindow="0" windowWidth="20490" windowHeight="7755" tabRatio="749" activeTab="1"/>
  </bookViews>
  <sheets>
    <sheet name="GRAND SUMMARY" sheetId="2" r:id="rId1"/>
    <sheet name="HVAC BOQ" sheetId="13" r:id="rId2"/>
    <sheet name="FSS - BOQ" sheetId="14" r:id="rId3"/>
    <sheet name="Plumbing BOQ" sheetId="1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#N/A</definedName>
    <definedName name="\b">#N/A</definedName>
    <definedName name="\c">#N/A</definedName>
    <definedName name="\p">#N/A</definedName>
    <definedName name="\s">#N/A</definedName>
    <definedName name="\z">#N/A</definedName>
    <definedName name="_______hp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hp10" hidden="1">{#N/A,#N/A,TRUE,"Front";#N/A,#N/A,TRUE,"Simple Letter";#N/A,#N/A,TRUE,"Inside";#N/A,#N/A,TRUE,"Contents";#N/A,#N/A,TRUE,"Basis";#N/A,#N/A,TRUE,"Inclusions";#N/A,#N/A,TRUE,"Exclusions";#N/A,#N/A,TRUE,"Areas";#N/A,#N/A,TRUE,"Summary";#N/A,#N/A,TRUE,"Detail"}</definedName>
    <definedName name="_____ig541">#REF!</definedName>
    <definedName name="____d2" hidden="1">{#N/A,#N/A,FALSE,"mgtsum.XLS";#N/A,#N/A,FALSE,"CAPONE";#N/A,#N/A,FALSE,"CAPTWO";#N/A,#N/A,FALSE,"CAPTHREE"}</definedName>
    <definedName name="____hp10" hidden="1">{#N/A,#N/A,TRUE,"Front";#N/A,#N/A,TRUE,"Simple Letter";#N/A,#N/A,TRUE,"Inside";#N/A,#N/A,TRUE,"Contents";#N/A,#N/A,TRUE,"Basis";#N/A,#N/A,TRUE,"Inclusions";#N/A,#N/A,TRUE,"Exclusions";#N/A,#N/A,TRUE,"Areas";#N/A,#N/A,TRUE,"Summary";#N/A,#N/A,TRUE,"Detail"}</definedName>
    <definedName name="____ig541">#REF!</definedName>
    <definedName name="___d2" hidden="1">{#N/A,#N/A,FALSE,"mgtsum.XLS";#N/A,#N/A,FALSE,"CAPONE";#N/A,#N/A,FALSE,"CAPTWO";#N/A,#N/A,FALSE,"CAPTHREE"}</definedName>
    <definedName name="___hp10" hidden="1">{#N/A,#N/A,TRUE,"Front";#N/A,#N/A,TRUE,"Simple Letter";#N/A,#N/A,TRUE,"Inside";#N/A,#N/A,TRUE,"Contents";#N/A,#N/A,TRUE,"Basis";#N/A,#N/A,TRUE,"Inclusions";#N/A,#N/A,TRUE,"Exclusions";#N/A,#N/A,TRUE,"Areas";#N/A,#N/A,TRUE,"Summary";#N/A,#N/A,TRUE,"Detail"}</definedName>
    <definedName name="___ig541">#REF!</definedName>
    <definedName name="__d2" hidden="1">{#N/A,#N/A,FALSE,"mgtsum.XLS";#N/A,#N/A,FALSE,"CAPONE";#N/A,#N/A,FALSE,"CAPTWO";#N/A,#N/A,FALSE,"CAPTHREE"}</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g541">#REF!</definedName>
    <definedName name="__key2" hidden="1">#REF!</definedName>
    <definedName name="_1__123Graph_AChart_1AJ" hidden="1">#REF!</definedName>
    <definedName name="_2__123Graph_AChart_1Q" hidden="1">#REF!</definedName>
    <definedName name="_3__123Graph_BChart_1Q" hidden="1">#REF!</definedName>
    <definedName name="_30cd___Horizontal_Strobe_light_speaker__wall_mounted">#REF!</definedName>
    <definedName name="_30cd__Vertical_strobe_light__wall_mounted">#REF!</definedName>
    <definedName name="_96.12.30">'[1]Fee Rate Summary'!#REF!</definedName>
    <definedName name="_A">#N/A</definedName>
    <definedName name="_am1">[2]Costcal!#REF!</definedName>
    <definedName name="_B">#N/A</definedName>
    <definedName name="_d2" hidden="1">{#N/A,#N/A,FALSE,"mgtsum.XLS";#N/A,#N/A,FALSE,"CAPONE";#N/A,#N/A,FALSE,"CAPTWO";#N/A,#N/A,FALSE,"CAPTHREE"}</definedName>
    <definedName name="_Fill" hidden="1">#REF!</definedName>
    <definedName name="_xlnm._FilterDatabase" localSheetId="1" hidden="1">'HVAC BOQ'!$C$13:$H$86</definedName>
    <definedName name="_hp10" hidden="1">{#N/A,#N/A,TRUE,"Front";#N/A,#N/A,TRUE,"Simple Letter";#N/A,#N/A,TRUE,"Inside";#N/A,#N/A,TRUE,"Contents";#N/A,#N/A,TRUE,"Basis";#N/A,#N/A,TRUE,"Inclusions";#N/A,#N/A,TRUE,"Exclusions";#N/A,#N/A,TRUE,"Areas";#N/A,#N/A,TRUE,"Summary";#N/A,#N/A,TRUE,"Detail"}</definedName>
    <definedName name="_ig541">#REF!</definedName>
    <definedName name="_Key1" hidden="1">#REF!</definedName>
    <definedName name="_Key2" hidden="1">#REF!</definedName>
    <definedName name="_L1" hidden="1">{#N/A,#N/A,FALSE,"mgtsum.XLS";#N/A,#N/A,FALSE,"CAPONE";#N/A,#N/A,FALSE,"CAPTWO";#N/A,#N/A,FALSE,"CAPTHREE"}</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'[3]Bill 1'!$A$4:$F$29</definedName>
    <definedName name="aa">#REF!</definedName>
    <definedName name="aaa" hidden="1">{#N/A,#N/A,FALSE,"mgtsum.XLS";#N/A,#N/A,FALSE,"CAPONE";#N/A,#N/A,FALSE,"CAPTWO";#N/A,#N/A,FALSE,"CAPTHREE"}</definedName>
    <definedName name="aakdf" hidden="1">{#N/A,#N/A,FALSE,"mgtsum.XLS";#N/A,#N/A,FALSE,"CAPONE";#N/A,#N/A,FALSE,"CAPTWO";#N/A,#N/A,FALSE,"CAPTHREE"}</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ccessDatabase" hidden="1">"C:\data\excel\temp.mdb"</definedName>
    <definedName name="aD" hidden="1">{#N/A,#N/A,FALSE,"mgtsum.XLS";#N/A,#N/A,FALSE,"CAPONE";#N/A,#N/A,FALSE,"CAPTWO";#N/A,#N/A,FALSE,"CAPTHREE"}</definedName>
    <definedName name="Alarm_current_Amp_In_Minutes">#REF!</definedName>
    <definedName name="ALLLLLLLLL" hidden="1">{#N/A,#N/A,TRUE,"Front";#N/A,#N/A,TRUE,"Simple Letter";#N/A,#N/A,TRUE,"Inside";#N/A,#N/A,TRUE,"Contents";#N/A,#N/A,TRUE,"Basis";#N/A,#N/A,TRUE,"Inclusions";#N/A,#N/A,TRUE,"Exclusions";#N/A,#N/A,TRUE,"Areas";#N/A,#N/A,TRUE,"Summary";#N/A,#N/A,TRUE,"Detail"}</definedName>
    <definedName name="am">[2]Costcal!#REF!</definedName>
    <definedName name="anscount" hidden="1">1</definedName>
    <definedName name="ARCHITECTURAL">#REF!</definedName>
    <definedName name="ASDFSDFF" hidden="1">{#N/A,#N/A,FALSE,"mgtsum.XLS";#N/A,#N/A,FALSE,"CAPONE";#N/A,#N/A,FALSE,"CAPTWO";#N/A,#N/A,FALSE,"CAPTHREE"}</definedName>
    <definedName name="ASFS" hidden="1">{#N/A,#N/A,FALSE,"mgtsum.XLS";#N/A,#N/A,FALSE,"CAPONE";#N/A,#N/A,FALSE,"CAPTWO";#N/A,#N/A,FALSE,"CAPTHREE"}</definedName>
    <definedName name="B">#REF!</definedName>
    <definedName name="bbb">#REF!</definedName>
    <definedName name="BeginBorder">#REF!</definedName>
    <definedName name="BELL__Polarised">#REF!</definedName>
    <definedName name="Blank3" hidden="1">[4]Sheet1!$AI$6</definedName>
    <definedName name="Blank4" hidden="1">[4]Sheet1!$AJ$6</definedName>
    <definedName name="Blank5" hidden="1">[4]Sheet1!$AK$6</definedName>
    <definedName name="Blank6" hidden="1">[4]Sheet1!$AL$6</definedName>
    <definedName name="Blank7" hidden="1">[4]Sheet1!$AM$6</definedName>
    <definedName name="Blank8" hidden="1">[4]Sheet1!$AN$6</definedName>
    <definedName name="box_speaker">#REF!</definedName>
    <definedName name="BuiltIn_Print_Area___0">#REF!</definedName>
    <definedName name="cabinet">#REF!</definedName>
    <definedName name="CABLE">#REF!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eiling_speaker">#REF!</definedName>
    <definedName name="Ceiling_Speaker_Unsupervised">#REF!</definedName>
    <definedName name="cf" hidden="1">{#N/A,#N/A,TRUE,"Front";#N/A,#N/A,TRUE,"Simple Letter";#N/A,#N/A,TRUE,"Inside";#N/A,#N/A,TRUE,"Contents";#N/A,#N/A,TRUE,"Basis";#N/A,#N/A,TRUE,"Inclusions";#N/A,#N/A,TRUE,"Exclusions";#N/A,#N/A,TRUE,"Areas";#N/A,#N/A,TRUE,"Summary";#N/A,#N/A,TRUE,"Detail"}</definedName>
    <definedName name="check">City&amp;" "&amp;State</definedName>
    <definedName name="CIVIL">#REF!</definedName>
    <definedName name="CompanyName2" hidden="1">[4]Sheet1!$J$6</definedName>
    <definedName name="CompRange1Main" hidden="1">[4]Sheet1!$H$1:$H$65536</definedName>
    <definedName name="CompRange2Main" hidden="1">[4]Sheet1!$K$1:$K$65536</definedName>
    <definedName name="ControlFunction">[5]Admin!$B$1:$B$17</definedName>
    <definedName name="CSDCSDSAS" hidden="1">#REF!</definedName>
    <definedName name="D" hidden="1">{#N/A,#N/A,TRUE,"Front";#N/A,#N/A,TRUE,"Simple Letter";#N/A,#N/A,TRUE,"Inside";#N/A,#N/A,TRUE,"Contents";#N/A,#N/A,TRUE,"Basis";#N/A,#N/A,TRUE,"Inclusions";#N/A,#N/A,TRUE,"Exclusions";#N/A,#N/A,TRUE,"Areas";#N/A,#N/A,TRUE,"Summary";#N/A,#N/A,TRUE,"Detail"}</definedName>
    <definedName name="d31z" hidden="1">{#N/A,#N/A,FALSE,"mgtsum.XLS";#N/A,#N/A,FALSE,"CAPONE";#N/A,#N/A,FALSE,"CAPTWO";#N/A,#N/A,FALSE,"CAPTHREE"}</definedName>
    <definedName name="_xlnm.Database">#REF!</definedName>
    <definedName name="Date">'[6]Fill this out first...'!$D$14</definedName>
    <definedName name="DateRangeCompMain" hidden="1">[4]Sheet1!$F$1:$F$65536</definedName>
    <definedName name="DEPTH">#REF!</definedName>
    <definedName name="DHTML" hidden="1">{"'Sheet1'!$A$4386:$N$4591"}</definedName>
    <definedName name="dlist" localSheetId="1">#REF!</definedName>
    <definedName name="dlist">#REF!</definedName>
    <definedName name="ELECTRICAL">#REF!</definedName>
    <definedName name="EndBorder">#REF!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[7]GBW!#REF!</definedName>
    <definedName name="Excel_BuiltIn_Print_Titles_13">'[8]extra work elec bill '!#REF!</definedName>
    <definedName name="f">'[8]extra work elec bill '!#REF!</definedName>
    <definedName name="fd" hidden="1">{"'Sheet1'!$A$4386:$N$4591"}</definedName>
    <definedName name="FIRE">#REF!</definedName>
    <definedName name="fsd" hidden="1">{#N/A,#N/A,FALSE,"mgtsum.XLS";#N/A,#N/A,FALSE,"CAPONE";#N/A,#N/A,FALSE,"CAPTWO";#N/A,#N/A,FALSE,"CAPTHREE"}</definedName>
    <definedName name="fsds" hidden="1">{#N/A,#N/A,FALSE,"mgtsum.XLS";#N/A,#N/A,FALSE,"CAPONE";#N/A,#N/A,FALSE,"CAPTWO";#N/A,#N/A,FALSE,"CAPTHREE"}</definedName>
    <definedName name="gjgf">City&amp;" "&amp;State</definedName>
    <definedName name="Horn_Speaker">#REF!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V">#REF!</definedName>
    <definedName name="ING" hidden="1">{#N/A,#N/A,TRUE,"Front";#N/A,#N/A,TRUE,"Simple Letter";#N/A,#N/A,TRUE,"Inside";#N/A,#N/A,TRUE,"Contents";#N/A,#N/A,TRUE,"Basis";#N/A,#N/A,TRUE,"Inclusions";#N/A,#N/A,TRUE,"Exclusions";#N/A,#N/A,TRUE,"Areas";#N/A,#N/A,TRUE,"Summary";#N/A,#N/A,TRUE,"Detail"}</definedName>
    <definedName name="Interi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kjkjkj">#REF!</definedName>
    <definedName name="la"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mcount" hidden="1">1</definedName>
    <definedName name="list" localSheetId="1">#REF!</definedName>
    <definedName name="list">#REF!</definedName>
    <definedName name="lk" hidden="1">{#N/A,#N/A,FALSE,"mgtsum.XLS";#N/A,#N/A,FALSE,"CAPONE";#N/A,#N/A,FALSE,"CAPTWO";#N/A,#N/A,FALSE,"CAPTHREE"}</definedName>
    <definedName name="LLALALLA" hidden="1">{#N/A,#N/A,TRUE,"Front";#N/A,#N/A,TRUE,"Simple Letter";#N/A,#N/A,TRUE,"Inside";#N/A,#N/A,TRUE,"Contents";#N/A,#N/A,TRUE,"Basis";#N/A,#N/A,TRUE,"Inclusions";#N/A,#N/A,TRUE,"Exclusions";#N/A,#N/A,TRUE,"Areas";#N/A,#N/A,TRUE,"Summary";#N/A,#N/A,TRUE,"Detail"}</definedName>
    <definedName name="Location">City&amp;" "&amp;State</definedName>
    <definedName name="LSD_4100">#REF!</definedName>
    <definedName name="Lump_Sum_Discount">#REF!</definedName>
    <definedName name="mak" hidden="1">#REF!</definedName>
    <definedName name="Mandatory">[9]Admin!$R$1:$R$2</definedName>
    <definedName name="Measr">#REF!</definedName>
    <definedName name="MECHANICAL">#REF!</definedName>
    <definedName name="Nitin" hidden="1">'[10]Sheet3 (2)'!$A$60:$A$76</definedName>
    <definedName name="nnn">#REF!</definedName>
    <definedName name="nnnnm">#REF!</definedName>
    <definedName name="okay" hidden="1">{#N/A,#N/A,FALSE,"mgtsum.XLS";#N/A,#N/A,FALSE,"CAPONE";#N/A,#N/A,FALSE,"CAPTWO";#N/A,#N/A,FALSE,"CAPTHREE"}</definedName>
    <definedName name="ooopp">#REF!</definedName>
    <definedName name="P1R">'[6]Fill this out first...'!#REF!</definedName>
    <definedName name="P2R">'[6]Fill this out first...'!#REF!</definedName>
    <definedName name="P3R">'[6]Fill this out first...'!#REF!</definedName>
    <definedName name="P4R">'[6]Fill this out first...'!#REF!</definedName>
    <definedName name="P5R">'[6]Fill this out first...'!#REF!</definedName>
    <definedName name="parse" hidden="1">#REF!</definedName>
    <definedName name="PhaseCode">'[6]Fill this out first...'!$D$17</definedName>
    <definedName name="PrevYears">'[6]Fill this out first...'!#REF!</definedName>
    <definedName name="_xlnm.Print_Area" localSheetId="2">'FSS - BOQ'!$A$1:$K$29</definedName>
    <definedName name="_xlnm.Print_Area" localSheetId="0">'GRAND SUMMARY'!$A$1:$C$26</definedName>
    <definedName name="_xlnm.Print_Area" localSheetId="1">'HVAC BOQ'!$A$1:$K$86</definedName>
    <definedName name="_xlnm.Print_Area" localSheetId="3">'Plumbing BOQ'!$A$1:$K$82</definedName>
    <definedName name="_xlnm.Print_Area">#REF!</definedName>
    <definedName name="Print_Area_MI" localSheetId="2">#REF!</definedName>
    <definedName name="Print_Area_MI">#REF!</definedName>
    <definedName name="_xlnm.Print_Titles" localSheetId="2">'FSS - BOQ'!$1:$8</definedName>
    <definedName name="_xlnm.Print_Titles" localSheetId="1">'HVAC BOQ'!$1:$8</definedName>
    <definedName name="_xlnm.Print_Titles" localSheetId="3">'Plumbing BOQ'!$1:$8</definedName>
    <definedName name="ProjectLocation">'[6]Fill this out first...'!$D$10</definedName>
    <definedName name="ProjectNumber">'[6]Fill this out first...'!$D$16</definedName>
    <definedName name="ProjectSubtitle">'[6]Fill this out first...'!$D$9</definedName>
    <definedName name="ProjectTitle">'[6]Fill this out first...'!$D$8</definedName>
    <definedName name="PUB_FileID" hidden="1">"L10003363.xls"</definedName>
    <definedName name="PUB_UserID" hidden="1">"MAYERX"</definedName>
    <definedName name="qq" hidden="1">{#N/A,#N/A,FALSE,"mgtsum.XLS";#N/A,#N/A,FALSE,"CAPONE";#N/A,#N/A,FALSE,"CAPTWO";#N/A,#N/A,FALSE,"CAPTHREE"}</definedName>
    <definedName name="Rate">#REF!</definedName>
    <definedName name="Regional" hidden="1">{#N/A,#N/A,FALSE,"mgtsum.XLS";#N/A,#N/A,FALSE,"CAPONE";#N/A,#N/A,FALSE,"CAPTWO";#N/A,#N/A,FALSE,"CAPTHREE"}</definedName>
    <definedName name="reuse" hidden="1">{#N/A,#N/A,FALSE,"mgtsum.XLS";#N/A,#N/A,FALSE,"CAPONE";#N/A,#N/A,FALSE,"CAPTWO";#N/A,#N/A,FALSE,"CAPTHREE"}</definedName>
    <definedName name="SAFSF" hidden="1">{#N/A,#N/A,FALSE,"mgtsum.XLS";#N/A,#N/A,FALSE,"CAPONE";#N/A,#N/A,FALSE,"CAPTWO";#N/A,#N/A,FALSE,"CAPTHREE"}</definedName>
    <definedName name="SDAF" hidden="1">{#N/A,#N/A,FALSE,"mgtsum.XLS";#N/A,#N/A,FALSE,"CAPONE";#N/A,#N/A,FALSE,"CAPTWO";#N/A,#N/A,FALSE,"CAPTHREE"}</definedName>
    <definedName name="sdf" hidden="1">{#N/A,#N/A,FALSE,"mgtsum.XLS";#N/A,#N/A,FALSE,"CAPONE";#N/A,#N/A,FALSE,"CAPTWO";#N/A,#N/A,FALSE,"CAPTHREE"}</definedName>
    <definedName name="sencount" hidden="1">1</definedName>
    <definedName name="SITEWORKS">#REF!</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RB" hidden="1">{"'Sheet1'!$A$4386:$N$4591"}</definedName>
    <definedName name="ss">#REF!</definedName>
    <definedName name="Stage">'[6]Fill this out first...'!$D$12</definedName>
    <definedName name="STRUCTURAL">#REF!</definedName>
    <definedName name="Table1">#REF!</definedName>
    <definedName name="Table2">#REF!</definedName>
    <definedName name="Table3">#REF!</definedName>
    <definedName name="Table4">#REF!</definedName>
    <definedName name="Table5">#REF!</definedName>
    <definedName name="tem" hidden="1">{#N/A,#N/A,TRUE,"Front";#N/A,#N/A,TRUE,"Simple Letter";#N/A,#N/A,TRUE,"Inside";#N/A,#N/A,TRUE,"Contents";#N/A,#N/A,TRUE,"Basis";#N/A,#N/A,TRUE,"Inclusions";#N/A,#N/A,TRUE,"Exclusions";#N/A,#N/A,TRUE,"Areas";#N/A,#N/A,TRUE,"Summary";#N/A,#N/A,TRUE,"Detail"}</definedName>
    <definedName name="TEMP">#REF!</definedName>
    <definedName name="temp1" hidden="1">{#N/A,#N/A,TRUE,"Front";#N/A,#N/A,TRUE,"Simple Letter";#N/A,#N/A,TRUE,"Inside";#N/A,#N/A,TRUE,"Contents";#N/A,#N/A,TRUE,"Basis";#N/A,#N/A,TRUE,"Inclusions";#N/A,#N/A,TRUE,"Exclusions";#N/A,#N/A,TRUE,"Areas";#N/A,#N/A,TRUE,"Summary";#N/A,#N/A,TRUE,"Detail"}</definedName>
    <definedName name="TO" localSheetId="1">#REF!</definedName>
    <definedName name="TO">#REF!</definedName>
    <definedName name="tty">City&amp;" "&amp;State</definedName>
    <definedName name="type">'[6]Fill this out first...'!$D$13</definedName>
    <definedName name="valve2">#REF!</definedName>
    <definedName name="valve3">#REF!</definedName>
    <definedName name="valves">#REF!</definedName>
    <definedName name="vvv">#REF!</definedName>
    <definedName name="w">#REF!</definedName>
    <definedName name="wqd" hidden="1">{#N/A,#N/A,FALSE,"mgtsum.XLS";#N/A,#N/A,FALSE,"CAPONE";#N/A,#N/A,FALSE,"CAPTWO";#N/A,#N/A,FALSE,"CAPTHREE"}</definedName>
    <definedName name="wrn.ALL." hidden="1">{#N/A,#N/A,FALSE,"Engr Data";#N/A,#N/A,FALSE,"Engr Cur";#N/A,#N/A,FALSE,"DsnDraft";#N/A,#N/A,FALSE,"DsnDftCur";#N/A,#N/A,FALSE,"Supports";#N/A,#N/A,FALSE,"SptCur";#N/A,#N/A,FALSE,"Total";#N/A,#N/A,FALSE,"TotCur";#N/A,#N/A,FALSE,"Client";#N/A,#N/A,FALSE,"Instructions"}</definedName>
    <definedName name="wrn.clntrpt." hidden="1">{#N/A,#N/A,FALSE,"CLIENT HOPSR";#N/A,#N/A,FALSE,"JEG GRAPH";#N/A,#N/A,FALSE,"PROCESS";#N/A,#N/A,FALSE,"CIVIL";#N/A,#N/A,FALSE,"ELECTRICAL";#N/A,#N/A,FALSE,"CNTRL SYS";#N/A,#N/A,FALSE,"MECH";#N/A,#N/A,FALSE,"PIPE"}</definedName>
    <definedName name="wrn.Detail." hidden="1">{"Detail",#N/A,FALSE,"Assump";"Detail",#N/A,FALSE,"Muni";"Detail",#N/A,FALSE,"Proj";"Detail",#N/A,FALSE,"Calc";"Present",#N/A,FALSE,"Cover"}</definedName>
    <definedName name="wrn.Full._.Report." hidden="1">{#N/A,#N/A,TRUE,"Front";#N/A,#N/A,TRUE,"Simple Letter";#N/A,#N/A,TRUE,"Inside";#N/A,#N/A,TRUE,"Contents";#N/A,#N/A,TRUE,"Basis";#N/A,#N/A,TRUE,"Inclusions";#N/A,#N/A,TRUE,"Exclusions";#N/A,#N/A,TRUE,"Areas";#N/A,#N/A,TRUE,"Summary";#N/A,#N/A,TRUE,"Detail"}</definedName>
    <definedName name="wrn.GENSERV." hidden="1">{#N/A,#N/A,FALSE,"VISTAF"}</definedName>
    <definedName name="wrn.jegrpt." hidden="1">{#N/A,#N/A,FALSE,"PJT STATUS RVW";#N/A,#N/A,FALSE,"MAPS CKLIST";#N/A,#N/A,FALSE,"HOPSR-BASE-IHOCS";#N/A,#N/A,FALSE,"HOPSR-BASE FOR REPORT";#N/A,#N/A,FALSE,"GEN SERVICES";#N/A,#N/A,FALSE,"FINANCIAL";#N/A,#N/A,FALSE,"CONTRACT CURVES";#N/A,#N/A,FALSE,"JEG GRAPH";#N/A,#N/A,FALSE,"JEG GRAPH (2)"}</definedName>
    <definedName name="wrn.MARGIN." hidden="1">{#N/A,#N/A,FALSE,"VISTAF"}</definedName>
    <definedName name="wrn.mhrfcst." hidden="1">{#N/A,#N/A,FALSE,"MANHR FCST-BASE"}</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wwww" hidden="1">#REF!</definedName>
    <definedName name="x">'[1]Fee Rate Summary'!#REF!</definedName>
    <definedName name="X980210_payment_printing_List">#REF!</definedName>
    <definedName name="z"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zz">#REF!</definedName>
    <definedName name="ZZZZZZZZZZZZZZ" hidden="1">#REF!</definedName>
    <definedName name="っｋ" hidden="1">#REF!</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2" i="13" l="1"/>
  <c r="H12" i="13"/>
  <c r="J11" i="13"/>
  <c r="H11" i="13"/>
  <c r="K11" i="13" s="1"/>
  <c r="D12" i="13"/>
  <c r="D11" i="13"/>
  <c r="B11" i="13"/>
  <c r="B12" i="13" s="1"/>
  <c r="K12" i="13" l="1"/>
  <c r="O36" i="13"/>
  <c r="O37" i="13"/>
  <c r="N37" i="13"/>
  <c r="N36" i="13"/>
  <c r="M41" i="13"/>
  <c r="M40" i="13"/>
  <c r="M39" i="13"/>
  <c r="C12" i="2"/>
  <c r="H32" i="16"/>
  <c r="H31" i="16"/>
  <c r="H30" i="16"/>
  <c r="H29" i="16"/>
  <c r="H28" i="16"/>
  <c r="H26" i="16"/>
  <c r="H24" i="16"/>
  <c r="H22" i="16"/>
  <c r="H20" i="16"/>
  <c r="H18" i="16"/>
  <c r="H16" i="16"/>
  <c r="H14" i="16"/>
  <c r="H12"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J79" i="16"/>
  <c r="J78" i="16"/>
  <c r="K78" i="16" s="1"/>
  <c r="J77" i="16"/>
  <c r="K77" i="16" s="1"/>
  <c r="J76" i="16"/>
  <c r="J75" i="16"/>
  <c r="J74" i="16"/>
  <c r="K74" i="16" s="1"/>
  <c r="J73" i="16"/>
  <c r="K73" i="16" s="1"/>
  <c r="J72" i="16"/>
  <c r="J71" i="16"/>
  <c r="J70" i="16"/>
  <c r="K70" i="16" s="1"/>
  <c r="J69" i="16"/>
  <c r="K69" i="16" s="1"/>
  <c r="J68" i="16"/>
  <c r="J67" i="16"/>
  <c r="J66" i="16"/>
  <c r="K66" i="16" s="1"/>
  <c r="J65" i="16"/>
  <c r="K65" i="16" s="1"/>
  <c r="J64" i="16"/>
  <c r="J63" i="16"/>
  <c r="J62" i="16"/>
  <c r="K62" i="16" s="1"/>
  <c r="J61" i="16"/>
  <c r="K61" i="16" s="1"/>
  <c r="J60" i="16"/>
  <c r="J59" i="16"/>
  <c r="J58" i="16"/>
  <c r="K58" i="16" s="1"/>
  <c r="J57" i="16"/>
  <c r="K57" i="16" s="1"/>
  <c r="J56" i="16"/>
  <c r="J55" i="16"/>
  <c r="J54" i="16"/>
  <c r="K54" i="16" s="1"/>
  <c r="J53" i="16"/>
  <c r="K53" i="16" s="1"/>
  <c r="J52" i="16"/>
  <c r="J51" i="16"/>
  <c r="J50" i="16"/>
  <c r="K50" i="16" s="1"/>
  <c r="J49" i="16"/>
  <c r="K49" i="16" s="1"/>
  <c r="J48" i="16"/>
  <c r="J47" i="16"/>
  <c r="J46" i="16"/>
  <c r="K46" i="16" s="1"/>
  <c r="J45" i="16"/>
  <c r="K45" i="16" s="1"/>
  <c r="J44" i="16"/>
  <c r="J43" i="16"/>
  <c r="J42" i="16"/>
  <c r="K42" i="16" s="1"/>
  <c r="J41" i="16"/>
  <c r="K41" i="16" s="1"/>
  <c r="J40" i="16"/>
  <c r="J39" i="16"/>
  <c r="J38" i="16"/>
  <c r="K38" i="16" s="1"/>
  <c r="J37" i="16"/>
  <c r="K37" i="16" s="1"/>
  <c r="J32" i="16"/>
  <c r="K32" i="16" s="1"/>
  <c r="J31" i="16"/>
  <c r="K31" i="16" s="1"/>
  <c r="J30" i="16"/>
  <c r="K30" i="16" s="1"/>
  <c r="J29" i="16"/>
  <c r="K29" i="16" s="1"/>
  <c r="J28" i="16"/>
  <c r="K28" i="16" s="1"/>
  <c r="J27" i="16"/>
  <c r="K27" i="16" s="1"/>
  <c r="J26" i="16"/>
  <c r="J25" i="16"/>
  <c r="K25" i="16" s="1"/>
  <c r="J24" i="16"/>
  <c r="J23" i="16"/>
  <c r="K23" i="16" s="1"/>
  <c r="J22" i="16"/>
  <c r="K22" i="16" s="1"/>
  <c r="J21" i="16"/>
  <c r="K21" i="16" s="1"/>
  <c r="J20" i="16"/>
  <c r="K20" i="16" s="1"/>
  <c r="J19" i="16"/>
  <c r="K19" i="16" s="1"/>
  <c r="J18" i="16"/>
  <c r="K18" i="16" s="1"/>
  <c r="J17" i="16"/>
  <c r="K17" i="16" s="1"/>
  <c r="J16" i="16"/>
  <c r="J15" i="16"/>
  <c r="K15" i="16" s="1"/>
  <c r="J14" i="16"/>
  <c r="K14" i="16" s="1"/>
  <c r="J12" i="16"/>
  <c r="J28" i="14"/>
  <c r="H28" i="14"/>
  <c r="K28" i="14" s="1"/>
  <c r="J27" i="14"/>
  <c r="K27" i="14" s="1"/>
  <c r="H27" i="14"/>
  <c r="J26" i="14"/>
  <c r="H26" i="14"/>
  <c r="J25" i="14"/>
  <c r="H25" i="14"/>
  <c r="J24" i="14"/>
  <c r="H24" i="14"/>
  <c r="J23" i="14"/>
  <c r="K23" i="14" s="1"/>
  <c r="H23" i="14"/>
  <c r="J22" i="14"/>
  <c r="H22" i="14"/>
  <c r="J21" i="14"/>
  <c r="K21" i="14" s="1"/>
  <c r="H21" i="14"/>
  <c r="J20" i="14"/>
  <c r="H20" i="14"/>
  <c r="J19" i="14"/>
  <c r="H19" i="14"/>
  <c r="J18" i="14"/>
  <c r="K18" i="14" s="1"/>
  <c r="H18" i="14"/>
  <c r="J17" i="14"/>
  <c r="K17" i="14" s="1"/>
  <c r="H17" i="14"/>
  <c r="J16" i="14"/>
  <c r="K16" i="14" s="1"/>
  <c r="H16" i="14"/>
  <c r="J15" i="14"/>
  <c r="H15" i="14"/>
  <c r="J14" i="14"/>
  <c r="H14" i="14"/>
  <c r="J13" i="14"/>
  <c r="H13" i="14"/>
  <c r="H12" i="14"/>
  <c r="J12" i="14"/>
  <c r="K26" i="16" l="1"/>
  <c r="K24" i="16"/>
  <c r="K16" i="16"/>
  <c r="K39" i="16"/>
  <c r="K47" i="16"/>
  <c r="K55" i="16"/>
  <c r="K59" i="16"/>
  <c r="K63" i="16"/>
  <c r="K67" i="16"/>
  <c r="K75" i="16"/>
  <c r="K79" i="16"/>
  <c r="K40" i="16"/>
  <c r="K44" i="16"/>
  <c r="K48" i="16"/>
  <c r="K52" i="16"/>
  <c r="K56" i="16"/>
  <c r="K60" i="16"/>
  <c r="K64" i="16"/>
  <c r="K68" i="16"/>
  <c r="K72" i="16"/>
  <c r="K76" i="16"/>
  <c r="K43" i="16"/>
  <c r="K51" i="16"/>
  <c r="K71" i="16"/>
  <c r="K12" i="16"/>
  <c r="K26" i="14"/>
  <c r="K25" i="14"/>
  <c r="K24" i="14"/>
  <c r="K22" i="14"/>
  <c r="K20" i="14"/>
  <c r="K19" i="14"/>
  <c r="K15" i="14"/>
  <c r="K12" i="14"/>
  <c r="K14" i="14"/>
  <c r="K13" i="14"/>
  <c r="J85" i="13"/>
  <c r="K85" i="13" s="1"/>
  <c r="H85" i="13"/>
  <c r="J84" i="13"/>
  <c r="H84" i="13"/>
  <c r="K84" i="13" s="1"/>
  <c r="J83" i="13"/>
  <c r="H83" i="13"/>
  <c r="K83" i="13" s="1"/>
  <c r="J82" i="13"/>
  <c r="H82" i="13"/>
  <c r="J81" i="13"/>
  <c r="H81" i="13"/>
  <c r="J79" i="13"/>
  <c r="H79" i="13"/>
  <c r="J78" i="13"/>
  <c r="H78" i="13"/>
  <c r="J77" i="13"/>
  <c r="K77" i="13" s="1"/>
  <c r="H77" i="13"/>
  <c r="J75" i="13"/>
  <c r="K75" i="13" s="1"/>
  <c r="H75" i="13"/>
  <c r="J74" i="13"/>
  <c r="H74" i="13"/>
  <c r="J72" i="13"/>
  <c r="H72" i="13"/>
  <c r="J70" i="13"/>
  <c r="H70" i="13"/>
  <c r="J69" i="13"/>
  <c r="H69" i="13"/>
  <c r="J67" i="13"/>
  <c r="H67" i="13"/>
  <c r="J66" i="13"/>
  <c r="K66" i="13" s="1"/>
  <c r="H66" i="13"/>
  <c r="J64" i="13"/>
  <c r="H64" i="13"/>
  <c r="J63" i="13"/>
  <c r="K63" i="13" s="1"/>
  <c r="H63" i="13"/>
  <c r="J62" i="13"/>
  <c r="K62" i="13" s="1"/>
  <c r="H62" i="13"/>
  <c r="J61" i="13"/>
  <c r="H61" i="13"/>
  <c r="J60" i="13"/>
  <c r="K60" i="13" s="1"/>
  <c r="H60" i="13"/>
  <c r="J58" i="13"/>
  <c r="K58" i="13" s="1"/>
  <c r="H58" i="13"/>
  <c r="J56" i="13"/>
  <c r="H56" i="13"/>
  <c r="J54" i="13"/>
  <c r="H54" i="13"/>
  <c r="J53" i="13"/>
  <c r="H53" i="13"/>
  <c r="J52" i="13"/>
  <c r="H52" i="13"/>
  <c r="J50" i="13"/>
  <c r="H50" i="13"/>
  <c r="J49" i="13"/>
  <c r="H49" i="13"/>
  <c r="J48" i="13"/>
  <c r="H48" i="13"/>
  <c r="J46" i="13"/>
  <c r="H46" i="13"/>
  <c r="J44" i="13"/>
  <c r="H44" i="13"/>
  <c r="K44" i="13" s="1"/>
  <c r="J14" i="13"/>
  <c r="H14" i="13"/>
  <c r="J41" i="13"/>
  <c r="H41" i="13"/>
  <c r="J40" i="13"/>
  <c r="H40" i="13"/>
  <c r="J39" i="13"/>
  <c r="H39" i="13"/>
  <c r="J37" i="13"/>
  <c r="K37" i="13" s="1"/>
  <c r="H37" i="13"/>
  <c r="J36" i="13"/>
  <c r="H36" i="13"/>
  <c r="J35" i="13"/>
  <c r="K35" i="13" s="1"/>
  <c r="H35" i="13"/>
  <c r="J34" i="13"/>
  <c r="H34" i="13"/>
  <c r="K33" i="13"/>
  <c r="J33" i="13"/>
  <c r="H33" i="13"/>
  <c r="J32" i="13"/>
  <c r="H32" i="13"/>
  <c r="J31" i="13"/>
  <c r="H31" i="13"/>
  <c r="J30" i="13"/>
  <c r="H30" i="13"/>
  <c r="J29" i="13"/>
  <c r="H29" i="13"/>
  <c r="J28" i="13"/>
  <c r="H28" i="13"/>
  <c r="J27" i="13"/>
  <c r="K27" i="13" s="1"/>
  <c r="H27" i="13"/>
  <c r="J26" i="13"/>
  <c r="H26" i="13"/>
  <c r="J25" i="13"/>
  <c r="K25" i="13" s="1"/>
  <c r="H25" i="13"/>
  <c r="J24" i="13"/>
  <c r="H24" i="13"/>
  <c r="J23" i="13"/>
  <c r="H23" i="13"/>
  <c r="J22" i="13"/>
  <c r="H22" i="13"/>
  <c r="J21" i="13"/>
  <c r="H21" i="13"/>
  <c r="J20" i="13"/>
  <c r="H20" i="13"/>
  <c r="J19" i="13"/>
  <c r="H19" i="13"/>
  <c r="K19" i="13" s="1"/>
  <c r="J18" i="13"/>
  <c r="H18" i="13"/>
  <c r="J17" i="13"/>
  <c r="H17" i="13"/>
  <c r="K20" i="13" l="1"/>
  <c r="K22" i="13"/>
  <c r="K82" i="16"/>
  <c r="K29" i="14"/>
  <c r="C11" i="2" s="1"/>
  <c r="K82" i="13"/>
  <c r="K81" i="13"/>
  <c r="K79" i="13"/>
  <c r="K78" i="13"/>
  <c r="K74" i="13"/>
  <c r="K72" i="13"/>
  <c r="K70" i="13"/>
  <c r="K69" i="13"/>
  <c r="K67" i="13"/>
  <c r="K64" i="13"/>
  <c r="K61" i="13"/>
  <c r="K56" i="13"/>
  <c r="K54" i="13"/>
  <c r="K53" i="13"/>
  <c r="K52" i="13"/>
  <c r="K50" i="13"/>
  <c r="K49" i="13"/>
  <c r="K48" i="13"/>
  <c r="K46" i="13"/>
  <c r="K18" i="13"/>
  <c r="K17" i="13"/>
  <c r="K41" i="13"/>
  <c r="K40" i="13"/>
  <c r="K39" i="13"/>
  <c r="K24" i="13"/>
  <c r="K28" i="13"/>
  <c r="K32" i="13"/>
  <c r="K21" i="13"/>
  <c r="K34" i="13"/>
  <c r="K36" i="13"/>
  <c r="K26" i="13"/>
  <c r="K30" i="13"/>
  <c r="K23" i="13"/>
  <c r="K29" i="13"/>
  <c r="K31" i="13"/>
  <c r="K14" i="13"/>
  <c r="K86" i="13" l="1"/>
  <c r="C10" i="2" s="1"/>
  <c r="C13" i="2" s="1"/>
  <c r="C15" i="2" s="1"/>
  <c r="A78" i="16"/>
  <c r="A79" i="16" s="1"/>
  <c r="D74" i="16"/>
  <c r="D73" i="16"/>
  <c r="A69" i="16"/>
  <c r="A72" i="16" s="1"/>
  <c r="D68" i="16"/>
  <c r="A67" i="16"/>
  <c r="D57" i="16"/>
  <c r="D55" i="16"/>
  <c r="D54" i="16"/>
  <c r="A43" i="16"/>
  <c r="A48" i="16" s="1"/>
  <c r="A53" i="16" s="1"/>
  <c r="A56" i="16" s="1"/>
  <c r="A58" i="16" s="1"/>
  <c r="D32" i="16"/>
  <c r="D31" i="16"/>
  <c r="D30" i="16"/>
  <c r="D29" i="16"/>
  <c r="D28" i="16"/>
  <c r="D22" i="16"/>
  <c r="D21" i="16"/>
  <c r="D20" i="16"/>
  <c r="D18" i="16"/>
  <c r="D16" i="16"/>
  <c r="D14" i="16"/>
  <c r="A13" i="16"/>
  <c r="A15" i="16" s="1"/>
  <c r="A17" i="16" s="1"/>
  <c r="A19" i="16" s="1"/>
  <c r="A21" i="16" s="1"/>
  <c r="A23" i="16" s="1"/>
  <c r="A25" i="16" s="1"/>
  <c r="A27" i="16" s="1"/>
  <c r="D12" i="16"/>
  <c r="D23" i="14"/>
  <c r="D22" i="14"/>
  <c r="D20" i="14"/>
  <c r="D19" i="14"/>
  <c r="A18" i="14"/>
  <c r="A21" i="14" s="1"/>
  <c r="A24" i="14" s="1"/>
  <c r="A25" i="14" s="1"/>
  <c r="A26" i="14" s="1"/>
  <c r="A27" i="14" s="1"/>
  <c r="D78" i="13"/>
  <c r="D77" i="13"/>
  <c r="D61" i="13"/>
  <c r="D60" i="13"/>
  <c r="C48" i="13"/>
  <c r="C46" i="13"/>
  <c r="E44" i="13"/>
  <c r="E46" i="13" s="1"/>
  <c r="E48" i="13" s="1"/>
  <c r="D44" i="13"/>
  <c r="A15" i="13"/>
  <c r="A42" i="13" s="1"/>
  <c r="D14" i="13"/>
  <c r="B14" i="13"/>
  <c r="D46" i="13" l="1"/>
  <c r="E49" i="13"/>
  <c r="E52" i="13"/>
  <c r="D48" i="13"/>
  <c r="B43" i="13"/>
  <c r="B45" i="13" s="1"/>
  <c r="B47" i="13" s="1"/>
  <c r="B49" i="13" s="1"/>
  <c r="B50" i="13" s="1"/>
  <c r="B51" i="13" s="1"/>
  <c r="B53" i="13" s="1"/>
  <c r="B54" i="13" s="1"/>
  <c r="A55" i="13"/>
  <c r="A57" i="13" l="1"/>
  <c r="B56" i="13"/>
  <c r="E53" i="13"/>
  <c r="D52" i="13"/>
  <c r="D49" i="13"/>
  <c r="E50" i="13"/>
  <c r="D50" i="13" s="1"/>
  <c r="D53" i="13" l="1"/>
  <c r="E54" i="13"/>
  <c r="A59" i="13"/>
  <c r="B58" i="13"/>
  <c r="B60" i="13" l="1"/>
  <c r="B61" i="13" s="1"/>
  <c r="A62" i="13"/>
  <c r="A63" i="13" s="1"/>
  <c r="A64" i="13" s="1"/>
  <c r="A65" i="13" s="1"/>
  <c r="B66" i="13" l="1"/>
  <c r="B67" i="13" s="1"/>
  <c r="B68" i="13" s="1"/>
  <c r="B71" i="13" s="1"/>
  <c r="A73" i="13"/>
  <c r="A76" i="13" l="1"/>
  <c r="B74" i="13"/>
  <c r="B75" i="13" s="1"/>
  <c r="B77" i="13" l="1"/>
  <c r="B78" i="13" s="1"/>
  <c r="A79" i="13"/>
  <c r="A80" i="13" s="1"/>
  <c r="A82" i="13" l="1"/>
  <c r="A83" i="13" s="1"/>
  <c r="A84" i="13" s="1"/>
  <c r="B81" i="13"/>
</calcChain>
</file>

<file path=xl/sharedStrings.xml><?xml version="1.0" encoding="utf-8"?>
<sst xmlns="http://schemas.openxmlformats.org/spreadsheetml/2006/main" count="447" uniqueCount="257">
  <si>
    <t>Bill of Quantities</t>
  </si>
  <si>
    <t>S.No.</t>
  </si>
  <si>
    <t>DESCRIPTION</t>
  </si>
  <si>
    <t>Qty</t>
  </si>
  <si>
    <t>Rate</t>
  </si>
  <si>
    <t>Amount</t>
  </si>
  <si>
    <t xml:space="preserve"> Before quote the rates,the contractor should first visit the site.</t>
  </si>
  <si>
    <t xml:space="preserve"> Above quantities are approximate,subject to increase or decrease as per site.</t>
  </si>
  <si>
    <t xml:space="preserve"> Area will be measured from face to face of said job.</t>
  </si>
  <si>
    <t>A</t>
  </si>
  <si>
    <t>S.No</t>
  </si>
  <si>
    <t>Activity.</t>
  </si>
  <si>
    <t>AMOUNT</t>
  </si>
  <si>
    <t>TOTAL RS.</t>
  </si>
  <si>
    <t>TOTAL ESTIMATED COST OF PROJECT RS.</t>
  </si>
  <si>
    <t>LESS REBATE ____% RS.</t>
  </si>
  <si>
    <t>SUMMARY OF COST</t>
  </si>
  <si>
    <t xml:space="preserve"> Note:</t>
  </si>
  <si>
    <t>No.</t>
  </si>
  <si>
    <t>COVERED AREA</t>
  </si>
  <si>
    <t>RATE PER SFT.</t>
  </si>
  <si>
    <t>Nos.</t>
  </si>
  <si>
    <t>B</t>
  </si>
  <si>
    <t>Model/Make</t>
  </si>
  <si>
    <t>Remarks</t>
  </si>
  <si>
    <t>Lead Time</t>
  </si>
  <si>
    <t>Highlight any significant lead time item which might impact project delivery of end november 2022. Alternate can also be provided with technical submittal or sample.</t>
  </si>
  <si>
    <t>Highlight any item which might have been missed from this BOQ and might be required so that it can be added at this stage. Otherwise it will have to borne by contractor if highlighted after award of works</t>
  </si>
  <si>
    <t>QTY</t>
  </si>
  <si>
    <t>UNIT</t>
  </si>
  <si>
    <t>Rm.</t>
  </si>
  <si>
    <t>ACMV Works</t>
  </si>
  <si>
    <t>GSK Office</t>
  </si>
  <si>
    <t>Rev.00</t>
  </si>
  <si>
    <t>Dolmen Mall, Karachi.</t>
  </si>
  <si>
    <t>Date: 17-08-2022</t>
  </si>
  <si>
    <t>MATERIAL</t>
  </si>
  <si>
    <t>LABOUR</t>
  </si>
  <si>
    <t>TOTAL</t>
  </si>
  <si>
    <t>S.NO.</t>
  </si>
  <si>
    <t xml:space="preserve">RATE </t>
  </si>
  <si>
    <t>AMOUNT Rs.</t>
  </si>
  <si>
    <t>All air conditioning &amp; mechanical ventilation works shall be completed, tested and commissioned as per drawings, specifications and as per instruction of Consultant</t>
  </si>
  <si>
    <t>DFCU-01</t>
  </si>
  <si>
    <t>VAVs</t>
  </si>
  <si>
    <t xml:space="preserve">i. </t>
  </si>
  <si>
    <t>VAV-01</t>
  </si>
  <si>
    <t xml:space="preserve">ii. </t>
  </si>
  <si>
    <t>VAV-02</t>
  </si>
  <si>
    <t xml:space="preserve">iii. </t>
  </si>
  <si>
    <t>VAV-03</t>
  </si>
  <si>
    <t xml:space="preserve">iv. </t>
  </si>
  <si>
    <t>VAV-04</t>
  </si>
  <si>
    <t xml:space="preserve">v. </t>
  </si>
  <si>
    <t>VAV-05</t>
  </si>
  <si>
    <t xml:space="preserve">vi. </t>
  </si>
  <si>
    <t>VAV-06</t>
  </si>
  <si>
    <t xml:space="preserve">vii. </t>
  </si>
  <si>
    <t>VAV-07</t>
  </si>
  <si>
    <t xml:space="preserve">viii. </t>
  </si>
  <si>
    <t>VAV-08</t>
  </si>
  <si>
    <t xml:space="preserve">ix. </t>
  </si>
  <si>
    <t>VAV-09</t>
  </si>
  <si>
    <t xml:space="preserve">x. </t>
  </si>
  <si>
    <t>VAV-10</t>
  </si>
  <si>
    <t>xi.</t>
  </si>
  <si>
    <t>VAV-11</t>
  </si>
  <si>
    <t>xii.</t>
  </si>
  <si>
    <t>VAV-12</t>
  </si>
  <si>
    <t>xiii.</t>
  </si>
  <si>
    <t>VAV-13</t>
  </si>
  <si>
    <t xml:space="preserve">xiv. </t>
  </si>
  <si>
    <t>VAV-14</t>
  </si>
  <si>
    <t xml:space="preserve">xv. </t>
  </si>
  <si>
    <t>VAV-15</t>
  </si>
  <si>
    <t xml:space="preserve">xvi. </t>
  </si>
  <si>
    <t>VAV-16</t>
  </si>
  <si>
    <t xml:space="preserve">xvii. </t>
  </si>
  <si>
    <t>VAV-17</t>
  </si>
  <si>
    <t xml:space="preserve">xviii. </t>
  </si>
  <si>
    <t>VAV-18</t>
  </si>
  <si>
    <t xml:space="preserve">xix. </t>
  </si>
  <si>
    <t>VAV-19</t>
  </si>
  <si>
    <t xml:space="preserve">xx. </t>
  </si>
  <si>
    <t>VAV-20</t>
  </si>
  <si>
    <t>xxi.</t>
  </si>
  <si>
    <t>VAV-21</t>
  </si>
  <si>
    <t>CAVs</t>
  </si>
  <si>
    <t>CAV-01</t>
  </si>
  <si>
    <t>CAV-02</t>
  </si>
  <si>
    <t>CAV-03</t>
  </si>
  <si>
    <t>Supply &amp; installation of valves &amp; accessories for DFCU with lindaptor supports, hangers, flanges, gas kits, nut &amp; bolts where it required, etc. complete in all respects as per specifications, drawings and as per instructions of consultant.</t>
  </si>
  <si>
    <t>Ball  Valve</t>
  </si>
  <si>
    <t>i.</t>
  </si>
  <si>
    <t xml:space="preserve">25mm dia </t>
  </si>
  <si>
    <t>Strainers</t>
  </si>
  <si>
    <t>Balancing Valve (with self sealing measuring nipples)</t>
  </si>
  <si>
    <t>Thermometer 150mm Height Scale Type (with Thermo well) 0 ºC to 60 ºC</t>
  </si>
  <si>
    <t>Pressure Gauge with  Ball Valve &amp; Siphon, Liquid filled Dial type range
0 psi to 100 psi. (100mm dial Size)</t>
  </si>
  <si>
    <t>2-Way Motorized Valve with Actuator (0-100% modulating)</t>
  </si>
  <si>
    <t xml:space="preserve">Digital Decorative Thermostat Controller (BMS Interfacable) with Duct Mounted Sensor </t>
  </si>
  <si>
    <t>Control wiring from controller to sensors, motorized valve and power wiring, up to 15' radius</t>
  </si>
  <si>
    <t>Job.</t>
  </si>
  <si>
    <t>Supply &amp; installation of SCH-40 M.S.(As per ASME &amp; API standard, Heavy Quality with standard SCH 40 wall thickness) pipes &amp; fitting for chilled &amp; cooling water circulation system complete with bends, tees, unions, sockets, specials, lindaptor support, hangers &amp; anchors, M.S. angle, U channel, roller support, bolts, rods, clamps, concrete fasteners etc as required to complete in all respects ready to operate as per specification, drawings and as per instruction of consultant.</t>
  </si>
  <si>
    <t>25mm dia</t>
  </si>
  <si>
    <t>Rm</t>
  </si>
  <si>
    <t>25mm dia (chilled water pipes only)</t>
  </si>
  <si>
    <t>Supply, installation  of Ventilation Fans including  electrical connection, flexible duct connection / connector, lindaptor support &amp; hangers complete in all respects ready to operate as per drawings, specification and as per instruction of consultant.</t>
  </si>
  <si>
    <t>RAF-01</t>
  </si>
  <si>
    <t>TAF-01 Wall Mounted Fan (50 cfm)</t>
  </si>
  <si>
    <t>Supply, fabrication and installation of machine made G.I sheet metal duct different  sections supply, return, fresh &amp; exhaust air including plenums, splitter dampers, guide vanes, flexible duct connector / connection, access door, transformation, plenums chambers, wooden frame, anchors supports &amp; hangers complete in all respects ready to operate as per drawings, specification, instruction and approval of Consultant.</t>
  </si>
  <si>
    <t>Sqm</t>
  </si>
  <si>
    <t>Supply &amp; installation of adhesive 20mm thick rubber foam (XLPE) insulation with aluminum foil over supply &amp; return duct and plenums, complete in all respects ready to operate as per specification, drawings and as per instruction of consultant.</t>
  </si>
  <si>
    <t>Supply &amp; installation of acoustical duct sound liner (adhesive 12mm thick) in supply air &amp; return air duct etc, complete in all respects ready to operate as per drawings, specification and as per instruction of consultant.</t>
  </si>
  <si>
    <t>Supply &amp; installation of aluminum fabricated, powder coated grills, diffusers and registers etc for supply, return, exhaust &amp; fresh air of different sizes (Grade A) wooden frame, lindaptor supports and other accessories etc. complete in all respects ready to operate as per specification, drawings and as per instruction of Consultant.</t>
  </si>
  <si>
    <t>Supply &amp; Return Air Diffuser with Damper</t>
  </si>
  <si>
    <t>S.S Wire Mesh with G.I Frame</t>
  </si>
  <si>
    <t>Linear Slots 6000 Series with bird mesh</t>
  </si>
  <si>
    <t>1 Slot of 20mm</t>
  </si>
  <si>
    <t>ii.</t>
  </si>
  <si>
    <t>2 Slots of 3/4"</t>
  </si>
  <si>
    <t>Disc Valves</t>
  </si>
  <si>
    <t>150mm dia</t>
  </si>
  <si>
    <t xml:space="preserve">Supply &amp; installation of flexible duct including hangers, jubilee clamp complete in all respects as per specification, drawings &amp; as per instruction of consultant.
</t>
  </si>
  <si>
    <t>200mm dia</t>
  </si>
  <si>
    <t>Supply &amp; installation of butterfly damper for above flexible duct with gas kits, nut bolts, complete in all respects, ready to operate as per specification, drawings &amp; as per instruction of consultant.</t>
  </si>
  <si>
    <t>Supply, Installation of Volume Control Damper in 16 SWG G.I sheet metal with gas kits, nut bolts, etc, complete in all respects ready to operate as per specification, drawings and as per instruction, approval of consultant.</t>
  </si>
  <si>
    <t>Supply &amp; istallation of uPVC (Sch 40.) drain pipe insulated with 3/8" thick rubber foam insulation including clamps, bends, tees, drain plugs, sockets, protection treatment, PVC tape wrapping, lindaptor supports &amp; hangers  complete in all respects as per specifications, drawings &amp; as per instructions of Consultant.</t>
  </si>
  <si>
    <t>Painting &amp; Identification work on pipes &amp; exhaust duct, supports, hangers etc. complete in all respects with one coat of ICI make Red lead oxide primer &amp; two coats of ICI make enamel paint as per instruction of Consultant.</t>
  </si>
  <si>
    <t>Testing, balancing and commissioning of water &amp; air side of the system (from independent agency) complete in all respects including flow measurement &amp; balancing, temp, pressure, electrical data of related equipment etc. as per specifications and as per instructions of Consultant.</t>
  </si>
  <si>
    <t>Making of Shop drawings on Auto CAD 2016 with section details, equipment foundation details and Making of As Built drawings, Documentation Technical / Operational Manual &amp; LOG Book for each equipment as per instruction of Consultant.</t>
  </si>
  <si>
    <t>Total Cost of ACMV Works Rs.</t>
  </si>
  <si>
    <t>&gt;   13% SST will be applied on final labour rates.</t>
  </si>
  <si>
    <t>&gt;   Miscellaneous work which was not included in BOQ but necessary to complete the project in all respects and ready to operate as per
     instructions of Consultant. (Bidder should mentioned the type of works).</t>
  </si>
  <si>
    <t>Fire Suppression Services</t>
  </si>
  <si>
    <t xml:space="preserve">GSK Office  </t>
  </si>
  <si>
    <t>11th. Floor Dolmen Mall, Karachi.</t>
  </si>
  <si>
    <t>Description</t>
  </si>
  <si>
    <t>Unit</t>
  </si>
  <si>
    <t>Material</t>
  </si>
  <si>
    <t>Labour</t>
  </si>
  <si>
    <t xml:space="preserve">Total </t>
  </si>
  <si>
    <t>FIRE FIGHTING SERVICES</t>
  </si>
  <si>
    <t>Supply, installation, testing &amp; commissioning of fire suppression system including all equipment, pipe works and accessories ready to operate as per specifications, drawings and instructions of consultants.</t>
  </si>
  <si>
    <t>MS Sch-40 seamless pipes including all specials fittings UL listed &amp; FM approved, threaded, welded joints, flexible pipe, flanges, coupling, masking plates, bends, tees, clamps, supports and hangers, sleeves, masking plates chiseling, cutting holes, making good where required, painting and protection treatment etc. Complete in all respects.</t>
  </si>
  <si>
    <t>Dia  25 mm          (Threaded fitting)</t>
  </si>
  <si>
    <t>Dia  32 mm          (Threaded fitting)</t>
  </si>
  <si>
    <t>iii.</t>
  </si>
  <si>
    <t>Dia  40 mm          (Threaded fitting)</t>
  </si>
  <si>
    <t>iv.</t>
  </si>
  <si>
    <t>Dia  50 mm          (Threaded fitting)</t>
  </si>
  <si>
    <t>v.</t>
  </si>
  <si>
    <t>Dia  65 mm          (Welded joints fitting)</t>
  </si>
  <si>
    <t>vi.</t>
  </si>
  <si>
    <t>Dia  75 mm          (Welded joints fitting)</t>
  </si>
  <si>
    <t>Fire extinguishers with fixing accessories.</t>
  </si>
  <si>
    <t>Type Class A,B&amp;C  FX-4  (6 Kg. Dry Chemical Powder)</t>
  </si>
  <si>
    <t xml:space="preserve">Sprinkler Heads </t>
  </si>
  <si>
    <t>Sprinkler Upright K = 5.6 (Opening Temperature 68ºc)</t>
  </si>
  <si>
    <t>Sprinkler Pendent type with cover plate, K = 5.6  (Opening Temperature 57ºC)</t>
  </si>
  <si>
    <t>Making of As-Built &amp; Shop Drawings on AutoCAD 2018 or latest version with sectional details complete in all respects as per instructions of consultant.</t>
  </si>
  <si>
    <t xml:space="preserve">Painting, identification and tagging to the installations and equipments. </t>
  </si>
  <si>
    <t xml:space="preserve">Flushing of entire fire pipe work according to (NFPA-13). </t>
  </si>
  <si>
    <t>Testing, and commissioning of entire fire fighting installation as per Consultant's approval.</t>
  </si>
  <si>
    <t>Total Cost of Fire Suppression Services Rs.</t>
  </si>
  <si>
    <t>Note:</t>
  </si>
  <si>
    <t>1)</t>
  </si>
  <si>
    <t>Contractor is instructed to visit the site, understand the nature of work &amp; then fill the rates accordingly and submit the quotation. No argument and discussion will be entertained after awarding of work.</t>
  </si>
  <si>
    <t>2)</t>
  </si>
  <si>
    <t>Miscellaneous work which was not included in BOQ but necessary to complete the project in all respects and ready to operate as per instructions of Consultant. (Bidder should mentioned the type of works).</t>
  </si>
  <si>
    <t xml:space="preserve">Plumbing &amp; Sanitary Services </t>
  </si>
  <si>
    <t>11th. Floor, Dolmen Mall, Karachi.</t>
  </si>
  <si>
    <t>Date: 18-08-2022</t>
  </si>
  <si>
    <t xml:space="preserve"> </t>
  </si>
  <si>
    <t>SECTION - 01, INSTALLATION OF PLUMBING FIXTURES.</t>
  </si>
  <si>
    <t>Installation of plumbing fixtures &amp; faucets complete in all respects including all accessories, support, hangers, etc. ready to use as per specifications, drawings and instructions of Consultant.</t>
  </si>
  <si>
    <t>European style W.C. wall hung type with seat cover, flush valve, including automatic sensor type flushing system, wall mounted brackets &amp; fixing accessories etc.</t>
  </si>
  <si>
    <t>Type - EWC-WH</t>
  </si>
  <si>
    <t>European style water closet for disabled persons with seat cover,  flush valve, including automatic sensor type flushing system, S.S bracket, grap bar support, C.P. connector, thimble, etc.and fixing accessories.</t>
  </si>
  <si>
    <t>Toilet Hand Spray with flexible chain &amp; telephone type shower Including tee stop cock etc. complete in all respect.</t>
  </si>
  <si>
    <t xml:space="preserve">Type - TS </t>
  </si>
  <si>
    <t>Wash basin (WB) half pedestal wall mounted including bottle trap, waste, stop cocks, etc.</t>
  </si>
  <si>
    <t xml:space="preserve">Type - WB </t>
  </si>
  <si>
    <t>Wash basin mixer for hot &amp; cold water with automatic sensor type system etc.</t>
  </si>
  <si>
    <t>Stainless steel kitchen sink including stop cocks,  P-trap / bottle trap, waste pipe etc complete in all respects.</t>
  </si>
  <si>
    <t>SK - 1,  20" x 20" single bowl and single drainer.</t>
  </si>
  <si>
    <t>Sink mixer for hot &amp; cold water with automatic sensor type system etc.</t>
  </si>
  <si>
    <t>For SK - 1</t>
  </si>
  <si>
    <t>Brass body Bib cock for Ablution sytem etc.</t>
  </si>
  <si>
    <t>Size 3/4" AB</t>
  </si>
  <si>
    <t>Toilet accessories complete set.</t>
  </si>
  <si>
    <t>Soap Dispenser</t>
  </si>
  <si>
    <t>Towel Rail</t>
  </si>
  <si>
    <t>Paper Holder</t>
  </si>
  <si>
    <t>Coat Hooks</t>
  </si>
  <si>
    <t xml:space="preserve">Automatic Hand Dryer </t>
  </si>
  <si>
    <t>Sub Total Rs.</t>
  </si>
  <si>
    <t>SECTION-02 WATER SUPPLY SYSTEM.</t>
  </si>
  <si>
    <t>Supply, installation, testing and commissioning of complete pipe work for cold and hot water system including all accessories required to complete systems ready to operate as per specification, drawings &amp; instruction of Consultant.</t>
  </si>
  <si>
    <t>Polypropylene Random PP-R pipes PN 20 and fittings with fusion  jointing along with all types of unions, tees, bends, sockets, clamps, lindapter supports hangers, sleeves, masking  plates, chiseling, making holes making good, excavation, bedding backfilling as required complete in all respect.</t>
  </si>
  <si>
    <t xml:space="preserve">Dia.   OD 25 mm </t>
  </si>
  <si>
    <t xml:space="preserve">Dia.   OD 32 mm </t>
  </si>
  <si>
    <t xml:space="preserve">Dia.   OD 40 mm </t>
  </si>
  <si>
    <t xml:space="preserve">Dia.   OD 50 mm </t>
  </si>
  <si>
    <t xml:space="preserve">Dia.   OD 63 mm </t>
  </si>
  <si>
    <t xml:space="preserve">Dia.   OD 75 mm </t>
  </si>
  <si>
    <t>Dia    OD 25 mm</t>
  </si>
  <si>
    <t>Open cell rubber foam insulation 3/8" thick &amp; pvc tape wrapping for hot water pipes.</t>
  </si>
  <si>
    <t xml:space="preserve">Dia    OD 25 mm  </t>
  </si>
  <si>
    <t>Dia.   OD 32 mm</t>
  </si>
  <si>
    <t>Brass body gate valves / ball valves with unions.</t>
  </si>
  <si>
    <t xml:space="preserve">Size  1-1/4"   </t>
  </si>
  <si>
    <t xml:space="preserve">Size  2" </t>
  </si>
  <si>
    <t>Bib cock brass body for washing area.</t>
  </si>
  <si>
    <t xml:space="preserve">Size 3/4"   </t>
  </si>
  <si>
    <t>Supply &amp; installation of hot water storage heater (Electric) suitable for 30 psi working pressure including  thermostat, inlet/outlet connection. Pressure relief valve.</t>
  </si>
  <si>
    <t>HWE-100 (100 Litres Storage Capacity)</t>
  </si>
  <si>
    <t>SECTION-03 SOIL, WASTE VENT AND RAIN WATER DRAINAGE SYSTEM</t>
  </si>
  <si>
    <t>Supply, fixing, testing and commissioning of equipment, pipe work required to complete the soil, waste, vent and rain water systems in all respects with accessories ready to operate as per specifications, drawings and instructions of Consultant.</t>
  </si>
  <si>
    <t>uPVC pipes of approved make along with specials, fittings, bends, wye, tees, sockets, lindapter supports hangers, flexible connectors, sleeves, masking plates, chiseling, making hole, excavation, backfilling making good where as  required jointing with rubber ring seal.</t>
  </si>
  <si>
    <t xml:space="preserve">Dia.   50 mm       </t>
  </si>
  <si>
    <t>Dia.   75 mm</t>
  </si>
  <si>
    <t>Dia.   100 mm</t>
  </si>
  <si>
    <t xml:space="preserve">Floor drain including S.S grating with floor trap, inlet outlet connection complete in all respects. </t>
  </si>
  <si>
    <t xml:space="preserve">FD- 75 mm </t>
  </si>
  <si>
    <t>Cleanout for soil, waste pipes of approved make.</t>
  </si>
  <si>
    <t>For 75 mm Pipe with SS floor cover plate</t>
  </si>
  <si>
    <t>For 100 mm Pipe with SS floor cover plate</t>
  </si>
  <si>
    <t>uPVC cowl for vent pipe of the following dia. including all accessories complete.</t>
  </si>
  <si>
    <t xml:space="preserve">Size. 75 mm  </t>
  </si>
  <si>
    <t>Size. 100 mm</t>
  </si>
  <si>
    <t>SECTION-04 SUNDRIES</t>
  </si>
  <si>
    <t>Contractor will priced the  sundries items for all Plumbing &amp; Sanitary (P&amp;S) services as per specifications, drawings and instruction of consultant.</t>
  </si>
  <si>
    <t xml:space="preserve">Submittals, samples, shop drawings, inspections, As-Built drawings, operation and maintenance manuals and the like as required by specification. </t>
  </si>
  <si>
    <t>Testing, and commissioning entire P&amp;S installation as per Engineer's approval.</t>
  </si>
  <si>
    <t>TOTAL OF ALL SECTIONS RS.</t>
  </si>
  <si>
    <t>Certified/Qualified full time Health and Safety Supervisor other than the Resident Engineer/Site Supervisor, having prior expertise in HVAC H&amp;S area.</t>
  </si>
  <si>
    <t>Certified/Qualified full time Health and Safety Supervisor other than the Resident Engineer/Site Supervisor, having prior expertise in Firefighting H&amp;S area.</t>
  </si>
  <si>
    <t>HVAC</t>
  </si>
  <si>
    <t>Plumbing</t>
  </si>
  <si>
    <t>D</t>
  </si>
  <si>
    <t>E</t>
  </si>
  <si>
    <t>F</t>
  </si>
  <si>
    <t>Fire Fighting System</t>
  </si>
  <si>
    <t>Terms &amp; Conditions</t>
  </si>
  <si>
    <t>1) Quotation is valid for 15 days</t>
  </si>
  <si>
    <t>2) Quoted prices are exclusive of Taxes.</t>
  </si>
  <si>
    <r>
      <t xml:space="preserve">Supply, installation, testing and commissioning of of ducted fan coil unit of different capacities complete in all respects, ready to operate including </t>
    </r>
    <r>
      <rPr>
        <b/>
        <sz val="12"/>
        <color theme="1"/>
        <rFont val="Calibri"/>
        <family val="2"/>
        <scheme val="minor"/>
      </rPr>
      <t>supply and installation</t>
    </r>
    <r>
      <rPr>
        <sz val="12"/>
        <color theme="1"/>
        <rFont val="Calibri"/>
        <family val="2"/>
        <scheme val="minor"/>
      </rPr>
      <t xml:space="preserve"> of all accessories, lindaptor supports, hanger steel base, vibration isolators, including interconnecting power &amp; control wiring (terminal connection) with inlet &amp; outlet chilled water connections, drain connection, flexible rubber duct connection / connector etc. complete in all respects ready to operate as per schedule, specification, drawings and as per instruction of consultant.</t>
    </r>
  </si>
  <si>
    <r>
      <t xml:space="preserve">Unloading, installation, testing and commissioning of  VAV &amp; CAV Boxes as per mentioned in schedule with digital thermostat controller, pressure sensor, control wiring, including </t>
    </r>
    <r>
      <rPr>
        <b/>
        <sz val="12"/>
        <rFont val="Calibri"/>
        <family val="2"/>
        <scheme val="minor"/>
      </rPr>
      <t>supply &amp; installation</t>
    </r>
    <r>
      <rPr>
        <sz val="12"/>
        <rFont val="Calibri"/>
        <family val="2"/>
        <scheme val="minor"/>
      </rPr>
      <t xml:space="preserve"> of flexible duct connection / connector, electrical connection, lindaptor support &amp; hangers complete in all respects ready to operate as per drawings, specification, instruction and approval of Consultant.</t>
    </r>
  </si>
  <si>
    <r>
      <t>Supply &amp; installation of Pre Formed Polystyrene (Thermopore)  insulation (32 kg/m</t>
    </r>
    <r>
      <rPr>
        <vertAlign val="superscript"/>
        <sz val="12"/>
        <rFont val="Calibri"/>
        <family val="2"/>
        <scheme val="minor"/>
      </rPr>
      <t>3</t>
    </r>
    <r>
      <rPr>
        <sz val="12"/>
        <rFont val="Calibri"/>
        <family val="2"/>
        <scheme val="minor"/>
      </rPr>
      <t xml:space="preserve"> density) for </t>
    </r>
    <r>
      <rPr>
        <b/>
        <sz val="12"/>
        <rFont val="Calibri"/>
        <family val="2"/>
        <scheme val="minor"/>
      </rPr>
      <t>chilled water pipes</t>
    </r>
    <r>
      <rPr>
        <sz val="12"/>
        <rFont val="Calibri"/>
        <family val="2"/>
        <scheme val="minor"/>
      </rPr>
      <t>, bends, tees, unions, sockets, valves and on specials protected with Kraft paper, wrapped with 8oz Canvas cloth than paint with anti fungus paint complete in all respects ready to operate as per specification, drawings and as per instruction of consultant.</t>
    </r>
  </si>
  <si>
    <r>
      <rPr>
        <b/>
        <sz val="12"/>
        <rFont val="Calibri"/>
        <family val="2"/>
        <scheme val="minor"/>
      </rPr>
      <t>Note:</t>
    </r>
    <r>
      <rPr>
        <sz val="12"/>
        <rFont val="Calibri"/>
        <family val="2"/>
        <scheme val="minor"/>
      </rPr>
      <t xml:space="preserve">
&gt;   Above rates based on general contractor &amp; sub contractor overhead profit.</t>
    </r>
  </si>
  <si>
    <r>
      <rPr>
        <b/>
        <sz val="12"/>
        <rFont val="Calibri"/>
        <family val="2"/>
        <scheme val="minor"/>
      </rPr>
      <t>Note:</t>
    </r>
    <r>
      <rPr>
        <sz val="12"/>
        <rFont val="Calibri"/>
        <family val="2"/>
        <scheme val="minor"/>
      </rPr>
      <t xml:space="preserve">
&gt;   Contractor is instructed to visit the site, understand the nature of work and then fill the rates accordingly and submit the quotation. 
     No argument and discussion will be entertained after awarding of work.</t>
    </r>
  </si>
  <si>
    <r>
      <t>Type Class B&amp;C FX-3  (5 Kg. CO</t>
    </r>
    <r>
      <rPr>
        <sz val="8"/>
        <rFont val="Calibri"/>
        <family val="2"/>
        <scheme val="minor"/>
      </rPr>
      <t>2</t>
    </r>
    <r>
      <rPr>
        <sz val="10"/>
        <rFont val="Calibri"/>
        <family val="2"/>
        <scheme val="minor"/>
      </rPr>
      <t xml:space="preserve"> Carbon Dioxide Gas)</t>
    </r>
  </si>
  <si>
    <r>
      <t xml:space="preserve">Same as item </t>
    </r>
    <r>
      <rPr>
        <i/>
        <sz val="10"/>
        <rFont val="Calibri"/>
        <family val="2"/>
        <scheme val="minor"/>
      </rPr>
      <t>#</t>
    </r>
    <r>
      <rPr>
        <sz val="10"/>
        <rFont val="Calibri"/>
        <family val="2"/>
        <scheme val="minor"/>
      </rPr>
      <t xml:space="preserve"> 2.1 but for hot water supply with Polypropylene Random  PP-R (PN -25) with Aluminium foil.</t>
    </r>
  </si>
  <si>
    <t>Supply, installation, testing and commissioning of of chilled water ducted fan coil &amp; cooling water, water cooled package unit complete in all respects, ready to operate including supply and installation of all accessories, hanger steel base, vibration isolators, including interconnecting power &amp; control wiring (terminal connection) with inlet &amp; outlet cooling water connections, drain connection, flexible rubber duct connection / connector etc. complete in all respects ready to operate as per schedule, specification, drawings and as per instruction of consultant.</t>
  </si>
  <si>
    <t>WCPU-01</t>
  </si>
  <si>
    <t>HVAC, Fire &amp; Plumbing Work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</si>
</sst>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0_);_(* \(#,##0\);_(* &quot;-&quot;_);_(@_)"/>
    <numFmt numFmtId="43" formatCode="_(* #,##0.00_);_(* \(#,##0.00\);_(* &quot;-&quot;??_);_(@_)"/>
    <numFmt numFmtId="164" formatCode="_-* #,##0.00_-;\-* #,##0.00_-;_-* &quot;-&quot;??_-;_-@_-"/>
    <numFmt numFmtId="165" formatCode="_(* #,##0_);_(* \(#,##0\);_(* &quot;-&quot;??_);_(@_)"/>
    <numFmt numFmtId="166" formatCode="0.0"/>
    <numFmt numFmtId="167" formatCode="General_)"/>
    <numFmt numFmtId="168" formatCode="_(* #,##0.00_);_(* \(#,##0.00\);_(* &quot;-&quot;_);_(@_)"/>
    <numFmt numFmtId="169" formatCode="#,##0.0"/>
  </numFmts>
  <fonts count="34" x14ac:knownFonts="1">
    <font>
      <sz val="10"/>
      <name val="Arial"/>
    </font>
    <font>
      <sz val="11"/>
      <color theme="1"/>
      <name val="Calibri"/>
      <family val="2"/>
      <scheme val="minor"/>
    </font>
    <font>
      <sz val="10"/>
      <name val="Arial"/>
    </font>
    <font>
      <sz val="10"/>
      <name val="Arial"/>
      <family val="2"/>
    </font>
    <font>
      <sz val="10"/>
      <name val="Arial"/>
      <family val="2"/>
    </font>
    <font>
      <sz val="11"/>
      <color indexed="8"/>
      <name val="Calibri"/>
      <family val="2"/>
    </font>
    <font>
      <sz val="10"/>
      <name val="Times New Roman"/>
      <family val="1"/>
    </font>
    <font>
      <sz val="10"/>
      <name val="Arial"/>
      <family val="2"/>
    </font>
    <font>
      <sz val="10"/>
      <name val="Century Gothic"/>
      <family val="2"/>
    </font>
    <font>
      <sz val="11"/>
      <color theme="1"/>
      <name val="Calibri"/>
      <family val="2"/>
      <scheme val="minor"/>
    </font>
    <font>
      <sz val="11"/>
      <name val="Arial"/>
      <family val="2"/>
    </font>
    <font>
      <sz val="10"/>
      <name val="Helv"/>
    </font>
    <font>
      <b/>
      <sz val="12"/>
      <name val="Calibri"/>
      <family val="2"/>
      <scheme val="minor"/>
    </font>
    <font>
      <sz val="12"/>
      <color theme="1"/>
      <name val="Calibri"/>
      <family val="2"/>
      <scheme val="minor"/>
    </font>
    <font>
      <sz val="11"/>
      <name val="Calibri"/>
      <family val="2"/>
      <scheme val="minor"/>
    </font>
    <font>
      <i/>
      <sz val="11"/>
      <name val="Calibri"/>
      <family val="2"/>
      <scheme val="minor"/>
    </font>
    <font>
      <b/>
      <sz val="11"/>
      <name val="Calibri"/>
      <family val="2"/>
      <scheme val="minor"/>
    </font>
    <font>
      <sz val="10"/>
      <name val="Calibri"/>
      <family val="2"/>
      <scheme val="minor"/>
    </font>
    <font>
      <b/>
      <sz val="10"/>
      <name val="Calibri"/>
      <family val="2"/>
      <scheme val="minor"/>
    </font>
    <font>
      <sz val="9"/>
      <name val="Calibri"/>
      <family val="2"/>
      <scheme val="minor"/>
    </font>
    <font>
      <sz val="9"/>
      <color theme="1"/>
      <name val="Calibri"/>
      <family val="2"/>
      <scheme val="minor"/>
    </font>
    <font>
      <sz val="12"/>
      <name val="Calibri"/>
      <family val="2"/>
      <scheme val="minor"/>
    </font>
    <font>
      <b/>
      <sz val="14"/>
      <name val="Calibri"/>
      <family val="2"/>
      <scheme val="minor"/>
    </font>
    <font>
      <b/>
      <sz val="12"/>
      <color theme="1"/>
      <name val="Calibri"/>
      <family val="2"/>
      <scheme val="minor"/>
    </font>
    <font>
      <b/>
      <sz val="16"/>
      <name val="Calibri"/>
      <family val="2"/>
      <scheme val="minor"/>
    </font>
    <font>
      <b/>
      <sz val="16"/>
      <color theme="1"/>
      <name val="Calibri"/>
      <family val="2"/>
      <scheme val="minor"/>
    </font>
    <font>
      <sz val="16"/>
      <color theme="1"/>
      <name val="Calibri"/>
      <family val="2"/>
      <scheme val="minor"/>
    </font>
    <font>
      <sz val="16"/>
      <name val="Calibri"/>
      <family val="2"/>
      <scheme val="minor"/>
    </font>
    <font>
      <i/>
      <sz val="12"/>
      <name val="Calibri"/>
      <family val="2"/>
      <scheme val="minor"/>
    </font>
    <font>
      <sz val="12"/>
      <color theme="0"/>
      <name val="Calibri"/>
      <family val="2"/>
      <scheme val="minor"/>
    </font>
    <font>
      <vertAlign val="superscript"/>
      <sz val="12"/>
      <name val="Calibri"/>
      <family val="2"/>
      <scheme val="minor"/>
    </font>
    <font>
      <b/>
      <u/>
      <sz val="10"/>
      <name val="Calibri"/>
      <family val="2"/>
      <scheme val="minor"/>
    </font>
    <font>
      <sz val="8"/>
      <name val="Calibri"/>
      <family val="2"/>
      <scheme val="minor"/>
    </font>
    <font>
      <i/>
      <sz val="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medium">
        <color auto="1"/>
      </left>
      <right style="thin">
        <color auto="1"/>
      </right>
      <top style="medium">
        <color indexed="64"/>
      </top>
      <bottom/>
      <diagonal/>
    </border>
    <border>
      <left style="medium">
        <color indexed="64"/>
      </left>
      <right/>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top style="medium">
        <color indexed="64"/>
      </top>
      <bottom/>
      <diagonal/>
    </border>
    <border>
      <left/>
      <right style="thin">
        <color indexed="64"/>
      </right>
      <top style="medium">
        <color indexed="64"/>
      </top>
      <bottom style="thin">
        <color indexed="64"/>
      </bottom>
      <diagonal/>
    </border>
    <border>
      <left/>
      <right/>
      <top/>
      <bottom style="double">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5">
    <xf numFmtId="0" fontId="0" fillId="0" borderId="0"/>
    <xf numFmtId="43" fontId="2" fillId="0" borderId="0" applyFont="0" applyFill="0" applyBorder="0" applyAlignment="0" applyProtection="0"/>
    <xf numFmtId="41" fontId="2"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164"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9" fillId="0" borderId="0"/>
    <xf numFmtId="0" fontId="4" fillId="0" borderId="0"/>
    <xf numFmtId="0" fontId="3" fillId="0" borderId="0"/>
    <xf numFmtId="0" fontId="3" fillId="0" borderId="0"/>
    <xf numFmtId="0" fontId="9" fillId="0" borderId="0"/>
    <xf numFmtId="165" fontId="4" fillId="0" borderId="0"/>
    <xf numFmtId="0" fontId="4" fillId="0" borderId="0"/>
    <xf numFmtId="0" fontId="6" fillId="0" borderId="0"/>
    <xf numFmtId="0" fontId="5" fillId="0" borderId="0"/>
    <xf numFmtId="0" fontId="8" fillId="0" borderId="0"/>
    <xf numFmtId="0" fontId="9" fillId="0" borderId="0"/>
    <xf numFmtId="0" fontId="9" fillId="0" borderId="0"/>
    <xf numFmtId="0" fontId="9" fillId="0" borderId="0"/>
    <xf numFmtId="0" fontId="1" fillId="0" borderId="0"/>
    <xf numFmtId="0" fontId="6" fillId="0" borderId="0"/>
    <xf numFmtId="0" fontId="10" fillId="0" borderId="0"/>
    <xf numFmtId="0" fontId="11"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304">
    <xf numFmtId="0" fontId="0" fillId="0" borderId="0" xfId="0"/>
    <xf numFmtId="167" fontId="12" fillId="0" borderId="0" xfId="30" applyNumberFormat="1" applyFont="1" applyAlignment="1">
      <alignment horizontal="left" vertical="center"/>
    </xf>
    <xf numFmtId="167" fontId="13" fillId="0" borderId="0" xfId="30" applyNumberFormat="1" applyFont="1" applyAlignment="1">
      <alignment horizontal="left" vertical="center"/>
    </xf>
    <xf numFmtId="0" fontId="17" fillId="0" borderId="1" xfId="30" applyFont="1" applyBorder="1" applyAlignment="1">
      <alignment horizontal="center"/>
    </xf>
    <xf numFmtId="0" fontId="17" fillId="0" borderId="1" xfId="30" applyFont="1" applyBorder="1" applyAlignment="1">
      <alignment horizontal="justify" vertical="center"/>
    </xf>
    <xf numFmtId="3" fontId="17" fillId="0" borderId="1" xfId="30" applyNumberFormat="1" applyFont="1" applyBorder="1" applyAlignment="1">
      <alignment horizontal="center"/>
    </xf>
    <xf numFmtId="0" fontId="17" fillId="0" borderId="1" xfId="30" applyFont="1" applyBorder="1"/>
    <xf numFmtId="0" fontId="17" fillId="0" borderId="1" xfId="30" applyFont="1" applyBorder="1" applyAlignment="1">
      <alignment horizontal="center" vertical="top"/>
    </xf>
    <xf numFmtId="0" fontId="17" fillId="0" borderId="1" xfId="30" applyFont="1" applyBorder="1" applyAlignment="1">
      <alignment horizontal="center" vertical="center"/>
    </xf>
    <xf numFmtId="3" fontId="17" fillId="0" borderId="1" xfId="30" applyNumberFormat="1" applyFont="1" applyBorder="1" applyAlignment="1">
      <alignment horizontal="center" vertical="center"/>
    </xf>
    <xf numFmtId="0" fontId="17" fillId="0" borderId="1" xfId="30" applyFont="1" applyBorder="1" applyAlignment="1">
      <alignment vertical="center"/>
    </xf>
    <xf numFmtId="165" fontId="17" fillId="3" borderId="1" xfId="1" applyNumberFormat="1" applyFont="1" applyFill="1" applyBorder="1" applyAlignment="1">
      <alignment vertical="center"/>
    </xf>
    <xf numFmtId="0" fontId="17" fillId="0" borderId="1" xfId="30" applyFont="1" applyBorder="1" applyAlignment="1">
      <alignment horizontal="justify" vertical="top"/>
    </xf>
    <xf numFmtId="0" fontId="17" fillId="0" borderId="1" xfId="30" applyFont="1" applyBorder="1" applyAlignment="1">
      <alignment horizontal="left" vertical="center"/>
    </xf>
    <xf numFmtId="167" fontId="17" fillId="0" borderId="1" xfId="30" applyNumberFormat="1" applyFont="1" applyBorder="1" applyAlignment="1">
      <alignment horizontal="justify" vertical="top"/>
    </xf>
    <xf numFmtId="167" fontId="17" fillId="0" borderId="1" xfId="30" applyNumberFormat="1" applyFont="1" applyBorder="1" applyAlignment="1">
      <alignment horizontal="center" vertical="center"/>
    </xf>
    <xf numFmtId="0" fontId="17" fillId="0" borderId="1" xfId="30" applyFont="1" applyBorder="1" applyAlignment="1">
      <alignment horizontal="justify" vertical="top" wrapText="1"/>
    </xf>
    <xf numFmtId="167" fontId="17" fillId="0" borderId="1" xfId="30" applyNumberFormat="1" applyFont="1" applyBorder="1" applyAlignment="1">
      <alignment horizontal="center"/>
    </xf>
    <xf numFmtId="167" fontId="12" fillId="0" borderId="1" xfId="30" applyNumberFormat="1" applyFont="1" applyBorder="1" applyAlignment="1">
      <alignment horizontal="right" vertical="center"/>
    </xf>
    <xf numFmtId="0" fontId="21" fillId="0" borderId="1" xfId="30" applyFont="1" applyBorder="1" applyAlignment="1">
      <alignment horizontal="center" vertical="center"/>
    </xf>
    <xf numFmtId="3" fontId="12" fillId="3" borderId="1" xfId="30" applyNumberFormat="1" applyFont="1" applyFill="1" applyBorder="1" applyAlignment="1">
      <alignment vertical="center"/>
    </xf>
    <xf numFmtId="0" fontId="14" fillId="0" borderId="0" xfId="30" applyFont="1"/>
    <xf numFmtId="0" fontId="14" fillId="3" borderId="0" xfId="30" applyFont="1" applyFill="1"/>
    <xf numFmtId="0" fontId="17" fillId="0" borderId="0" xfId="30" applyFont="1"/>
    <xf numFmtId="165" fontId="12" fillId="0" borderId="1" xfId="1" applyNumberFormat="1" applyFont="1" applyBorder="1" applyAlignment="1">
      <alignment vertical="center"/>
    </xf>
    <xf numFmtId="0" fontId="26" fillId="0" borderId="0" xfId="15" applyFont="1"/>
    <xf numFmtId="165" fontId="27" fillId="0" borderId="0" xfId="4" applyNumberFormat="1" applyFont="1" applyAlignment="1">
      <alignment horizontal="center"/>
    </xf>
    <xf numFmtId="0" fontId="24" fillId="0" borderId="0" xfId="15" applyFont="1" applyBorder="1"/>
    <xf numFmtId="0" fontId="24" fillId="0" borderId="0" xfId="15" applyFont="1" applyBorder="1" applyAlignment="1">
      <alignment horizontal="right"/>
    </xf>
    <xf numFmtId="0" fontId="24" fillId="0" borderId="0" xfId="15" applyFont="1" applyAlignment="1">
      <alignment horizontal="right"/>
    </xf>
    <xf numFmtId="0" fontId="25" fillId="0" borderId="0" xfId="15" applyFont="1" applyAlignment="1">
      <alignment horizontal="right"/>
    </xf>
    <xf numFmtId="0" fontId="26" fillId="0" borderId="0" xfId="15" applyFont="1" applyAlignment="1">
      <alignment horizontal="right"/>
    </xf>
    <xf numFmtId="0" fontId="24" fillId="0" borderId="0" xfId="15" applyFont="1" applyAlignment="1">
      <alignment horizontal="left"/>
    </xf>
    <xf numFmtId="0" fontId="27" fillId="0" borderId="1" xfId="15" applyFont="1" applyBorder="1" applyAlignment="1">
      <alignment horizontal="center" vertical="center"/>
    </xf>
    <xf numFmtId="0" fontId="26" fillId="0" borderId="0" xfId="15" applyFont="1" applyAlignment="1">
      <alignment horizontal="center" vertical="center"/>
    </xf>
    <xf numFmtId="165" fontId="27" fillId="0" borderId="1" xfId="1" applyNumberFormat="1" applyFont="1" applyBorder="1" applyAlignment="1">
      <alignment horizontal="center" vertical="center"/>
    </xf>
    <xf numFmtId="0" fontId="27" fillId="0" borderId="1" xfId="15" applyFont="1" applyBorder="1" applyAlignment="1">
      <alignment horizontal="center" vertical="center" wrapText="1"/>
    </xf>
    <xf numFmtId="0" fontId="24" fillId="0" borderId="1" xfId="15" applyFont="1" applyBorder="1" applyAlignment="1">
      <alignment horizontal="right" vertical="center" wrapText="1"/>
    </xf>
    <xf numFmtId="165" fontId="24" fillId="0" borderId="1" xfId="1" applyNumberFormat="1" applyFont="1" applyBorder="1" applyAlignment="1">
      <alignment vertical="center"/>
    </xf>
    <xf numFmtId="43" fontId="26" fillId="0" borderId="0" xfId="15" applyNumberFormat="1" applyFont="1"/>
    <xf numFmtId="43" fontId="24" fillId="0" borderId="1" xfId="4" applyNumberFormat="1" applyFont="1" applyBorder="1" applyAlignment="1">
      <alignment vertical="center"/>
    </xf>
    <xf numFmtId="165" fontId="24" fillId="2" borderId="1" xfId="1" applyNumberFormat="1" applyFont="1" applyFill="1" applyBorder="1" applyAlignment="1">
      <alignment vertical="center"/>
    </xf>
    <xf numFmtId="0" fontId="27" fillId="0" borderId="1" xfId="15" applyFont="1" applyBorder="1" applyAlignment="1">
      <alignment vertical="center"/>
    </xf>
    <xf numFmtId="168" fontId="26" fillId="0" borderId="1" xfId="2" applyNumberFormat="1" applyFont="1" applyBorder="1" applyAlignment="1">
      <alignment vertical="center"/>
    </xf>
    <xf numFmtId="0" fontId="27" fillId="0" borderId="0" xfId="15" applyFont="1" applyAlignment="1">
      <alignment horizontal="left"/>
    </xf>
    <xf numFmtId="0" fontId="27" fillId="0" borderId="0" xfId="15" applyFont="1"/>
    <xf numFmtId="0" fontId="27" fillId="0" borderId="0" xfId="15" applyFont="1" applyAlignment="1">
      <alignment horizontal="right"/>
    </xf>
    <xf numFmtId="0" fontId="27" fillId="0" borderId="0" xfId="15" applyFont="1" applyAlignment="1">
      <alignment horizontal="right" wrapText="1"/>
    </xf>
    <xf numFmtId="0" fontId="27" fillId="0" borderId="0" xfId="15" applyFont="1" applyAlignment="1"/>
    <xf numFmtId="0" fontId="27" fillId="0" borderId="0" xfId="15" applyFont="1" applyAlignment="1">
      <alignment horizontal="center"/>
    </xf>
    <xf numFmtId="0" fontId="27" fillId="0" borderId="0" xfId="15" applyFont="1" applyAlignment="1">
      <alignment wrapText="1"/>
    </xf>
    <xf numFmtId="0" fontId="24" fillId="0" borderId="0" xfId="15" applyFont="1" applyAlignment="1">
      <alignment horizontal="right" wrapText="1"/>
    </xf>
    <xf numFmtId="0" fontId="21" fillId="0" borderId="0" xfId="30" applyFont="1" applyAlignment="1">
      <alignment vertical="center"/>
    </xf>
    <xf numFmtId="0" fontId="17" fillId="0" borderId="0" xfId="30" applyFont="1" applyAlignment="1">
      <alignment vertical="center"/>
    </xf>
    <xf numFmtId="167" fontId="21" fillId="0" borderId="0" xfId="30" applyNumberFormat="1" applyFont="1" applyAlignment="1">
      <alignment horizontal="left" vertical="center"/>
    </xf>
    <xf numFmtId="0" fontId="21" fillId="0" borderId="0" xfId="0" applyFont="1" applyFill="1" applyBorder="1" applyAlignment="1">
      <alignment horizontal="left" vertical="center" wrapText="1"/>
    </xf>
    <xf numFmtId="0" fontId="21" fillId="0" borderId="0" xfId="0" applyFont="1" applyFill="1" applyBorder="1" applyAlignment="1">
      <alignment horizontal="center" vertical="center" wrapText="1"/>
    </xf>
    <xf numFmtId="165" fontId="21" fillId="0" borderId="0" xfId="1" applyNumberFormat="1" applyFont="1" applyFill="1" applyBorder="1" applyAlignment="1">
      <alignment horizontal="center" vertical="center" wrapText="1"/>
    </xf>
    <xf numFmtId="165" fontId="21" fillId="0" borderId="0" xfId="1" applyNumberFormat="1" applyFont="1" applyFill="1" applyBorder="1" applyAlignment="1">
      <alignment horizontal="left" vertical="center" wrapText="1"/>
    </xf>
    <xf numFmtId="0" fontId="21" fillId="0" borderId="0" xfId="0" applyFont="1" applyFill="1" applyBorder="1" applyAlignment="1">
      <alignment horizontal="left" vertical="center"/>
    </xf>
    <xf numFmtId="0" fontId="21" fillId="0" borderId="0" xfId="0" applyFont="1" applyFill="1" applyAlignment="1">
      <alignment vertical="center" wrapText="1"/>
    </xf>
    <xf numFmtId="165" fontId="21" fillId="0" borderId="0" xfId="1" applyNumberFormat="1" applyFont="1" applyFill="1" applyAlignment="1">
      <alignment vertical="center" wrapText="1"/>
    </xf>
    <xf numFmtId="0" fontId="14" fillId="0" borderId="0" xfId="30" applyFont="1" applyAlignment="1">
      <alignment horizontal="center"/>
    </xf>
    <xf numFmtId="0" fontId="28" fillId="0" borderId="0" xfId="30" applyFont="1" applyAlignment="1">
      <alignment horizontal="center" vertical="center"/>
    </xf>
    <xf numFmtId="3" fontId="28" fillId="0" borderId="0" xfId="30" applyNumberFormat="1" applyFont="1" applyAlignment="1">
      <alignment horizontal="center" vertical="center"/>
    </xf>
    <xf numFmtId="3" fontId="21" fillId="3" borderId="0" xfId="30" applyNumberFormat="1" applyFont="1" applyFill="1" applyAlignment="1">
      <alignment vertical="center"/>
    </xf>
    <xf numFmtId="3" fontId="21" fillId="3" borderId="0" xfId="30" applyNumberFormat="1" applyFont="1" applyFill="1" applyAlignment="1">
      <alignment horizontal="right" vertical="center"/>
    </xf>
    <xf numFmtId="3" fontId="21" fillId="0" borderId="0" xfId="30" applyNumberFormat="1" applyFont="1" applyAlignment="1">
      <alignment horizontal="center" vertical="center"/>
    </xf>
    <xf numFmtId="0" fontId="12" fillId="0" borderId="10" xfId="30" applyFont="1" applyBorder="1" applyAlignment="1">
      <alignment horizontal="center" vertical="center"/>
    </xf>
    <xf numFmtId="167" fontId="12" fillId="0" borderId="1" xfId="30" applyNumberFormat="1" applyFont="1" applyBorder="1" applyAlignment="1">
      <alignment horizontal="center" vertical="center"/>
    </xf>
    <xf numFmtId="3" fontId="12" fillId="0" borderId="1" xfId="30" applyNumberFormat="1" applyFont="1" applyBorder="1" applyAlignment="1">
      <alignment horizontal="center" vertical="center"/>
    </xf>
    <xf numFmtId="3" fontId="12" fillId="3" borderId="1" xfId="30" applyNumberFormat="1" applyFont="1" applyFill="1" applyBorder="1" applyAlignment="1">
      <alignment horizontal="center" vertical="center"/>
    </xf>
    <xf numFmtId="0" fontId="12" fillId="4" borderId="0" xfId="30" applyFont="1" applyFill="1" applyAlignment="1">
      <alignment vertical="center"/>
    </xf>
    <xf numFmtId="0" fontId="21" fillId="0" borderId="1" xfId="30" applyFont="1" applyBorder="1" applyAlignment="1">
      <alignment horizontal="center"/>
    </xf>
    <xf numFmtId="0" fontId="13" fillId="0" borderId="1" xfId="30" applyFont="1" applyBorder="1" applyAlignment="1">
      <alignment horizontal="left"/>
    </xf>
    <xf numFmtId="0" fontId="21" fillId="0" borderId="1" xfId="30" applyFont="1" applyBorder="1" applyAlignment="1">
      <alignment horizontal="justify" vertical="center"/>
    </xf>
    <xf numFmtId="3" fontId="21" fillId="0" borderId="1" xfId="30" applyNumberFormat="1" applyFont="1" applyBorder="1" applyAlignment="1">
      <alignment horizontal="center"/>
    </xf>
    <xf numFmtId="3" fontId="21" fillId="3" borderId="1" xfId="30" applyNumberFormat="1" applyFont="1" applyFill="1" applyBorder="1"/>
    <xf numFmtId="0" fontId="21" fillId="0" borderId="1" xfId="30" applyFont="1" applyBorder="1"/>
    <xf numFmtId="0" fontId="21" fillId="0" borderId="0" xfId="30" applyFont="1"/>
    <xf numFmtId="0" fontId="21" fillId="0" borderId="1" xfId="30" applyFont="1" applyBorder="1" applyAlignment="1">
      <alignment horizontal="center" vertical="top"/>
    </xf>
    <xf numFmtId="0" fontId="13" fillId="0" borderId="1" xfId="30" applyFont="1" applyBorder="1" applyAlignment="1">
      <alignment horizontal="left" vertical="top"/>
    </xf>
    <xf numFmtId="0" fontId="13" fillId="0" borderId="1" xfId="30" applyFont="1" applyBorder="1" applyAlignment="1">
      <alignment horizontal="justify" vertical="top"/>
    </xf>
    <xf numFmtId="3" fontId="21" fillId="0" borderId="1" xfId="30" applyNumberFormat="1" applyFont="1" applyBorder="1" applyAlignment="1">
      <alignment horizontal="center" vertical="center"/>
    </xf>
    <xf numFmtId="3" fontId="21" fillId="3" borderId="1" xfId="30" applyNumberFormat="1" applyFont="1" applyFill="1" applyBorder="1" applyAlignment="1">
      <alignment vertical="center"/>
    </xf>
    <xf numFmtId="3" fontId="21" fillId="0" borderId="1" xfId="30" applyNumberFormat="1" applyFont="1" applyBorder="1" applyAlignment="1">
      <alignment vertical="center"/>
    </xf>
    <xf numFmtId="166" fontId="21" fillId="0" borderId="1" xfId="30" applyNumberFormat="1" applyFont="1" applyBorder="1" applyAlignment="1">
      <alignment vertical="top"/>
    </xf>
    <xf numFmtId="0" fontId="21" fillId="0" borderId="1" xfId="30" applyFont="1" applyBorder="1" applyAlignment="1">
      <alignment vertical="center"/>
    </xf>
    <xf numFmtId="166" fontId="29" fillId="3" borderId="1" xfId="30" applyNumberFormat="1" applyFont="1" applyFill="1" applyBorder="1" applyAlignment="1">
      <alignment horizontal="center" vertical="center"/>
    </xf>
    <xf numFmtId="0" fontId="13" fillId="0" borderId="1" xfId="30" applyFont="1" applyBorder="1" applyAlignment="1">
      <alignment horizontal="left" vertical="center"/>
    </xf>
    <xf numFmtId="165" fontId="21" fillId="3" borderId="1" xfId="1" applyNumberFormat="1" applyFont="1" applyFill="1" applyBorder="1" applyAlignment="1">
      <alignment vertical="center"/>
    </xf>
    <xf numFmtId="2" fontId="21" fillId="0" borderId="1" xfId="30" applyNumberFormat="1" applyFont="1" applyBorder="1" applyAlignment="1">
      <alignment vertical="center"/>
    </xf>
    <xf numFmtId="1" fontId="21" fillId="0" borderId="1" xfId="30" applyNumberFormat="1" applyFont="1" applyBorder="1" applyAlignment="1">
      <alignment horizontal="center" vertical="top"/>
    </xf>
    <xf numFmtId="1" fontId="13" fillId="0" borderId="1" xfId="30" applyNumberFormat="1" applyFont="1" applyBorder="1" applyAlignment="1">
      <alignment horizontal="left" vertical="top"/>
    </xf>
    <xf numFmtId="0" fontId="21" fillId="0" borderId="1" xfId="30" applyFont="1" applyBorder="1" applyAlignment="1">
      <alignment horizontal="justify" vertical="top"/>
    </xf>
    <xf numFmtId="1" fontId="23" fillId="0" borderId="1" xfId="30" applyNumberFormat="1" applyFont="1" applyBorder="1" applyAlignment="1">
      <alignment horizontal="left" vertical="center"/>
    </xf>
    <xf numFmtId="0" fontId="12" fillId="0" borderId="1" xfId="30" applyFont="1" applyBorder="1" applyAlignment="1">
      <alignment horizontal="justify" vertical="center"/>
    </xf>
    <xf numFmtId="0" fontId="12" fillId="0" borderId="1" xfId="30" applyFont="1" applyBorder="1" applyAlignment="1">
      <alignment vertical="center"/>
    </xf>
    <xf numFmtId="3" fontId="21" fillId="0" borderId="1" xfId="30" applyNumberFormat="1" applyFont="1" applyBorder="1"/>
    <xf numFmtId="3" fontId="21" fillId="3" borderId="1" xfId="30" applyNumberFormat="1" applyFont="1" applyFill="1" applyBorder="1" applyAlignment="1">
      <alignment horizontal="center" vertical="center"/>
    </xf>
    <xf numFmtId="0" fontId="12" fillId="0" borderId="1" xfId="30" applyFont="1" applyBorder="1" applyAlignment="1">
      <alignment horizontal="center" vertical="center"/>
    </xf>
    <xf numFmtId="167" fontId="21" fillId="0" borderId="1" xfId="30" applyNumberFormat="1" applyFont="1" applyBorder="1" applyAlignment="1">
      <alignment horizontal="justify" vertical="center"/>
    </xf>
    <xf numFmtId="167" fontId="21" fillId="0" borderId="1" xfId="30" applyNumberFormat="1" applyFont="1" applyBorder="1" applyAlignment="1">
      <alignment horizontal="justify" vertical="center" wrapText="1"/>
    </xf>
    <xf numFmtId="1" fontId="21" fillId="0" borderId="1" xfId="30" quotePrefix="1" applyNumberFormat="1" applyFont="1" applyBorder="1" applyAlignment="1">
      <alignment horizontal="center" vertical="top"/>
    </xf>
    <xf numFmtId="0" fontId="13" fillId="0" borderId="1" xfId="30" quotePrefix="1" applyFont="1" applyBorder="1" applyAlignment="1">
      <alignment horizontal="left" vertical="top"/>
    </xf>
    <xf numFmtId="166" fontId="13" fillId="0" borderId="1" xfId="30" applyNumberFormat="1" applyFont="1" applyBorder="1" applyAlignment="1">
      <alignment horizontal="left" vertical="center"/>
    </xf>
    <xf numFmtId="1" fontId="21" fillId="0" borderId="1" xfId="30" applyNumberFormat="1" applyFont="1" applyBorder="1" applyAlignment="1">
      <alignment vertical="center"/>
    </xf>
    <xf numFmtId="0" fontId="21" fillId="0" borderId="1" xfId="30" quotePrefix="1" applyFont="1" applyBorder="1" applyAlignment="1">
      <alignment horizontal="center" vertical="top"/>
    </xf>
    <xf numFmtId="166" fontId="21" fillId="0" borderId="1" xfId="30" applyNumberFormat="1" applyFont="1" applyBorder="1" applyAlignment="1">
      <alignment vertical="center"/>
    </xf>
    <xf numFmtId="0" fontId="21" fillId="0" borderId="1" xfId="30" quotePrefix="1" applyFont="1" applyBorder="1" applyAlignment="1">
      <alignment horizontal="center" vertical="center"/>
    </xf>
    <xf numFmtId="166" fontId="13" fillId="0" borderId="1" xfId="30" quotePrefix="1" applyNumberFormat="1" applyFont="1" applyBorder="1" applyAlignment="1">
      <alignment horizontal="left" vertical="center"/>
    </xf>
    <xf numFmtId="0" fontId="21" fillId="0" borderId="1" xfId="30" applyFont="1" applyBorder="1" applyAlignment="1">
      <alignment horizontal="left" vertical="center"/>
    </xf>
    <xf numFmtId="167" fontId="21" fillId="0" borderId="1" xfId="30" applyNumberFormat="1" applyFont="1" applyBorder="1" applyAlignment="1">
      <alignment horizontal="center" vertical="top"/>
    </xf>
    <xf numFmtId="167" fontId="13" fillId="0" borderId="1" xfId="30" applyNumberFormat="1" applyFont="1" applyBorder="1" applyAlignment="1">
      <alignment horizontal="left" vertical="top"/>
    </xf>
    <xf numFmtId="167" fontId="21" fillId="0" borderId="1" xfId="30" applyNumberFormat="1" applyFont="1" applyBorder="1" applyAlignment="1">
      <alignment horizontal="justify" vertical="top"/>
    </xf>
    <xf numFmtId="3" fontId="21" fillId="3" borderId="1" xfId="30" applyNumberFormat="1" applyFont="1" applyFill="1" applyBorder="1" applyAlignment="1">
      <alignment horizontal="center"/>
    </xf>
    <xf numFmtId="167" fontId="21" fillId="3" borderId="1" xfId="30" applyNumberFormat="1" applyFont="1" applyFill="1" applyBorder="1" applyAlignment="1">
      <alignment horizontal="justify" vertical="top"/>
    </xf>
    <xf numFmtId="3" fontId="21" fillId="0" borderId="0" xfId="30" applyNumberFormat="1" applyFont="1"/>
    <xf numFmtId="167" fontId="21" fillId="0" borderId="1" xfId="30" quotePrefix="1" applyNumberFormat="1" applyFont="1" applyBorder="1" applyAlignment="1">
      <alignment horizontal="center" vertical="top"/>
    </xf>
    <xf numFmtId="167" fontId="13" fillId="0" borderId="1" xfId="30" quotePrefix="1" applyNumberFormat="1" applyFont="1" applyBorder="1" applyAlignment="1">
      <alignment horizontal="left" vertical="top"/>
    </xf>
    <xf numFmtId="167" fontId="21" fillId="0" borderId="1" xfId="30" quotePrefix="1" applyNumberFormat="1" applyFont="1" applyBorder="1" applyAlignment="1">
      <alignment horizontal="justify" vertical="top"/>
    </xf>
    <xf numFmtId="3" fontId="21" fillId="3" borderId="1" xfId="30" applyNumberFormat="1" applyFont="1" applyFill="1" applyBorder="1" applyAlignment="1">
      <alignment horizontal="right"/>
    </xf>
    <xf numFmtId="3" fontId="21" fillId="0" borderId="1" xfId="30" applyNumberFormat="1" applyFont="1" applyBorder="1" applyAlignment="1">
      <alignment horizontal="right"/>
    </xf>
    <xf numFmtId="167" fontId="13" fillId="0" borderId="1" xfId="30" applyNumberFormat="1" applyFont="1" applyBorder="1" applyAlignment="1">
      <alignment horizontal="left" vertical="center"/>
    </xf>
    <xf numFmtId="167" fontId="21" fillId="0" borderId="1" xfId="30" applyNumberFormat="1" applyFont="1" applyBorder="1" applyAlignment="1">
      <alignment horizontal="left" vertical="center"/>
    </xf>
    <xf numFmtId="167" fontId="21" fillId="0" borderId="1" xfId="30" applyNumberFormat="1" applyFont="1" applyBorder="1" applyAlignment="1">
      <alignment horizontal="center" vertical="center"/>
    </xf>
    <xf numFmtId="169" fontId="21" fillId="0" borderId="1" xfId="30" applyNumberFormat="1" applyFont="1" applyBorder="1" applyAlignment="1">
      <alignment horizontal="center" vertical="center"/>
    </xf>
    <xf numFmtId="0" fontId="21" fillId="0" borderId="1" xfId="30" applyFont="1" applyBorder="1" applyAlignment="1">
      <alignment horizontal="justify" vertical="top" wrapText="1"/>
    </xf>
    <xf numFmtId="0" fontId="21" fillId="3" borderId="1" xfId="30" quotePrefix="1" applyFont="1" applyFill="1" applyBorder="1" applyAlignment="1">
      <alignment horizontal="justify" vertical="top"/>
    </xf>
    <xf numFmtId="167" fontId="21" fillId="0" borderId="1" xfId="30" applyNumberFormat="1" applyFont="1" applyBorder="1" applyAlignment="1">
      <alignment horizontal="center"/>
    </xf>
    <xf numFmtId="167" fontId="13" fillId="0" borderId="1" xfId="30" quotePrefix="1" applyNumberFormat="1" applyFont="1" applyBorder="1" applyAlignment="1">
      <alignment horizontal="left" vertical="center"/>
    </xf>
    <xf numFmtId="1" fontId="21" fillId="0" borderId="0" xfId="30" applyNumberFormat="1" applyFont="1" applyAlignment="1">
      <alignment vertical="center"/>
    </xf>
    <xf numFmtId="0" fontId="21" fillId="3" borderId="0" xfId="30" applyFont="1" applyFill="1" applyAlignment="1">
      <alignment horizontal="center"/>
    </xf>
    <xf numFmtId="0" fontId="13" fillId="3" borderId="0" xfId="30" applyFont="1" applyFill="1" applyAlignment="1">
      <alignment horizontal="left"/>
    </xf>
    <xf numFmtId="3" fontId="21" fillId="3" borderId="0" xfId="30" applyNumberFormat="1" applyFont="1" applyFill="1" applyAlignment="1">
      <alignment horizontal="center"/>
    </xf>
    <xf numFmtId="3" fontId="21" fillId="3" borderId="0" xfId="30" applyNumberFormat="1" applyFont="1" applyFill="1"/>
    <xf numFmtId="0" fontId="21" fillId="3" borderId="0" xfId="30" applyFont="1" applyFill="1"/>
    <xf numFmtId="0" fontId="21" fillId="0" borderId="0" xfId="30" applyFont="1" applyAlignment="1">
      <alignment horizontal="center"/>
    </xf>
    <xf numFmtId="0" fontId="13" fillId="0" borderId="0" xfId="30" applyFont="1" applyAlignment="1">
      <alignment horizontal="left"/>
    </xf>
    <xf numFmtId="3" fontId="21" fillId="0" borderId="0" xfId="30" applyNumberFormat="1" applyFont="1" applyAlignment="1">
      <alignment horizontal="center"/>
    </xf>
    <xf numFmtId="167" fontId="12" fillId="0" borderId="0" xfId="30" applyNumberFormat="1" applyFont="1"/>
    <xf numFmtId="167" fontId="22" fillId="0" borderId="0" xfId="30" applyNumberFormat="1" applyFont="1"/>
    <xf numFmtId="0" fontId="24" fillId="0" borderId="0" xfId="30" applyFont="1" applyAlignment="1">
      <alignment horizontal="left"/>
    </xf>
    <xf numFmtId="0" fontId="15" fillId="0" borderId="0" xfId="30" applyFont="1" applyAlignment="1">
      <alignment horizontal="center"/>
    </xf>
    <xf numFmtId="0" fontId="17" fillId="3" borderId="0" xfId="30" applyFont="1" applyFill="1"/>
    <xf numFmtId="167" fontId="14" fillId="0" borderId="0" xfId="30" applyNumberFormat="1" applyFont="1"/>
    <xf numFmtId="167" fontId="17" fillId="0" borderId="0" xfId="30" applyNumberFormat="1" applyFont="1"/>
    <xf numFmtId="0" fontId="21" fillId="0" borderId="0" xfId="30" applyFont="1" applyAlignment="1">
      <alignment horizontal="left" vertical="center"/>
    </xf>
    <xf numFmtId="0" fontId="22" fillId="0" borderId="0" xfId="30" applyFont="1"/>
    <xf numFmtId="0" fontId="17" fillId="0" borderId="0" xfId="30" applyFont="1" applyAlignment="1">
      <alignment horizontal="right"/>
    </xf>
    <xf numFmtId="167" fontId="14" fillId="0" borderId="0" xfId="30" applyNumberFormat="1" applyFont="1" applyAlignment="1">
      <alignment horizontal="left"/>
    </xf>
    <xf numFmtId="167" fontId="12" fillId="0" borderId="0" xfId="30" applyNumberFormat="1" applyFont="1" applyAlignment="1">
      <alignment horizontal="left"/>
    </xf>
    <xf numFmtId="0" fontId="16" fillId="0" borderId="0" xfId="30" applyFont="1" applyAlignment="1">
      <alignment horizontal="center" vertical="center"/>
    </xf>
    <xf numFmtId="3" fontId="17" fillId="0" borderId="0" xfId="30" applyNumberFormat="1" applyFont="1" applyAlignment="1">
      <alignment horizontal="right"/>
    </xf>
    <xf numFmtId="167" fontId="21" fillId="0" borderId="0" xfId="30" applyNumberFormat="1" applyFont="1" applyAlignment="1">
      <alignment horizontal="left"/>
    </xf>
    <xf numFmtId="167" fontId="18" fillId="0" borderId="1" xfId="30" applyNumberFormat="1" applyFont="1" applyBorder="1" applyAlignment="1">
      <alignment horizontal="center" vertical="center" wrapText="1"/>
    </xf>
    <xf numFmtId="167" fontId="18" fillId="0" borderId="1" xfId="31" applyNumberFormat="1" applyFont="1" applyBorder="1" applyAlignment="1">
      <alignment horizontal="center" vertical="center"/>
    </xf>
    <xf numFmtId="167" fontId="14" fillId="3" borderId="0" xfId="31" applyNumberFormat="1" applyFont="1" applyFill="1"/>
    <xf numFmtId="0" fontId="18" fillId="0" borderId="5" xfId="30" quotePrefix="1" applyFont="1" applyBorder="1" applyAlignment="1">
      <alignment horizontal="left"/>
    </xf>
    <xf numFmtId="0" fontId="18" fillId="0" borderId="6" xfId="30" quotePrefix="1" applyFont="1" applyBorder="1" applyAlignment="1">
      <alignment horizontal="left"/>
    </xf>
    <xf numFmtId="167" fontId="18" fillId="0" borderId="1" xfId="30" applyNumberFormat="1" applyFont="1" applyBorder="1" applyAlignment="1">
      <alignment horizontal="left" vertical="center" wrapText="1"/>
    </xf>
    <xf numFmtId="167" fontId="31" fillId="0" borderId="1" xfId="30" applyNumberFormat="1" applyFont="1" applyBorder="1" applyAlignment="1">
      <alignment horizontal="left" vertical="center"/>
    </xf>
    <xf numFmtId="0" fontId="14" fillId="3" borderId="21" xfId="30" applyFont="1" applyFill="1" applyBorder="1"/>
    <xf numFmtId="167" fontId="17" fillId="0" borderId="5" xfId="30" applyNumberFormat="1" applyFont="1" applyBorder="1" applyAlignment="1">
      <alignment horizontal="center" vertical="top"/>
    </xf>
    <xf numFmtId="167" fontId="17" fillId="0" borderId="6" xfId="30" applyNumberFormat="1" applyFont="1" applyBorder="1" applyAlignment="1">
      <alignment horizontal="center" vertical="top"/>
    </xf>
    <xf numFmtId="167" fontId="17" fillId="0" borderId="1" xfId="30" applyNumberFormat="1" applyFont="1" applyBorder="1" applyAlignment="1">
      <alignment horizontal="justify" vertical="top" wrapText="1"/>
    </xf>
    <xf numFmtId="0" fontId="14" fillId="3" borderId="2" xfId="30" applyFont="1" applyFill="1" applyBorder="1"/>
    <xf numFmtId="1" fontId="17" fillId="0" borderId="5" xfId="30" applyNumberFormat="1" applyFont="1" applyBorder="1" applyAlignment="1">
      <alignment horizontal="center" vertical="top"/>
    </xf>
    <xf numFmtId="0" fontId="17" fillId="0" borderId="6" xfId="30" applyFont="1" applyBorder="1" applyAlignment="1">
      <alignment horizontal="center" vertical="top"/>
    </xf>
    <xf numFmtId="165" fontId="17" fillId="0" borderId="1" xfId="30" applyNumberFormat="1" applyFont="1" applyBorder="1" applyAlignment="1">
      <alignment horizontal="center"/>
    </xf>
    <xf numFmtId="165" fontId="17" fillId="0" borderId="1" xfId="7" applyNumberFormat="1" applyFont="1" applyFill="1" applyBorder="1" applyAlignment="1">
      <alignment horizontal="right"/>
    </xf>
    <xf numFmtId="165" fontId="17" fillId="0" borderId="1" xfId="30" applyNumberFormat="1" applyFont="1" applyBorder="1"/>
    <xf numFmtId="0" fontId="17" fillId="0" borderId="5" xfId="30" applyFont="1" applyBorder="1" applyAlignment="1">
      <alignment horizontal="center" vertical="top"/>
    </xf>
    <xf numFmtId="0" fontId="19" fillId="0" borderId="6" xfId="30" applyFont="1" applyBorder="1" applyAlignment="1">
      <alignment horizontal="right" vertical="top"/>
    </xf>
    <xf numFmtId="0" fontId="17" fillId="0" borderId="1" xfId="30" applyFont="1" applyBorder="1" applyAlignment="1">
      <alignment horizontal="justify" vertical="center" wrapText="1"/>
    </xf>
    <xf numFmtId="0" fontId="20" fillId="0" borderId="2" xfId="30" applyFont="1" applyBorder="1" applyAlignment="1">
      <alignment horizontal="center" vertical="center"/>
    </xf>
    <xf numFmtId="0" fontId="17" fillId="4" borderId="0" xfId="30" applyFont="1" applyFill="1"/>
    <xf numFmtId="0" fontId="14" fillId="4" borderId="0" xfId="30" applyFont="1" applyFill="1"/>
    <xf numFmtId="1" fontId="17" fillId="0" borderId="6" xfId="30" applyNumberFormat="1" applyFont="1" applyBorder="1" applyAlignment="1">
      <alignment horizontal="center" vertical="center"/>
    </xf>
    <xf numFmtId="0" fontId="18" fillId="0" borderId="1" xfId="30" applyFont="1" applyBorder="1" applyAlignment="1">
      <alignment horizontal="justify" vertical="center" wrapText="1"/>
    </xf>
    <xf numFmtId="165" fontId="17" fillId="0" borderId="1" xfId="30" applyNumberFormat="1" applyFont="1" applyBorder="1" applyAlignment="1">
      <alignment horizontal="center" vertical="center"/>
    </xf>
    <xf numFmtId="0" fontId="14" fillId="3" borderId="2" xfId="30" applyFont="1" applyFill="1" applyBorder="1" applyAlignment="1">
      <alignment vertical="center"/>
    </xf>
    <xf numFmtId="0" fontId="14" fillId="3" borderId="0" xfId="30" applyFont="1" applyFill="1" applyAlignment="1">
      <alignment vertical="center"/>
    </xf>
    <xf numFmtId="1" fontId="17" fillId="0" borderId="5" xfId="30" applyNumberFormat="1" applyFont="1" applyBorder="1" applyAlignment="1">
      <alignment horizontal="center"/>
    </xf>
    <xf numFmtId="0" fontId="19" fillId="0" borderId="6" xfId="30" applyFont="1" applyBorder="1" applyAlignment="1">
      <alignment horizontal="right"/>
    </xf>
    <xf numFmtId="0" fontId="17" fillId="0" borderId="1" xfId="30" applyFont="1" applyBorder="1" applyAlignment="1">
      <alignment horizontal="justify" wrapText="1"/>
    </xf>
    <xf numFmtId="1" fontId="17" fillId="0" borderId="5" xfId="30" applyNumberFormat="1" applyFont="1" applyBorder="1" applyAlignment="1">
      <alignment horizontal="center" vertical="center"/>
    </xf>
    <xf numFmtId="0" fontId="17" fillId="0" borderId="6" xfId="30" applyFont="1" applyBorder="1" applyAlignment="1">
      <alignment horizontal="center" vertical="center"/>
    </xf>
    <xf numFmtId="0" fontId="17" fillId="0" borderId="5" xfId="30" applyFont="1" applyBorder="1" applyAlignment="1">
      <alignment horizontal="center" vertical="center"/>
    </xf>
    <xf numFmtId="0" fontId="17" fillId="0" borderId="6" xfId="30" applyFont="1" applyBorder="1" applyAlignment="1">
      <alignment horizontal="right" vertical="center"/>
    </xf>
    <xf numFmtId="0" fontId="14" fillId="4" borderId="2" xfId="30" applyFont="1" applyFill="1" applyBorder="1" applyAlignment="1">
      <alignment vertical="center"/>
    </xf>
    <xf numFmtId="0" fontId="14" fillId="4" borderId="0" xfId="30" applyFont="1" applyFill="1" applyAlignment="1">
      <alignment vertical="center"/>
    </xf>
    <xf numFmtId="0" fontId="17" fillId="0" borderId="6" xfId="30" applyFont="1" applyBorder="1" applyAlignment="1">
      <alignment horizontal="right" vertical="top"/>
    </xf>
    <xf numFmtId="0" fontId="17" fillId="0" borderId="7" xfId="30" applyFont="1" applyBorder="1" applyAlignment="1">
      <alignment horizontal="center" vertical="top"/>
    </xf>
    <xf numFmtId="0" fontId="17" fillId="0" borderId="8" xfId="30" applyFont="1" applyBorder="1" applyAlignment="1">
      <alignment horizontal="center" vertical="center"/>
    </xf>
    <xf numFmtId="0" fontId="17" fillId="0" borderId="13" xfId="30" applyFont="1" applyBorder="1" applyAlignment="1">
      <alignment horizontal="center" vertical="top"/>
    </xf>
    <xf numFmtId="0" fontId="17" fillId="0" borderId="14" xfId="30" applyFont="1" applyBorder="1" applyAlignment="1">
      <alignment horizontal="center" vertical="top"/>
    </xf>
    <xf numFmtId="0" fontId="16" fillId="0" borderId="1" xfId="30" applyFont="1" applyBorder="1" applyAlignment="1">
      <alignment horizontal="right" vertical="center"/>
    </xf>
    <xf numFmtId="0" fontId="16" fillId="0" borderId="1" xfId="30" applyFont="1" applyBorder="1" applyAlignment="1">
      <alignment horizontal="center" vertical="center"/>
    </xf>
    <xf numFmtId="165" fontId="16" fillId="0" borderId="1" xfId="30" applyNumberFormat="1" applyFont="1" applyBorder="1" applyAlignment="1">
      <alignment vertical="center"/>
    </xf>
    <xf numFmtId="43" fontId="14" fillId="3" borderId="0" xfId="30" applyNumberFormat="1" applyFont="1" applyFill="1"/>
    <xf numFmtId="0" fontId="17" fillId="0" borderId="0" xfId="30" applyFont="1" applyAlignment="1">
      <alignment horizontal="center" vertical="top"/>
    </xf>
    <xf numFmtId="0" fontId="17" fillId="0" borderId="0" xfId="30" applyFont="1" applyAlignment="1">
      <alignment vertical="top" wrapText="1"/>
    </xf>
    <xf numFmtId="0" fontId="14" fillId="0" borderId="0" xfId="30" applyFont="1" applyAlignment="1">
      <alignment vertical="top" wrapText="1"/>
    </xf>
    <xf numFmtId="0" fontId="14" fillId="0" borderId="0" xfId="30" applyFont="1" applyFill="1" applyAlignment="1">
      <alignment horizontal="center"/>
    </xf>
    <xf numFmtId="0" fontId="14" fillId="0" borderId="0" xfId="30" applyFont="1" applyFill="1"/>
    <xf numFmtId="0" fontId="14" fillId="5" borderId="0" xfId="30" applyFont="1" applyFill="1" applyAlignment="1">
      <alignment horizontal="center"/>
    </xf>
    <xf numFmtId="0" fontId="14" fillId="5" borderId="0" xfId="30" applyFont="1" applyFill="1"/>
    <xf numFmtId="0" fontId="33" fillId="0" borderId="0" xfId="30" applyFont="1" applyAlignment="1">
      <alignment horizontal="center"/>
    </xf>
    <xf numFmtId="14" fontId="17" fillId="0" borderId="0" xfId="30" applyNumberFormat="1" applyFont="1" applyAlignment="1">
      <alignment horizontal="right"/>
    </xf>
    <xf numFmtId="167" fontId="16" fillId="0" borderId="0" xfId="30" applyNumberFormat="1" applyFont="1" applyAlignment="1">
      <alignment horizontal="left"/>
    </xf>
    <xf numFmtId="0" fontId="18" fillId="0" borderId="0" xfId="30" applyFont="1" applyAlignment="1">
      <alignment horizontal="center"/>
    </xf>
    <xf numFmtId="167" fontId="18" fillId="0" borderId="1" xfId="30" applyNumberFormat="1" applyFont="1" applyBorder="1" applyAlignment="1">
      <alignment horizontal="justify" vertical="top" wrapText="1"/>
    </xf>
    <xf numFmtId="0" fontId="17" fillId="0" borderId="21" xfId="30" applyFont="1" applyBorder="1"/>
    <xf numFmtId="0" fontId="17" fillId="0" borderId="3" xfId="30" applyFont="1" applyBorder="1"/>
    <xf numFmtId="0" fontId="17" fillId="0" borderId="1" xfId="30" applyFont="1" applyBorder="1" applyAlignment="1">
      <alignment horizontal="left" vertical="top"/>
    </xf>
    <xf numFmtId="0" fontId="17" fillId="0" borderId="2" xfId="30" applyFont="1" applyBorder="1" applyAlignment="1">
      <alignment horizontal="left" vertical="top"/>
    </xf>
    <xf numFmtId="0" fontId="17" fillId="0" borderId="0" xfId="30" applyFont="1" applyAlignment="1">
      <alignment horizontal="left" vertical="top"/>
    </xf>
    <xf numFmtId="166" fontId="17" fillId="0" borderId="1" xfId="30" applyNumberFormat="1" applyFont="1" applyBorder="1" applyAlignment="1">
      <alignment horizontal="center" vertical="top"/>
    </xf>
    <xf numFmtId="0" fontId="17" fillId="0" borderId="1" xfId="30" applyFont="1" applyBorder="1" applyAlignment="1">
      <alignment horizontal="right" vertical="top"/>
    </xf>
    <xf numFmtId="165" fontId="17" fillId="0" borderId="1" xfId="7" applyNumberFormat="1" applyFont="1" applyBorder="1" applyAlignment="1">
      <alignment horizontal="center"/>
    </xf>
    <xf numFmtId="0" fontId="17" fillId="0" borderId="1" xfId="7" applyNumberFormat="1" applyFont="1" applyBorder="1" applyAlignment="1">
      <alignment horizontal="center"/>
    </xf>
    <xf numFmtId="165" fontId="17" fillId="0" borderId="1" xfId="7" quotePrefix="1" applyNumberFormat="1" applyFont="1" applyBorder="1" applyAlignment="1">
      <alignment horizontal="center"/>
    </xf>
    <xf numFmtId="166" fontId="17" fillId="0" borderId="1" xfId="30" quotePrefix="1" applyNumberFormat="1" applyFont="1" applyBorder="1" applyAlignment="1">
      <alignment horizontal="right" vertical="top"/>
    </xf>
    <xf numFmtId="2" fontId="17" fillId="0" borderId="1" xfId="30" applyNumberFormat="1" applyFont="1" applyBorder="1" applyAlignment="1">
      <alignment horizontal="center" vertical="top"/>
    </xf>
    <xf numFmtId="166" fontId="17" fillId="0" borderId="1" xfId="30" quotePrefix="1" applyNumberFormat="1" applyFont="1" applyBorder="1" applyAlignment="1">
      <alignment horizontal="center" vertical="top"/>
    </xf>
    <xf numFmtId="166" fontId="17" fillId="0" borderId="1" xfId="30" applyNumberFormat="1" applyFont="1" applyBorder="1" applyAlignment="1">
      <alignment horizontal="right" vertical="center"/>
    </xf>
    <xf numFmtId="166" fontId="17" fillId="0" borderId="1" xfId="30" applyNumberFormat="1" applyFont="1" applyBorder="1" applyAlignment="1">
      <alignment horizontal="right" vertical="top"/>
    </xf>
    <xf numFmtId="2" fontId="17" fillId="0" borderId="1" xfId="30" quotePrefix="1" applyNumberFormat="1" applyFont="1" applyBorder="1" applyAlignment="1">
      <alignment horizontal="center" vertical="top"/>
    </xf>
    <xf numFmtId="166" fontId="17" fillId="0" borderId="1" xfId="30" quotePrefix="1" applyNumberFormat="1" applyFont="1" applyBorder="1" applyAlignment="1">
      <alignment horizontal="right" vertical="center"/>
    </xf>
    <xf numFmtId="2" fontId="17" fillId="0" borderId="1" xfId="30" applyNumberFormat="1" applyFont="1" applyBorder="1" applyAlignment="1">
      <alignment horizontal="right" vertical="top"/>
    </xf>
    <xf numFmtId="2" fontId="17" fillId="0" borderId="1" xfId="30" applyNumberFormat="1" applyFont="1" applyBorder="1" applyAlignment="1">
      <alignment horizontal="right" vertical="center"/>
    </xf>
    <xf numFmtId="0" fontId="18" fillId="0" borderId="1" xfId="30" applyFont="1" applyBorder="1" applyAlignment="1">
      <alignment horizontal="center"/>
    </xf>
    <xf numFmtId="165" fontId="18" fillId="0" borderId="1" xfId="7" applyNumberFormat="1" applyFont="1" applyBorder="1" applyAlignment="1">
      <alignment horizontal="right"/>
    </xf>
    <xf numFmtId="165" fontId="18" fillId="0" borderId="1" xfId="7" applyNumberFormat="1" applyFont="1" applyBorder="1" applyAlignment="1">
      <alignment horizontal="center"/>
    </xf>
    <xf numFmtId="165" fontId="18" fillId="0" borderId="1" xfId="7" quotePrefix="1" applyNumberFormat="1" applyFont="1" applyBorder="1" applyAlignment="1">
      <alignment horizontal="center"/>
    </xf>
    <xf numFmtId="165" fontId="18" fillId="0" borderId="1" xfId="7" applyNumberFormat="1" applyFont="1" applyBorder="1"/>
    <xf numFmtId="0" fontId="17" fillId="0" borderId="2" xfId="30" applyFont="1" applyBorder="1"/>
    <xf numFmtId="0" fontId="18" fillId="0" borderId="1" xfId="30" quotePrefix="1" applyFont="1" applyBorder="1" applyAlignment="1">
      <alignment horizontal="center"/>
    </xf>
    <xf numFmtId="0" fontId="18" fillId="0" borderId="1" xfId="30" applyFont="1" applyBorder="1" applyAlignment="1">
      <alignment horizontal="left" vertical="center"/>
    </xf>
    <xf numFmtId="165" fontId="17" fillId="0" borderId="1" xfId="7" applyNumberFormat="1" applyFont="1" applyBorder="1"/>
    <xf numFmtId="1" fontId="17" fillId="0" borderId="1" xfId="30" applyNumberFormat="1" applyFont="1" applyBorder="1" applyAlignment="1">
      <alignment horizontal="center" vertical="center"/>
    </xf>
    <xf numFmtId="0" fontId="17" fillId="0" borderId="1" xfId="30" applyFont="1" applyBorder="1" applyAlignment="1">
      <alignment horizontal="right" vertical="center"/>
    </xf>
    <xf numFmtId="1" fontId="17" fillId="0" borderId="1" xfId="30" applyNumberFormat="1" applyFont="1" applyBorder="1" applyAlignment="1">
      <alignment horizontal="center"/>
    </xf>
    <xf numFmtId="0" fontId="17" fillId="0" borderId="1" xfId="30" applyFont="1" applyBorder="1" applyAlignment="1">
      <alignment horizontal="left"/>
    </xf>
    <xf numFmtId="165" fontId="17" fillId="0" borderId="1" xfId="7" applyNumberFormat="1" applyFont="1" applyFill="1" applyBorder="1" applyAlignment="1">
      <alignment horizontal="center"/>
    </xf>
    <xf numFmtId="0" fontId="17" fillId="0" borderId="1" xfId="7" applyNumberFormat="1" applyFont="1" applyFill="1" applyBorder="1" applyAlignment="1">
      <alignment horizontal="center"/>
    </xf>
    <xf numFmtId="4" fontId="17" fillId="3" borderId="2" xfId="30" applyNumberFormat="1" applyFont="1" applyFill="1" applyBorder="1"/>
    <xf numFmtId="0" fontId="17" fillId="0" borderId="1" xfId="30" quotePrefix="1" applyFont="1" applyBorder="1" applyAlignment="1">
      <alignment horizontal="center"/>
    </xf>
    <xf numFmtId="165" fontId="18" fillId="0" borderId="1" xfId="7" applyNumberFormat="1" applyFont="1" applyBorder="1" applyAlignment="1"/>
    <xf numFmtId="165" fontId="18" fillId="0" borderId="1" xfId="7" quotePrefix="1" applyNumberFormat="1" applyFont="1" applyBorder="1" applyAlignment="1"/>
    <xf numFmtId="0" fontId="18" fillId="0" borderId="1" xfId="30" applyFont="1" applyBorder="1" applyAlignment="1">
      <alignment horizontal="justify" vertical="top" wrapText="1"/>
    </xf>
    <xf numFmtId="0" fontId="17" fillId="0" borderId="1" xfId="30" quotePrefix="1" applyFont="1" applyBorder="1" applyAlignment="1">
      <alignment horizontal="justify" vertical="top" wrapText="1"/>
    </xf>
    <xf numFmtId="0" fontId="17" fillId="3" borderId="1" xfId="30" applyFont="1" applyFill="1" applyBorder="1" applyAlignment="1">
      <alignment horizontal="left"/>
    </xf>
    <xf numFmtId="0" fontId="17" fillId="0" borderId="2" xfId="30" applyFont="1" applyBorder="1" applyAlignment="1">
      <alignment vertical="center"/>
    </xf>
    <xf numFmtId="0" fontId="17" fillId="0" borderId="1" xfId="30" quotePrefix="1" applyFont="1" applyBorder="1" applyAlignment="1">
      <alignment horizontal="left"/>
    </xf>
    <xf numFmtId="0" fontId="18" fillId="0" borderId="1" xfId="30" applyFont="1" applyBorder="1" applyAlignment="1">
      <alignment horizontal="justify"/>
    </xf>
    <xf numFmtId="0" fontId="18" fillId="0" borderId="1" xfId="30" quotePrefix="1" applyFont="1" applyBorder="1" applyAlignment="1">
      <alignment horizontal="right" vertical="center"/>
    </xf>
    <xf numFmtId="0" fontId="17" fillId="0" borderId="1" xfId="30" quotePrefix="1" applyFont="1" applyBorder="1" applyAlignment="1">
      <alignment vertical="center"/>
    </xf>
    <xf numFmtId="165" fontId="17" fillId="0" borderId="1" xfId="7" quotePrefix="1" applyNumberFormat="1" applyFont="1" applyBorder="1" applyAlignment="1">
      <alignment vertical="center"/>
    </xf>
    <xf numFmtId="165" fontId="18" fillId="0" borderId="1" xfId="7" quotePrefix="1" applyNumberFormat="1" applyFont="1" applyBorder="1" applyAlignment="1">
      <alignment vertical="center"/>
    </xf>
    <xf numFmtId="0" fontId="17" fillId="0" borderId="0" xfId="30" applyFont="1" applyAlignment="1">
      <alignment horizontal="center"/>
    </xf>
    <xf numFmtId="0" fontId="17" fillId="0" borderId="0" xfId="30" applyFont="1" applyAlignment="1">
      <alignment horizontal="left"/>
    </xf>
    <xf numFmtId="166" fontId="3" fillId="0" borderId="0" xfId="30" applyNumberFormat="1" applyFont="1" applyBorder="1" applyAlignment="1">
      <alignment vertical="top"/>
    </xf>
    <xf numFmtId="0" fontId="3" fillId="0" borderId="0" xfId="30" applyFont="1" applyBorder="1" applyAlignment="1">
      <alignment vertical="center"/>
    </xf>
    <xf numFmtId="166" fontId="3" fillId="0" borderId="0" xfId="30" applyNumberFormat="1" applyFont="1" applyBorder="1" applyAlignment="1">
      <alignment vertical="center"/>
    </xf>
    <xf numFmtId="0" fontId="24" fillId="0" borderId="0" xfId="15" applyFont="1" applyAlignment="1">
      <alignment horizontal="left"/>
    </xf>
    <xf numFmtId="0" fontId="25" fillId="0" borderId="0" xfId="15" applyFont="1" applyAlignment="1">
      <alignment horizontal="right"/>
    </xf>
    <xf numFmtId="0" fontId="24" fillId="2" borderId="1" xfId="15" applyFont="1" applyFill="1" applyBorder="1" applyAlignment="1">
      <alignment horizontal="center" vertical="center" wrapText="1"/>
    </xf>
    <xf numFmtId="0" fontId="24" fillId="0" borderId="0" xfId="15" applyFont="1" applyAlignment="1">
      <alignment horizontal="left" wrapText="1"/>
    </xf>
    <xf numFmtId="0" fontId="21" fillId="0" borderId="0" xfId="0" applyFont="1" applyFill="1" applyAlignment="1">
      <alignment vertical="center" wrapText="1"/>
    </xf>
    <xf numFmtId="0" fontId="12" fillId="3" borderId="1" xfId="30" applyFont="1" applyFill="1" applyBorder="1" applyAlignment="1">
      <alignment horizontal="center" vertical="center"/>
    </xf>
    <xf numFmtId="0" fontId="21" fillId="3" borderId="1" xfId="30" applyFont="1" applyFill="1" applyBorder="1" applyAlignment="1">
      <alignment horizontal="center" vertical="center"/>
    </xf>
    <xf numFmtId="0" fontId="21" fillId="0" borderId="0" xfId="30" applyFont="1" applyAlignment="1">
      <alignment horizontal="left" vertical="top" wrapText="1"/>
    </xf>
    <xf numFmtId="3" fontId="21" fillId="0" borderId="0" xfId="0" applyNumberFormat="1" applyFont="1" applyFill="1" applyBorder="1" applyAlignment="1">
      <alignment horizontal="left" vertical="center"/>
    </xf>
    <xf numFmtId="3" fontId="12" fillId="3" borderId="11" xfId="30" applyNumberFormat="1" applyFont="1" applyFill="1" applyBorder="1" applyAlignment="1">
      <alignment horizontal="center" vertical="center"/>
    </xf>
    <xf numFmtId="3" fontId="12" fillId="3" borderId="4" xfId="30" applyNumberFormat="1" applyFont="1" applyFill="1" applyBorder="1" applyAlignment="1">
      <alignment horizontal="center" vertical="center"/>
    </xf>
    <xf numFmtId="167" fontId="12" fillId="0" borderId="1" xfId="30" applyNumberFormat="1" applyFont="1" applyBorder="1" applyAlignment="1">
      <alignment horizontal="center" vertical="center"/>
    </xf>
    <xf numFmtId="0" fontId="16" fillId="3" borderId="16" xfId="30" applyFont="1" applyFill="1" applyBorder="1" applyAlignment="1">
      <alignment horizontal="center" vertical="center"/>
    </xf>
    <xf numFmtId="0" fontId="16" fillId="3" borderId="20" xfId="30" applyFont="1" applyFill="1" applyBorder="1" applyAlignment="1">
      <alignment horizontal="center" vertical="center"/>
    </xf>
    <xf numFmtId="0" fontId="16" fillId="3" borderId="18" xfId="30" applyFont="1" applyFill="1" applyBorder="1" applyAlignment="1">
      <alignment horizontal="center" vertical="center"/>
    </xf>
    <xf numFmtId="0" fontId="16" fillId="3" borderId="19" xfId="30" applyFont="1" applyFill="1" applyBorder="1" applyAlignment="1">
      <alignment horizontal="center" vertical="center"/>
    </xf>
    <xf numFmtId="0" fontId="14" fillId="0" borderId="0" xfId="30" applyFont="1" applyAlignment="1">
      <alignment horizontal="left"/>
    </xf>
    <xf numFmtId="0" fontId="17" fillId="0" borderId="0" xfId="30" applyFont="1" applyAlignment="1">
      <alignment horizontal="left" vertical="top" wrapText="1"/>
    </xf>
    <xf numFmtId="0" fontId="16" fillId="0" borderId="0" xfId="30" applyFont="1" applyBorder="1" applyAlignment="1">
      <alignment horizontal="center" vertical="center"/>
    </xf>
    <xf numFmtId="167" fontId="18" fillId="0" borderId="9" xfId="30" applyNumberFormat="1" applyFont="1" applyBorder="1" applyAlignment="1">
      <alignment horizontal="center" vertical="center"/>
    </xf>
    <xf numFmtId="167" fontId="18" fillId="0" borderId="15" xfId="30" applyNumberFormat="1" applyFont="1" applyBorder="1" applyAlignment="1">
      <alignment horizontal="center" vertical="center"/>
    </xf>
    <xf numFmtId="167" fontId="18" fillId="0" borderId="12" xfId="30" applyNumberFormat="1" applyFont="1" applyBorder="1" applyAlignment="1">
      <alignment horizontal="center" vertical="center"/>
    </xf>
    <xf numFmtId="167" fontId="18" fillId="0" borderId="17" xfId="30" applyNumberFormat="1" applyFont="1" applyBorder="1" applyAlignment="1">
      <alignment horizontal="center" vertical="center"/>
    </xf>
    <xf numFmtId="167" fontId="18" fillId="0" borderId="1" xfId="30" applyNumberFormat="1" applyFont="1" applyBorder="1" applyAlignment="1">
      <alignment horizontal="center" vertical="center"/>
    </xf>
    <xf numFmtId="167" fontId="18" fillId="0" borderId="1" xfId="30" applyNumberFormat="1" applyFont="1" applyBorder="1" applyAlignment="1">
      <alignment horizontal="center" vertical="center" wrapText="1"/>
    </xf>
    <xf numFmtId="0" fontId="17" fillId="0" borderId="16" xfId="30" applyFont="1" applyBorder="1" applyAlignment="1">
      <alignment horizontal="center" vertical="center"/>
    </xf>
    <xf numFmtId="0" fontId="17" fillId="0" borderId="20" xfId="30" applyFont="1" applyBorder="1" applyAlignment="1">
      <alignment horizontal="center" vertical="center"/>
    </xf>
    <xf numFmtId="0" fontId="17" fillId="0" borderId="18" xfId="30" applyFont="1" applyBorder="1" applyAlignment="1">
      <alignment horizontal="center" vertical="center"/>
    </xf>
    <xf numFmtId="0" fontId="17" fillId="0" borderId="19" xfId="30" applyFont="1" applyBorder="1" applyAlignment="1">
      <alignment horizontal="center" vertical="center"/>
    </xf>
    <xf numFmtId="0" fontId="17" fillId="0" borderId="1" xfId="30" applyFont="1" applyBorder="1" applyAlignment="1">
      <alignment horizontal="center" vertical="top"/>
    </xf>
    <xf numFmtId="167" fontId="12" fillId="0" borderId="0" xfId="30" applyNumberFormat="1" applyFont="1" applyAlignment="1">
      <alignment horizontal="left"/>
    </xf>
    <xf numFmtId="167" fontId="14" fillId="0" borderId="0" xfId="30" applyNumberFormat="1" applyFont="1" applyAlignment="1">
      <alignment horizontal="left"/>
    </xf>
    <xf numFmtId="0" fontId="25" fillId="0" borderId="0" xfId="15" applyFont="1" applyAlignment="1">
      <alignment horizontal="left"/>
    </xf>
    <xf numFmtId="0" fontId="27" fillId="0" borderId="3" xfId="15" applyFont="1" applyBorder="1" applyAlignment="1">
      <alignment horizontal="center" vertical="center"/>
    </xf>
    <xf numFmtId="165" fontId="27" fillId="0" borderId="3" xfId="1" applyNumberFormat="1" applyFont="1" applyBorder="1" applyAlignment="1">
      <alignment horizontal="center" vertical="center"/>
    </xf>
    <xf numFmtId="0" fontId="24" fillId="2" borderId="22" xfId="15" applyFont="1" applyFill="1" applyBorder="1" applyAlignment="1">
      <alignment horizontal="center" vertical="center"/>
    </xf>
    <xf numFmtId="0" fontId="24" fillId="2" borderId="23" xfId="15" applyFont="1" applyFill="1" applyBorder="1" applyAlignment="1">
      <alignment horizontal="center" vertical="center"/>
    </xf>
    <xf numFmtId="0" fontId="24" fillId="2" borderId="24" xfId="15" applyFont="1" applyFill="1" applyBorder="1" applyAlignment="1">
      <alignment horizontal="center" vertical="center"/>
    </xf>
  </cellXfs>
  <cellStyles count="35">
    <cellStyle name="Comma" xfId="1" builtinId="3"/>
    <cellStyle name="Comma [0]" xfId="2" builtinId="6"/>
    <cellStyle name="Comma 11" xfId="3"/>
    <cellStyle name="Comma 13" xfId="4"/>
    <cellStyle name="Comma 2" xfId="5"/>
    <cellStyle name="Comma 2 2" xfId="6"/>
    <cellStyle name="Comma 2 3" xfId="7"/>
    <cellStyle name="Comma 3" xfId="8"/>
    <cellStyle name="Comma 4" xfId="32"/>
    <cellStyle name="Comma 4 2" xfId="9"/>
    <cellStyle name="Comma 5 2" xfId="10"/>
    <cellStyle name="Comma 6 4 2" xfId="11"/>
    <cellStyle name="Comma 6 5" xfId="12"/>
    <cellStyle name="Comma 7" xfId="34"/>
    <cellStyle name="Normal" xfId="0" builtinId="0"/>
    <cellStyle name="Normal 10 2" xfId="13"/>
    <cellStyle name="Normal 11" xfId="14"/>
    <cellStyle name="Normal 19" xfId="15"/>
    <cellStyle name="Normal 2" xfId="16"/>
    <cellStyle name="Normal 2 2" xfId="17"/>
    <cellStyle name="Normal 2 2 2" xfId="18"/>
    <cellStyle name="Normal 2 2 3" xfId="29"/>
    <cellStyle name="Normal 2 3" xfId="19"/>
    <cellStyle name="Normal 2 4" xfId="30"/>
    <cellStyle name="Normal 2 8" xfId="20"/>
    <cellStyle name="Normal 2 8 2" xfId="21"/>
    <cellStyle name="Normal 3" xfId="22"/>
    <cellStyle name="Normal 3 3_BOQ" xfId="23"/>
    <cellStyle name="Normal 4" xfId="24"/>
    <cellStyle name="Normal 5" xfId="25"/>
    <cellStyle name="Normal 5 10 5" xfId="26"/>
    <cellStyle name="Normal 5 2" xfId="27"/>
    <cellStyle name="Normal 6" xfId="28"/>
    <cellStyle name="Normal_Book1" xfId="31"/>
    <cellStyle name="Percent 2" xfId="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w4\d\My%20Document\Bk_hgw-4\zaheer\MAKRAN%20COASTAL%202000\BOQ%20Nallient%20Gawadar%20Sub%20Sect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ripal\Desktop\Extra\Book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SRM/CF-Control%20Requirements-SRM.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ITR/ITR%20CF-Control%20Requirements-TemplateV2%20Final%20R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Summary"/>
      <sheetName val="Resource Usag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ointNo.5"/>
      <sheetName val="Input"/>
      <sheetName val="Sheet1"/>
      <sheetName val="monitoring-breakup Feb02"/>
      <sheetName val="Manpower"/>
      <sheetName val="TBEAM"/>
      <sheetName val="Fee_Rate_Summary"/>
      <sheetName val="970121_fee_rates"/>
      <sheetName val="PA-_Consutant_"/>
      <sheetName val="Materials_Cost"/>
      <sheetName val="Civil_Boq"/>
      <sheetName val="SPT_vs_PHI"/>
      <sheetName val="Site_Dev_BOQ"/>
      <sheetName val="BOQ_(2)"/>
      <sheetName val="PRECAST_lightconc-II"/>
      <sheetName val="rev.02"/>
      <sheetName val="Approved MTD Proj #'s"/>
      <sheetName val="BLK2"/>
      <sheetName val="BLK3"/>
      <sheetName val="E &amp; R"/>
      <sheetName val="radar"/>
      <sheetName val="UG"/>
      <sheetName val="가격조사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 val="Fee Rate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1"/>
      <sheetName val="TOC"/>
      <sheetName val="SOC"/>
      <sheetName val="BOQ-1of1"/>
      <sheetName val="BOQ-1of2"/>
      <sheetName val="BOQ-2"/>
      <sheetName val="BOQ-3"/>
      <sheetName val="BOQ 4A-1"/>
      <sheetName val="Boq 4A-2"/>
      <sheetName val="BOQ 4B-1"/>
      <sheetName val="BOQ 4B-2"/>
      <sheetName val="BOQ 4B-3"/>
      <sheetName val="BOQ 4C-1"/>
      <sheetName val="BOQ 4C-2"/>
      <sheetName val="BOQ-5"/>
      <sheetName val="BOQ 6"/>
      <sheetName val="BOQ 7"/>
      <sheetName val="SOC-FINAL"/>
    </sheetNames>
    <sheetDataSet>
      <sheetData sheetId="0" refreshError="1">
        <row r="4">
          <cell r="A4" t="str">
            <v xml:space="preserve"> NALLIENT- GAWADAR SUB SECTION</v>
          </cell>
        </row>
        <row r="5">
          <cell r="A5" t="str">
            <v>Bill No. 1:  Earthwork</v>
          </cell>
        </row>
        <row r="6">
          <cell r="A6" t="str">
            <v>Pay Item</v>
          </cell>
          <cell r="B6" t="str">
            <v>Item Description</v>
          </cell>
          <cell r="C6" t="str">
            <v>Unit</v>
          </cell>
          <cell r="D6" t="str">
            <v>Quantity</v>
          </cell>
          <cell r="E6" t="str">
            <v>Rate</v>
          </cell>
          <cell r="F6" t="str">
            <v>Amount</v>
          </cell>
        </row>
        <row r="7">
          <cell r="A7" t="str">
            <v>No.</v>
          </cell>
          <cell r="E7" t="str">
            <v>(Rs.)</v>
          </cell>
          <cell r="F7" t="str">
            <v>(Rs.)</v>
          </cell>
        </row>
        <row r="8">
          <cell r="F8">
            <v>0</v>
          </cell>
        </row>
        <row r="9">
          <cell r="A9" t="str">
            <v>101</v>
          </cell>
          <cell r="B9" t="str">
            <v>Clearing &amp; Grubbing</v>
          </cell>
          <cell r="C9" t="str">
            <v>SM</v>
          </cell>
          <cell r="D9">
            <v>980000</v>
          </cell>
          <cell r="F9">
            <v>0</v>
          </cell>
        </row>
        <row r="10">
          <cell r="A10" t="str">
            <v>102a</v>
          </cell>
          <cell r="B10" t="str">
            <v>Removal of trees , 150-300 mm girth</v>
          </cell>
          <cell r="C10" t="str">
            <v>Each</v>
          </cell>
          <cell r="D10">
            <v>30</v>
          </cell>
          <cell r="F10">
            <v>0</v>
          </cell>
        </row>
        <row r="11">
          <cell r="A11" t="str">
            <v>102b</v>
          </cell>
          <cell r="B11" t="str">
            <v>Removal of trees , 301-600 mm girth</v>
          </cell>
          <cell r="C11" t="str">
            <v>Each</v>
          </cell>
          <cell r="D11">
            <v>24</v>
          </cell>
          <cell r="F11">
            <v>0</v>
          </cell>
        </row>
        <row r="12">
          <cell r="A12" t="str">
            <v>102c</v>
          </cell>
          <cell r="B12" t="str">
            <v>Removal of trees , 601 mm or over girth</v>
          </cell>
          <cell r="C12" t="str">
            <v>Each</v>
          </cell>
          <cell r="D12" t="str">
            <v>-</v>
          </cell>
          <cell r="F12">
            <v>0</v>
          </cell>
        </row>
        <row r="13">
          <cell r="A13" t="str">
            <v>104</v>
          </cell>
          <cell r="B13" t="str">
            <v>Compaction of Natural Ground</v>
          </cell>
          <cell r="C13" t="str">
            <v>SM</v>
          </cell>
          <cell r="D13">
            <v>1210000</v>
          </cell>
          <cell r="F13">
            <v>0</v>
          </cell>
        </row>
        <row r="14">
          <cell r="A14" t="str">
            <v>106a</v>
          </cell>
          <cell r="B14" t="str">
            <v>Excavate Unsuitable  Common Material</v>
          </cell>
          <cell r="C14" t="str">
            <v>CM</v>
          </cell>
          <cell r="D14">
            <v>90000</v>
          </cell>
          <cell r="F14">
            <v>0</v>
          </cell>
        </row>
        <row r="15">
          <cell r="A15" t="str">
            <v>108a</v>
          </cell>
          <cell r="B15" t="str">
            <v xml:space="preserve">Formation of Embankment from Roadway Excavation </v>
          </cell>
          <cell r="C15" t="str">
            <v>CM</v>
          </cell>
          <cell r="D15">
            <v>210000</v>
          </cell>
          <cell r="F15">
            <v>0</v>
          </cell>
        </row>
        <row r="16">
          <cell r="B16" t="str">
            <v xml:space="preserve"> in Common Material</v>
          </cell>
          <cell r="F16">
            <v>0</v>
          </cell>
        </row>
        <row r="17">
          <cell r="A17" t="str">
            <v>108b</v>
          </cell>
          <cell r="B17" t="str">
            <v>Formation of Embankment from Roadway Excavation</v>
          </cell>
          <cell r="C17" t="str">
            <v>CM</v>
          </cell>
          <cell r="D17" t="str">
            <v>-</v>
          </cell>
          <cell r="F17">
            <v>0</v>
          </cell>
        </row>
        <row r="18">
          <cell r="B18" t="str">
            <v>in Rock Material</v>
          </cell>
          <cell r="F18">
            <v>0</v>
          </cell>
        </row>
        <row r="19">
          <cell r="A19" t="str">
            <v>108c</v>
          </cell>
          <cell r="B19" t="str">
            <v xml:space="preserve">Formation of Embankment from Borrow Excavation </v>
          </cell>
          <cell r="C19" t="str">
            <v>CM</v>
          </cell>
          <cell r="D19">
            <v>1790000</v>
          </cell>
          <cell r="F19">
            <v>0</v>
          </cell>
        </row>
        <row r="20">
          <cell r="B20" t="str">
            <v xml:space="preserve"> in Common Material</v>
          </cell>
          <cell r="F20">
            <v>0</v>
          </cell>
        </row>
        <row r="21">
          <cell r="F21">
            <v>0</v>
          </cell>
        </row>
        <row r="27">
          <cell r="F27">
            <v>0</v>
          </cell>
        </row>
        <row r="28">
          <cell r="B28" t="str">
            <v>Total of Bill 1 carried to summary</v>
          </cell>
          <cell r="F28">
            <v>0</v>
          </cell>
        </row>
        <row r="29">
          <cell r="A29" t="str">
            <v>[ C40AC98.XLS    Bill 1 ]</v>
          </cell>
          <cell r="F29" t="str">
            <v>PG # 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q"/>
      <sheetName val="chart"/>
      <sheetName val="PD"/>
      <sheetName val="Basic"/>
      <sheetName val="Area- TMC"/>
      <sheetName val="PMV "/>
      <sheetName val="TC"/>
      <sheetName val="Hoist &amp; scaff"/>
      <sheetName val="Conc(BP) "/>
      <sheetName val="Reinf"/>
      <sheetName val="WTR"/>
      <sheetName val="LBR"/>
      <sheetName val="consumption"/>
      <sheetName val="SRA"/>
      <sheetName val="IDC"/>
      <sheetName val="OFFTOP"/>
      <sheetName val="Comparative"/>
      <sheetName val="CLF"/>
      <sheetName val="BOQ for shuttering"/>
      <sheetName val="Abstract"/>
      <sheetName val="Formwork cost estimate"/>
      <sheetName val="summ- MEP"/>
      <sheetName val="ELECTRICAL BOQ"/>
      <sheetName val="Firefighting"/>
      <sheetName val="Plumbing"/>
      <sheetName val="HVAC (Comperative)"/>
      <sheetName val="Medical gas piping"/>
      <sheetName val="Elevators"/>
      <sheetName val="Machinery"/>
      <sheetName val="BA"/>
      <sheetName val="AR"/>
      <sheetName val="SCA"/>
      <sheetName val="CON"/>
      <sheetName val="RF"/>
      <sheetName val="CSMP"/>
      <sheetName val="ESC"/>
      <sheetName val="OFF"/>
      <sheetName val="PRECAST PROPOSAL"/>
      <sheetName val="Cost Estimate"/>
      <sheetName val=" BOQ"/>
      <sheetName val="03"/>
      <sheetName val="PWR"/>
      <sheetName val="03 "/>
      <sheetName val="03 (2)"/>
      <sheetName val="MMT"/>
      <sheetName val="PREBID"/>
      <sheetName val="ENQ"/>
      <sheetName val="Cash Flow"/>
      <sheetName val="PMV"/>
      <sheetName val="MTO"/>
      <sheetName val="BID Synopsis"/>
      <sheetName val="VAT CAL"/>
      <sheetName val="R0 &amp; R1"/>
      <sheetName val="R0&amp;R1"/>
      <sheetName val="macros"/>
      <sheetName val="analysis"/>
      <sheetName val="GUT (2)"/>
      <sheetName val="ACE-OUT"/>
      <sheetName val="banilad"/>
      <sheetName val="Mactan"/>
      <sheetName val="Mandaue"/>
      <sheetName val="Sheet5"/>
      <sheetName val="SCHEDULE"/>
      <sheetName val="Database"/>
      <sheetName val="schedule nos"/>
      <sheetName val="strain"/>
      <sheetName val="cost summary"/>
      <sheetName val="Elec Summ"/>
      <sheetName val="ELEC BOQ"/>
      <sheetName val="TRACK BUSWAY"/>
      <sheetName val="BBT"/>
      <sheetName val="LIGHTING"/>
      <sheetName val="LMS"/>
      <sheetName val="p&amp;m"/>
      <sheetName val="GR.slab-reinft"/>
      <sheetName val="MFG"/>
      <sheetName val="01"/>
      <sheetName val="Bill 1"/>
      <sheetName val="Bill 2"/>
      <sheetName val="Bill 3"/>
      <sheetName val="Bill 4"/>
      <sheetName val="Bill 5"/>
      <sheetName val="Bill 6"/>
      <sheetName val="Bill 7"/>
      <sheetName val="Consol"/>
      <sheetName val="s"/>
      <sheetName val="Total Debtors Ageing Sheet"/>
      <sheetName val="Sales &amp; Prod"/>
      <sheetName val="Summary"/>
      <sheetName val="final abstract"/>
      <sheetName val="Phasing"/>
      <sheetName val="Area-_TMC"/>
      <sheetName val="PMV_"/>
      <sheetName val="Hoist_&amp;_scaff"/>
      <sheetName val="Conc(BP)_"/>
      <sheetName val="BOQ_for_shuttering"/>
      <sheetName val="Formwork_cost_estimate"/>
      <sheetName val="summ-_MEP"/>
      <sheetName val="ELECTRICAL_BOQ"/>
      <sheetName val="HVAC_(Comperative)"/>
      <sheetName val="Medical_gas_piping"/>
      <sheetName val="PRECAST_PROPOSAL"/>
      <sheetName val="Cost_Estimate"/>
      <sheetName val="_BOQ"/>
      <sheetName val="03_"/>
      <sheetName val="03_(2)"/>
      <sheetName val="Cash_Flow"/>
      <sheetName val="BID_Synopsis"/>
      <sheetName val="VAT_CAL"/>
      <sheetName val="R0_&amp;_R1"/>
      <sheetName val="GUT_(2)"/>
      <sheetName val="schedule_nos"/>
      <sheetName val="GR_slab-reinft"/>
      <sheetName val="BASIC RATES"/>
      <sheetName val="ACE-IN"/>
      <sheetName val="NANJING"/>
      <sheetName val="Progress Curve"/>
      <sheetName val="Sales_&amp;_Prod"/>
      <sheetName val="Source Ref."/>
      <sheetName val="grid"/>
      <sheetName val="Transfer"/>
      <sheetName val="REL"/>
      <sheetName val="Costing"/>
      <sheetName val="Bed Class"/>
      <sheetName val="Cd"/>
      <sheetName val="MERGED CODES &amp; NAMES"/>
      <sheetName val="TYPES"/>
      <sheetName val="MPC"/>
      <sheetName val="Detail"/>
      <sheetName val="DATA"/>
      <sheetName val="Staff Acco."/>
      <sheetName val="Staff Acco_"/>
      <sheetName val="Set"/>
    </sheetNames>
    <sheetDataSet>
      <sheetData sheetId="0">
        <row r="5">
          <cell r="H5">
            <v>7340.666666666667</v>
          </cell>
        </row>
        <row r="6">
          <cell r="H6">
            <v>7374.9231111111121</v>
          </cell>
          <cell r="J6">
            <v>28</v>
          </cell>
        </row>
        <row r="7">
          <cell r="H7">
            <v>14715.589777777779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a"/>
      <sheetName val="Control Requirement 1 b"/>
      <sheetName val="Control Requirement 2"/>
      <sheetName val="Control Requirement 3"/>
      <sheetName val="Sheet1"/>
      <sheetName val="Control Requirement Spreadsheet"/>
      <sheetName val="INFO--&gt;"/>
      <sheetName val="Critical Spend Categories"/>
      <sheetName val="Focus Jurisdictions"/>
      <sheetName val="Admin"/>
      <sheetName val="Sheet2"/>
      <sheetName val="Error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Information Security Risk (ISR)</v>
          </cell>
        </row>
        <row r="2">
          <cell r="B2" t="str">
            <v>Security Risk Management (SRM)</v>
          </cell>
        </row>
        <row r="3">
          <cell r="B3" t="str">
            <v>Business Continuity Management (BCM)</v>
          </cell>
        </row>
        <row r="4">
          <cell r="B4" t="str">
            <v>Data Management and Records Risk (DMRR)</v>
          </cell>
        </row>
        <row r="5">
          <cell r="B5" t="str">
            <v>Group Data Privacy (GDP)</v>
          </cell>
        </row>
        <row r="6">
          <cell r="B6" t="str">
            <v>Information Technology Risk (ITR)</v>
          </cell>
        </row>
        <row r="7">
          <cell r="B7" t="str">
            <v xml:space="preserve">Compliance </v>
          </cell>
        </row>
        <row r="8">
          <cell r="B8" t="str">
            <v>Living Wills</v>
          </cell>
        </row>
        <row r="9">
          <cell r="B9" t="str">
            <v>Group Legal</v>
          </cell>
        </row>
        <row r="10">
          <cell r="B10" t="str">
            <v>Group Tax</v>
          </cell>
        </row>
        <row r="11">
          <cell r="B11" t="str">
            <v>Human Resources (HR)</v>
          </cell>
        </row>
        <row r="12">
          <cell r="B12" t="str">
            <v>Anti Financial Crime (AFC)</v>
          </cell>
        </row>
        <row r="13">
          <cell r="B13" t="str">
            <v>Anti-Bribery and Corruption</v>
          </cell>
        </row>
        <row r="14">
          <cell r="B14" t="str">
            <v>Corporate Insurance</v>
          </cell>
        </row>
        <row r="15">
          <cell r="B15" t="str">
            <v>Group Sustainability</v>
          </cell>
        </row>
        <row r="16">
          <cell r="B16" t="str">
            <v>Reputational Risk</v>
          </cell>
        </row>
        <row r="17">
          <cell r="B17" t="str">
            <v xml:space="preserve">Disaster Recovery </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Constants Summary"/>
      <sheetName val="PARAMETRES"/>
      <sheetName val="GF Columns"/>
      <sheetName val="COST"/>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환율"/>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Cleaning &amp; Grubbing"/>
      <sheetName val="Sch-3"/>
      <sheetName val="Form 6"/>
      <sheetName val=" "/>
      <sheetName val="1"/>
      <sheetName val="COLUMN"/>
      <sheetName val="BOQ T4B"/>
      <sheetName val="HEAD"/>
      <sheetName val="????????"/>
      <sheetName val="Summary_Bank"/>
      <sheetName val="Load Details-220kV"/>
      <sheetName val="Option"/>
      <sheetName val="3mech"/>
      <sheetName val="2ELEC"/>
      <sheetName val="Material Rates"/>
      <sheetName val="Improvements"/>
      <sheetName val="Levels"/>
      <sheetName val="Material"/>
      <sheetName val="Plant &amp;  Machinery"/>
      <sheetName val="_TCS, NAGPUR-MANJIRI C_PROGRESS"/>
      <sheetName val="inWords"/>
      <sheetName val="Headings"/>
      <sheetName val="INDIGINEOUS ITEMS "/>
      <sheetName val="Discount &amp; Margin"/>
      <sheetName val="PointNo.5"/>
      <sheetName val="Rate_Analysis"/>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Intro."/>
      <sheetName val="WBS"/>
      <sheetName val="Fcst vs Budgets"/>
      <sheetName val="Detail In Door Stad"/>
      <sheetName val="St.co.91.5lvl"/>
      <sheetName val="Layer Table"/>
      <sheetName val="office"/>
      <sheetName val="Lab"/>
      <sheetName val="1-OBJ98 "/>
      <sheetName val="INTSHEET"/>
      <sheetName val="INTSHEET3"/>
      <sheetName val="master"/>
      <sheetName val="CCB"/>
      <sheetName val="COP Final"/>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ot-slab reinft"/>
      <sheetName val="SUPPLY -Sanitary Fixtures"/>
      <sheetName val="External"/>
      <sheetName val="ITEMS FOR CIVIL TENDER"/>
      <sheetName val="F Blk"/>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 Acc. Sched."/>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onc-foot-gradeslab"/>
      <sheetName val="Bill-12"/>
      <sheetName val="Ra  stair"/>
      <sheetName val="Cost annalysi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Sheet3 (2)"/>
      <sheetName val="FORM7"/>
      <sheetName val="Labour productivity"/>
      <sheetName val="Tender Summary"/>
      <sheetName val="PARASITIC"/>
      <sheetName val="status"/>
      <sheetName val="strain"/>
      <sheetName val="Material "/>
      <sheetName val="Labour &amp; Plant"/>
      <sheetName val="list"/>
      <sheetName val="currency"/>
      <sheetName val="Switch costs lookup"/>
      <sheetName val="Eqpmnt Plng"/>
      <sheetName val="A.O.R."/>
      <sheetName val="DetEst"/>
      <sheetName val="labour"/>
      <sheetName val="Data sheet"/>
      <sheetName val="Per Unit"/>
      <sheetName val="Preside"/>
      <sheetName val="InputPO_Del"/>
      <sheetName val="SILICATE"/>
      <sheetName val="Staff Acco."/>
      <sheetName val="factors"/>
      <sheetName val="RA_EIL"/>
      <sheetName val="RA_MKT_QUOTE"/>
      <sheetName val="STDEV-M30 (2)"/>
      <sheetName val="Customize Your Purchase Order"/>
      <sheetName val="lsd"/>
      <sheetName val="Summ"/>
      <sheetName val="Fossil_DCF"/>
      <sheetName val="concrete"/>
      <sheetName val="precast RC element"/>
      <sheetName val="Package 2"/>
      <sheetName val=" working Sheet"/>
      <sheetName val="P4-B"/>
      <sheetName val="NT-Expan 50mm UBF"/>
      <sheetName val="ANNX - I ( a )"/>
      <sheetName val="Material week"/>
      <sheetName val="OVERHEADS"/>
      <sheetName val="BASIS -DEC 08"/>
      <sheetName val="SA Input"/>
      <sheetName val="DSLP"/>
      <sheetName val="Extra Item"/>
      <sheetName val="Database"/>
      <sheetName val="SCHEDULE"/>
      <sheetName val="schedule nos"/>
      <sheetName val="Estimation"/>
      <sheetName val="cubes_M20"/>
      <sheetName val="Set"/>
      <sheetName val="Invoice"/>
      <sheetName val="Sheet 1"/>
      <sheetName val="Brand"/>
      <sheetName val="PackSize"/>
      <sheetName val="PackagingType"/>
      <sheetName val="Plant"/>
      <sheetName val="ProductHierarchy"/>
      <sheetName val="PurchGroup"/>
      <sheetName val="Sub-brand"/>
      <sheetName val="UOM"/>
      <sheetName val="Variant"/>
      <sheetName val="Annexue B"/>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Pier_-AC"/>
      <sheetName val="renovation_"/>
      <sheetName val="new_piloty"/>
      <sheetName val="Pier_-VENT"/>
      <sheetName val="BMS_-pier"/>
      <sheetName val="Cargo_-Vent"/>
      <sheetName val="BMS_-cargo"/>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precast_RC_element"/>
      <sheetName val="Package_2"/>
      <sheetName val="_working_Sheet"/>
      <sheetName val="BASIS_-DEC_08"/>
      <sheetName val="MB_Prod"/>
      <sheetName val="Extra_Item"/>
      <sheetName val="schedule_nos"/>
      <sheetName val="SA_Input"/>
      <sheetName val="NT-Expan_50mm_UBF"/>
      <sheetName val="ANNX_-_I_(_a_)"/>
      <sheetName val="Customize_Your_Purchase_Order"/>
      <sheetName val="STDEV-M30_(2)"/>
      <sheetName val="INPUT SHEET"/>
      <sheetName val="RES-PLANNING"/>
      <sheetName val="CCTV_EST1"/>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
      <sheetName val="Manpower"/>
      <sheetName val="BLOC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Names&amp;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2)"/>
      <sheetName val="Control Requirement 1"/>
      <sheetName val="Control Requirement Spreadsheet"/>
      <sheetName val="Sheet2"/>
      <sheetName val="Sheet1"/>
      <sheetName val="INFO--&gt;"/>
      <sheetName val="Critical Spend Categories"/>
      <sheetName val="Focus Jurisdictions"/>
      <sheetName val="Admin"/>
    </sheetNames>
    <sheetDataSet>
      <sheetData sheetId="0"/>
      <sheetData sheetId="1"/>
      <sheetData sheetId="2"/>
      <sheetData sheetId="3"/>
      <sheetData sheetId="4"/>
      <sheetData sheetId="5"/>
      <sheetData sheetId="6"/>
      <sheetData sheetId="7"/>
      <sheetData sheetId="8"/>
      <sheetData sheetId="9"/>
      <sheetData sheetId="10"/>
      <sheetData sheetId="11">
        <row r="1">
          <cell r="R1" t="str">
            <v>mandatory</v>
          </cell>
        </row>
        <row r="2">
          <cell r="R2" t="str">
            <v>non-mandatory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2)"/>
      <sheetName val="Portfolio Summary"/>
      <sheetName val="GBW"/>
      <sheetName val="Set"/>
      <sheetName val="Current Bill MB ref"/>
      <sheetName val="OpRes"/>
      <sheetName val="master"/>
      <sheetName val="Meas.-Hotel Part"/>
      <sheetName val="Builtup Area"/>
      <sheetName val="#REF"/>
      <sheetName val="Sheet1"/>
      <sheetName val="03 (2)"/>
      <sheetName val="Project Budget Worksheet"/>
      <sheetName val="IO LIST"/>
      <sheetName val="Fill this out first..."/>
      <sheetName val="PLAN_FEB97"/>
      <sheetName val="Income Statements"/>
      <sheetName val="Sheet3 _2_"/>
      <sheetName val="extra work elec bill "/>
      <sheetName val="Approved MTD Proj #'s"/>
      <sheetName val="compu"/>
      <sheetName val="BBEuros"/>
      <sheetName val="WIng F(Typical)"/>
      <sheetName val="Fin Sum"/>
      <sheetName val="BOQ T4B"/>
      <sheetName val="ABP inputs"/>
      <sheetName val="Synergy Sales Budget"/>
      <sheetName val="DEPRE"/>
      <sheetName val="QoQ Forecast"/>
      <sheetName val="InvoiceList"/>
      <sheetName val="Income &amp; Occupancy Customer"/>
      <sheetName val="RCC,Ret. Wall"/>
      <sheetName val="analysis"/>
      <sheetName val="Calculation (2)"/>
      <sheetName val="JCF"/>
      <sheetName val="Multiple output"/>
      <sheetName val="sheet6"/>
      <sheetName val="유통망계획"/>
      <sheetName val="Headings"/>
      <sheetName val="Formulas"/>
      <sheetName val="F1a-Pile"/>
      <sheetName val="CV"/>
      <sheetName val="ES(Kor)"/>
      <sheetName val="INDIGINEOUS ITEMS "/>
      <sheetName val="fco"/>
      <sheetName val="Summary"/>
      <sheetName val="노무비"/>
      <sheetName val="Material "/>
      <sheetName val="Labour &amp; Plant"/>
      <sheetName val="Lead"/>
      <sheetName val="Main-Material"/>
      <sheetName val="Legal Risk Analysis"/>
      <sheetName val="Design"/>
      <sheetName val="BOQ"/>
      <sheetName val=" B3"/>
      <sheetName val=" B1"/>
      <sheetName val="beam-reinft-IIInd floor"/>
      <sheetName val="Depreciation"/>
      <sheetName val="Data"/>
      <sheetName val="Load Details-220kV"/>
      <sheetName val="Sensitivity"/>
      <sheetName val="labour"/>
      <sheetName val="Cost summary"/>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Acc_10.5"/>
      <sheetName val="Vind-BtB"/>
      <sheetName val="PLGroupings"/>
      <sheetName val="Results"/>
      <sheetName val="Basement Budget"/>
      <sheetName val="소상 &quot;1&quot;"/>
      <sheetName val="Variables_x"/>
      <sheetName val="Variables"/>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Non-Factory"/>
      <sheetName val="Publicbuilding"/>
      <sheetName val=""/>
      <sheetName val="Elec Summ"/>
      <sheetName val="ELEC BOQ"/>
      <sheetName val="TRACK BUSWAY"/>
      <sheetName val="BBT"/>
      <sheetName val="LIGHTING"/>
      <sheetName val="LMS"/>
      <sheetName val="Beam at Ground flr lvl(Steel)"/>
      <sheetName val="INDEX"/>
      <sheetName val="AREAS"/>
      <sheetName val="sumary"/>
      <sheetName val="1st -vpd"/>
      <sheetName val="RCC Rates"/>
      <sheetName val="conc-foot-gradeslab"/>
      <sheetName val="Material List "/>
      <sheetName val="Master list"/>
      <sheetName val="Labour List"/>
      <sheetName val="Material List"/>
      <sheetName val="Labor abs-NMR"/>
      <sheetName val="Rates"/>
      <sheetName val="SCHEDULE"/>
      <sheetName val="Database"/>
      <sheetName val="schedule nos"/>
      <sheetName val="WT-LIST"/>
      <sheetName val="Material"/>
      <sheetName val="NEW-IDs Fun &amp; Group"/>
      <sheetName val="XZLC003_PART1"/>
      <sheetName val="q-details"/>
      <sheetName val="final abstract"/>
      <sheetName val="Rate analysis"/>
      <sheetName val="02"/>
      <sheetName val="03"/>
      <sheetName val="04"/>
      <sheetName val="01"/>
      <sheetName val="sept-plan"/>
      <sheetName val="Occ"/>
      <sheetName val="Demand"/>
      <sheetName val="Ref"/>
      <sheetName val="Main Sheet (MTD)"/>
      <sheetName val="Consl Daily Report"/>
      <sheetName val="Preside"/>
      <sheetName val="balance sheet"/>
      <sheetName val=" Acc. Sched."/>
      <sheetName val="classes"/>
      <sheetName val="IT Block"/>
      <sheetName val="Location CODE"/>
      <sheetName val="Location TYPE"/>
      <sheetName val="sub class"/>
      <sheetName val=" sub Loc "/>
      <sheetName val="Company"/>
      <sheetName val="LBO"/>
      <sheetName val="EDS  Bestshore Migration"/>
      <sheetName val="NewCo"/>
      <sheetName val="Summary Excise"/>
      <sheetName val="Grouping Master"/>
      <sheetName val="LISTS"/>
      <sheetName val="02022005"/>
      <sheetName val="16022005"/>
      <sheetName val="05012005"/>
      <sheetName val="19012005"/>
      <sheetName val="02032005"/>
      <sheetName val="16032005"/>
      <sheetName val="30032005"/>
      <sheetName val="van_khuon"/>
      <sheetName val="IDC_macro"/>
      <sheetName val="Portfolio_Summary"/>
      <sheetName val="Current_Bill_MB_ref"/>
      <sheetName val="Meas_-Hotel_Part"/>
      <sheetName val="Fin_Sum"/>
      <sheetName val="BS"/>
      <sheetName val="Other BS Sch 5-9"/>
      <sheetName val="Excess Calc"/>
      <sheetName val="RES-PLANNING"/>
      <sheetName val="Cost_any"/>
      <sheetName val="10. &amp; 11. Rate Code &amp; BQ"/>
      <sheetName val="Code"/>
      <sheetName val="new_data"/>
      <sheetName val="earnmodl"/>
      <sheetName val="Dom Cell (IS)"/>
      <sheetName val="RNT"/>
      <sheetName val="Combi"/>
      <sheetName val="FlashMgtMo"/>
      <sheetName val="FlashMgtYTD"/>
      <sheetName val="QoQ In Lakhs"/>
      <sheetName val="Main workings"/>
      <sheetName val="GENERAL2"/>
      <sheetName val="P &amp; L"/>
      <sheetName val="YTD"/>
      <sheetName val="Pay_Sep06"/>
      <sheetName val="Balance Sheet "/>
      <sheetName val="Master Price List"/>
      <sheetName val="reference"/>
      <sheetName val="vb 9&amp;10"/>
      <sheetName val="AOR"/>
      <sheetName val="Factor_Sheet"/>
      <sheetName val="MASTER_RATE ANALYSIS"/>
      <sheetName val="Valuation - block 2"/>
      <sheetName val="International"/>
      <sheetName val="Internet"/>
      <sheetName val="Base Assumptions"/>
      <sheetName val="FITZ MORT 94"/>
      <sheetName val="Goldberg Portfolio Combined"/>
      <sheetName val="Intaccrual"/>
      <sheetName val="SBU"/>
      <sheetName val="GenAssump"/>
      <sheetName val="TB"/>
      <sheetName val="A-Mum"/>
      <sheetName val="ras"/>
      <sheetName val="BKCSTOCKVAL"/>
      <sheetName val="MAHSTOCKVAL"/>
      <sheetName val="Portfolio_Summary1"/>
      <sheetName val="Current_Bill_MB_ref1"/>
      <sheetName val="Meas_-Hotel_Part1"/>
      <sheetName val="A1-Continuous"/>
      <sheetName val="Debtors analysis"/>
      <sheetName val="SEW4"/>
      <sheetName val="MIS - kINR"/>
      <sheetName val="pile Fabrication"/>
      <sheetName val="Improvements"/>
      <sheetName val="Sheet4"/>
      <sheetName val="CrRajWMM"/>
      <sheetName val="Open Items-311208"/>
      <sheetName val="DET0900"/>
      <sheetName val="Theatre mgmt cont"/>
      <sheetName val="FORM7"/>
      <sheetName val="目录"/>
      <sheetName val="PRECAST lightconc-II"/>
      <sheetName val="Tender Summary"/>
      <sheetName val="RA"/>
      <sheetName val="Bill 1-BOQ-Civil Works"/>
      <sheetName val="UNP-NCW "/>
      <sheetName val="4.4 External Plaster"/>
      <sheetName val="CashFlow"/>
      <sheetName val="IMPORT_T12"/>
      <sheetName val="KPM_DT"/>
      <sheetName val="Task"/>
      <sheetName val="Training Deposits coding"/>
      <sheetName val="M-2 Adjusted"/>
      <sheetName val="OpTrack"/>
      <sheetName val="USB 1"/>
      <sheetName val="Phasing"/>
      <sheetName val=" "/>
      <sheetName val="Graph (LGEN)"/>
      <sheetName val="out_prog"/>
      <sheetName val="선적schedule (2)"/>
      <sheetName val="steam outlet"/>
      <sheetName val="BOQ Distribution"/>
      <sheetName val="wordsdata"/>
      <sheetName val="GM &amp; TA"/>
      <sheetName val="MFG"/>
      <sheetName val="Leasing Commision"/>
      <sheetName val="9. Package split - Cost "/>
      <sheetName val="horizontal"/>
      <sheetName val="Checks"/>
      <sheetName val="Cash Flow Working"/>
      <sheetName val="15-21"/>
      <sheetName val="Commercial Research"/>
      <sheetName val="269T(final)"/>
      <sheetName val="Params"/>
      <sheetName val="Operating Statistics"/>
      <sheetName val="Trial Balance"/>
      <sheetName val="Contribution"/>
      <sheetName val="Rx"/>
      <sheetName val="Menu"/>
      <sheetName val="Licences"/>
      <sheetName val="FA Schedule Dec 07"/>
      <sheetName val="P.R. TAXES"/>
      <sheetName val="BILLING SUM"/>
      <sheetName val="Service Invoice"/>
      <sheetName val="SODA02"/>
      <sheetName val="Cover"/>
      <sheetName val="Retail Mall"/>
      <sheetName val="Sheet3"/>
      <sheetName val="MIS AC wise"/>
      <sheetName val="apr-aug"/>
      <sheetName val="Rev Opt - Rollup"/>
      <sheetName val="?????"/>
      <sheetName val="Budget Summary"/>
      <sheetName val="PERHW"/>
      <sheetName val="Standalone"/>
      <sheetName val="RATE LIST (2)"/>
      <sheetName val="EXPENSES"/>
      <sheetName val="AOP13"/>
      <sheetName val="ANN.K"/>
      <sheetName val="CAP"/>
      <sheetName val="Macro1"/>
      <sheetName val="97-98"/>
      <sheetName val="LBO Financials"/>
      <sheetName val="CARO"/>
      <sheetName val="Control Sheet"/>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Recon"/>
      <sheetName val="Loss 3004"/>
      <sheetName val="Reconciliation of GL &amp; FAR"/>
      <sheetName val="FA"/>
      <sheetName val="ITEM  STUDY (2)"/>
      <sheetName val="EVA1"/>
      <sheetName val="Felix Street Summary"/>
      <sheetName val="Newspapers"/>
      <sheetName val="AccDil"/>
      <sheetName val="S &amp; A"/>
      <sheetName val="RA-markate"/>
      <sheetName val="03_(2)"/>
      <sheetName val="WIng_F(Typical)"/>
      <sheetName val="Legal_Risk_Analysis"/>
      <sheetName val="SOPMA_DD"/>
      <sheetName val="Architectural_Summary"/>
      <sheetName val="TB_FOR_MIS1"/>
      <sheetName val="INPUT_SHEET"/>
      <sheetName val="March_Analysts"/>
      <sheetName val="EXHIBIT&quot;_T&quot;"/>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Names&amp;Cases"/>
      <sheetName val="CASHFLOWS"/>
      <sheetName val="Boiler&amp;TG"/>
      <sheetName val="Dep"/>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Night Shift"/>
      <sheetName val="Fin. Assumpt. - Sensitivities"/>
      <sheetName val="Fin"/>
      <sheetName val="Intro"/>
      <sheetName val="Approval"/>
      <sheetName val=" COP"/>
      <sheetName val="Timesheet"/>
      <sheetName val="Loads"/>
      <sheetName val="p&amp;m"/>
      <sheetName val="Rollup"/>
      <sheetName val="notes"/>
      <sheetName val="FA(Apr 07)"/>
      <sheetName val="Reco O.S"/>
      <sheetName val="Accounts"/>
      <sheetName val="BOM"/>
      <sheetName val="currency"/>
      <sheetName val="TMasterCurrency"/>
      <sheetName val="TMasterSeg"/>
      <sheetName val="Portfolio_Summary2"/>
      <sheetName val="Current_Bill_MB_ref2"/>
      <sheetName val="Meas_-Hotel_Part2"/>
      <sheetName val="Fill_this_out_first___"/>
      <sheetName val="extra_work_elec_bill_"/>
      <sheetName val="_Acc__Sched_"/>
      <sheetName val="10__&amp;_11__Rate_Code_&amp;_BQ"/>
      <sheetName val="NEW-IDs_Fun_&amp;_Group"/>
      <sheetName val="TBAL9697 -group wise  sdpl"/>
      <sheetName val="Scope"/>
      <sheetName val="Multipliers &amp; KRA"/>
      <sheetName val="ASSETS P&amp;M"/>
      <sheetName val="Assets Land &amp; Mise FA"/>
      <sheetName val="OHT_Abs"/>
      <sheetName val="Settings"/>
      <sheetName val="1"/>
      <sheetName val="Linked Lead"/>
      <sheetName val="hist&amp;proj"/>
      <sheetName val="drop-dwn list"/>
      <sheetName val="Base data Security Procedures"/>
      <sheetName val="Summary_Local"/>
      <sheetName val="Hardware"/>
      <sheetName val="dlvoid"/>
      <sheetName val="L"/>
      <sheetName val="Notes-pivot1 "/>
      <sheetName val="tngst1"/>
      <sheetName val="Estimate"/>
      <sheetName val="12-ACTPL"/>
      <sheetName val="exp"/>
      <sheetName val="Kontensalden"/>
      <sheetName val="Micro"/>
      <sheetName val="Macro"/>
      <sheetName val="Scaff-Rose"/>
      <sheetName val="Control"/>
      <sheetName val="cl 14 Annex 7 "/>
      <sheetName val="Encl 7A"/>
      <sheetName val="oresreqsum"/>
      <sheetName val="Timeline"/>
      <sheetName val="Assump"/>
      <sheetName val="ES"/>
      <sheetName val="A.O.R."/>
      <sheetName val="HBI NCD"/>
      <sheetName val="CUSTOM Jun99"/>
      <sheetName val="Overall Summary"/>
      <sheetName val="Assumption"/>
      <sheetName val="TDS Certificate-Format"/>
      <sheetName val="FY2001-02"/>
      <sheetName val="XLR_NoRangeSheet"/>
      <sheetName val="HRD1"/>
      <sheetName val="Taluka wise dealer (2)"/>
      <sheetName val="STAFFSCHED "/>
      <sheetName val="Basic Rate"/>
      <sheetName val="4 Annex 1 Basic rate"/>
      <sheetName val="Other notes"/>
      <sheetName val="SP Break Up"/>
      <sheetName val="HELP"/>
      <sheetName val="BS-2005"/>
      <sheetName val="MAIN_MENU"/>
      <sheetName val="exec summ"/>
      <sheetName val="Ins Erection"/>
      <sheetName val="TH"/>
      <sheetName val="Redelvery provision changed"/>
      <sheetName val="Capital Structure"/>
      <sheetName val="IO"/>
      <sheetName val="GROUPING"/>
      <sheetName val="Power &amp; Fuel (S)"/>
      <sheetName val="concrete"/>
      <sheetName val="CSCCincSKR"/>
      <sheetName val="crs"/>
      <sheetName val="PIMS"/>
      <sheetName val="SCH 10"/>
      <sheetName val="SAP EMP"/>
      <sheetName val="schedules"/>
      <sheetName val="details"/>
      <sheetName val="BQ"/>
      <sheetName val="Base"/>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ow r="65">
          <cell r="A65" t="str">
            <v>(II)</v>
          </cell>
        </row>
      </sheetData>
      <sheetData sheetId="110"/>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65">
          <cell r="A65" t="str">
            <v>(II)</v>
          </cell>
        </row>
      </sheetData>
      <sheetData sheetId="269">
        <row r="65">
          <cell r="A65" t="str">
            <v>(II)</v>
          </cell>
        </row>
      </sheetData>
      <sheetData sheetId="270">
        <row r="65">
          <cell r="A65" t="str">
            <v>(II)</v>
          </cell>
        </row>
      </sheetData>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ow r="65">
          <cell r="A65" t="str">
            <v>(II)</v>
          </cell>
        </row>
      </sheetData>
      <sheetData sheetId="309">
        <row r="65">
          <cell r="A65" t="str">
            <v>(II)</v>
          </cell>
        </row>
      </sheetData>
      <sheetData sheetId="310">
        <row r="65">
          <cell r="A65" t="str">
            <v>(II)</v>
          </cell>
        </row>
      </sheetData>
      <sheetData sheetId="311" refreshError="1"/>
      <sheetData sheetId="312" refreshError="1"/>
      <sheetData sheetId="313" refreshError="1"/>
      <sheetData sheetId="314">
        <row r="65">
          <cell r="A65" t="str">
            <v>(II)</v>
          </cell>
        </row>
      </sheetData>
      <sheetData sheetId="315">
        <row r="65">
          <cell r="A65" t="str">
            <v>(II)</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65">
          <cell r="A65" t="str">
            <v>(II)</v>
          </cell>
        </row>
      </sheetData>
      <sheetData sheetId="378">
        <row r="65">
          <cell r="A65" t="str">
            <v>(II)</v>
          </cell>
        </row>
      </sheetData>
      <sheetData sheetId="379">
        <row r="65">
          <cell r="A65" t="str">
            <v>(II)</v>
          </cell>
        </row>
      </sheetData>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65">
          <cell r="A65" t="str">
            <v>(II)</v>
          </cell>
        </row>
      </sheetData>
      <sheetData sheetId="458">
        <row r="65">
          <cell r="A65" t="str">
            <v>(II)</v>
          </cell>
        </row>
      </sheetData>
      <sheetData sheetId="459">
        <row r="65">
          <cell r="A65" t="str">
            <v>(II)</v>
          </cell>
        </row>
      </sheetData>
      <sheetData sheetId="460">
        <row r="65">
          <cell r="A65" t="str">
            <v>(II)</v>
          </cell>
        </row>
      </sheetData>
      <sheetData sheetId="461">
        <row r="65">
          <cell r="A65" t="str">
            <v>(II)</v>
          </cell>
        </row>
      </sheetData>
      <sheetData sheetId="462">
        <row r="65">
          <cell r="A65" t="str">
            <v>(II)</v>
          </cell>
        </row>
      </sheetData>
      <sheetData sheetId="463">
        <row r="65">
          <cell r="A65" t="str">
            <v>(II)</v>
          </cell>
        </row>
      </sheetData>
      <sheetData sheetId="464">
        <row r="65">
          <cell r="A65" t="str">
            <v>(II)</v>
          </cell>
        </row>
      </sheetData>
      <sheetData sheetId="465">
        <row r="65">
          <cell r="A65" t="str">
            <v>(II)</v>
          </cell>
        </row>
      </sheetData>
      <sheetData sheetId="466">
        <row r="65">
          <cell r="A65" t="str">
            <v>(II)</v>
          </cell>
        </row>
      </sheetData>
      <sheetData sheetId="467">
        <row r="65">
          <cell r="A65" t="str">
            <v>(II)</v>
          </cell>
        </row>
      </sheetData>
      <sheetData sheetId="468">
        <row r="65">
          <cell r="A65" t="str">
            <v>(II)</v>
          </cell>
        </row>
      </sheetData>
      <sheetData sheetId="469">
        <row r="65">
          <cell r="A65" t="str">
            <v>(II)</v>
          </cell>
        </row>
      </sheetData>
      <sheetData sheetId="470">
        <row r="65">
          <cell r="A65" t="str">
            <v>(II)</v>
          </cell>
        </row>
      </sheetData>
      <sheetData sheetId="471">
        <row r="65">
          <cell r="A65" t="str">
            <v>(II)</v>
          </cell>
        </row>
      </sheetData>
      <sheetData sheetId="472">
        <row r="65">
          <cell r="A65" t="str">
            <v>(II)</v>
          </cell>
        </row>
      </sheetData>
      <sheetData sheetId="473">
        <row r="65">
          <cell r="A65" t="str">
            <v>(II)</v>
          </cell>
        </row>
      </sheetData>
      <sheetData sheetId="474">
        <row r="65">
          <cell r="A65" t="str">
            <v>(II)</v>
          </cell>
        </row>
      </sheetData>
      <sheetData sheetId="475">
        <row r="65">
          <cell r="A65" t="str">
            <v>(II)</v>
          </cell>
        </row>
      </sheetData>
      <sheetData sheetId="476">
        <row r="65">
          <cell r="A65" t="str">
            <v>(II)</v>
          </cell>
        </row>
      </sheetData>
      <sheetData sheetId="477">
        <row r="65">
          <cell r="A65" t="str">
            <v>(II)</v>
          </cell>
        </row>
      </sheetData>
      <sheetData sheetId="478">
        <row r="65">
          <cell r="A65" t="str">
            <v>(II)</v>
          </cell>
        </row>
      </sheetData>
      <sheetData sheetId="479">
        <row r="65">
          <cell r="A65" t="str">
            <v>(II)</v>
          </cell>
        </row>
      </sheetData>
      <sheetData sheetId="480">
        <row r="65">
          <cell r="A65" t="str">
            <v>(II)</v>
          </cell>
        </row>
      </sheetData>
      <sheetData sheetId="481">
        <row r="65">
          <cell r="A65" t="str">
            <v>(II)</v>
          </cell>
        </row>
      </sheetData>
      <sheetData sheetId="482"/>
      <sheetData sheetId="483">
        <row r="65">
          <cell r="A65" t="str">
            <v>(II)</v>
          </cell>
        </row>
      </sheetData>
      <sheetData sheetId="484">
        <row r="65">
          <cell r="A65" t="str">
            <v>(II)</v>
          </cell>
        </row>
      </sheetData>
      <sheetData sheetId="485">
        <row r="65">
          <cell r="A65" t="str">
            <v>(II)</v>
          </cell>
        </row>
      </sheetData>
      <sheetData sheetId="486">
        <row r="65">
          <cell r="A65" t="str">
            <v>(II)</v>
          </cell>
        </row>
      </sheetData>
      <sheetData sheetId="487">
        <row r="65">
          <cell r="A65" t="str">
            <v>(II)</v>
          </cell>
        </row>
      </sheetData>
      <sheetData sheetId="488">
        <row r="65">
          <cell r="A65" t="str">
            <v>(II)</v>
          </cell>
        </row>
      </sheetData>
      <sheetData sheetId="489">
        <row r="65">
          <cell r="A65" t="str">
            <v>(II)</v>
          </cell>
        </row>
      </sheetData>
      <sheetData sheetId="490">
        <row r="65">
          <cell r="A65" t="str">
            <v>(II)</v>
          </cell>
        </row>
      </sheetData>
      <sheetData sheetId="491">
        <row r="65">
          <cell r="A65" t="str">
            <v>(II)</v>
          </cell>
        </row>
      </sheetData>
      <sheetData sheetId="492">
        <row r="65">
          <cell r="A65" t="str">
            <v>(II)</v>
          </cell>
        </row>
      </sheetData>
      <sheetData sheetId="493"/>
      <sheetData sheetId="494"/>
      <sheetData sheetId="495">
        <row r="65">
          <cell r="A65" t="str">
            <v>(II)</v>
          </cell>
        </row>
      </sheetData>
      <sheetData sheetId="496">
        <row r="65">
          <cell r="A65" t="str">
            <v>(II)</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view="pageBreakPreview" topLeftCell="A4" zoomScale="85" zoomScaleNormal="85" zoomScaleSheetLayoutView="85" workbookViewId="0">
      <selection activeCell="B31" sqref="B31"/>
    </sheetView>
  </sheetViews>
  <sheetFormatPr defaultColWidth="9.140625" defaultRowHeight="21" x14ac:dyDescent="0.35"/>
  <cols>
    <col min="1" max="1" width="11.5703125" style="25" customWidth="1"/>
    <col min="2" max="2" width="56.5703125" style="25" customWidth="1"/>
    <col min="3" max="3" width="21.28515625" style="25" customWidth="1"/>
    <col min="4" max="4" width="27.42578125" style="25" customWidth="1"/>
    <col min="5" max="16384" width="9.140625" style="25"/>
  </cols>
  <sheetData>
    <row r="1" spans="1:4" x14ac:dyDescent="0.35">
      <c r="A1" s="298" t="s">
        <v>32</v>
      </c>
      <c r="B1" s="298"/>
    </row>
    <row r="2" spans="1:4" x14ac:dyDescent="0.35">
      <c r="A2" s="298" t="s">
        <v>256</v>
      </c>
      <c r="B2" s="298"/>
      <c r="C2" s="26"/>
    </row>
    <row r="3" spans="1:4" x14ac:dyDescent="0.35">
      <c r="A3" s="266"/>
      <c r="B3" s="266"/>
      <c r="C3" s="266"/>
    </row>
    <row r="4" spans="1:4" x14ac:dyDescent="0.35">
      <c r="A4" s="27"/>
    </row>
    <row r="5" spans="1:4" x14ac:dyDescent="0.35">
      <c r="A5" s="28"/>
      <c r="B5" s="29"/>
      <c r="C5" s="30"/>
    </row>
    <row r="6" spans="1:4" x14ac:dyDescent="0.35">
      <c r="B6" s="267"/>
      <c r="C6" s="267"/>
    </row>
    <row r="7" spans="1:4" x14ac:dyDescent="0.35">
      <c r="A7" s="266" t="s">
        <v>16</v>
      </c>
      <c r="B7" s="266"/>
      <c r="C7" s="31"/>
    </row>
    <row r="8" spans="1:4" ht="21.75" thickBot="1" x14ac:dyDescent="0.4">
      <c r="A8" s="32"/>
      <c r="B8" s="32"/>
      <c r="C8" s="31"/>
    </row>
    <row r="9" spans="1:4" ht="27.75" customHeight="1" thickBot="1" x14ac:dyDescent="0.4">
      <c r="A9" s="301" t="s">
        <v>10</v>
      </c>
      <c r="B9" s="302" t="s">
        <v>11</v>
      </c>
      <c r="C9" s="303" t="s">
        <v>12</v>
      </c>
    </row>
    <row r="10" spans="1:4" s="34" customFormat="1" ht="43.5" customHeight="1" x14ac:dyDescent="0.2">
      <c r="A10" s="299" t="s">
        <v>240</v>
      </c>
      <c r="B10" s="34" t="s">
        <v>238</v>
      </c>
      <c r="C10" s="300">
        <f>'HVAC BOQ'!K86</f>
        <v>18947512</v>
      </c>
    </row>
    <row r="11" spans="1:4" s="34" customFormat="1" ht="43.5" customHeight="1" x14ac:dyDescent="0.2">
      <c r="A11" s="33" t="s">
        <v>241</v>
      </c>
      <c r="B11" s="36" t="s">
        <v>243</v>
      </c>
      <c r="C11" s="35">
        <f>'FSS - BOQ'!K29</f>
        <v>1662600</v>
      </c>
    </row>
    <row r="12" spans="1:4" s="34" customFormat="1" ht="43.5" customHeight="1" x14ac:dyDescent="0.2">
      <c r="A12" s="33" t="s">
        <v>242</v>
      </c>
      <c r="B12" s="36" t="s">
        <v>239</v>
      </c>
      <c r="C12" s="35">
        <f>'Plumbing BOQ'!K82</f>
        <v>2270315</v>
      </c>
    </row>
    <row r="13" spans="1:4" ht="24.95" customHeight="1" x14ac:dyDescent="0.35">
      <c r="A13" s="33"/>
      <c r="B13" s="37" t="s">
        <v>13</v>
      </c>
      <c r="C13" s="38">
        <f>SUM(C10:C12)</f>
        <v>22880427</v>
      </c>
      <c r="D13" s="39"/>
    </row>
    <row r="14" spans="1:4" ht="24.95" customHeight="1" x14ac:dyDescent="0.35">
      <c r="A14" s="33"/>
      <c r="B14" s="37" t="s">
        <v>15</v>
      </c>
      <c r="C14" s="40"/>
    </row>
    <row r="15" spans="1:4" ht="20.25" customHeight="1" x14ac:dyDescent="0.35">
      <c r="A15" s="268" t="s">
        <v>14</v>
      </c>
      <c r="B15" s="268"/>
      <c r="C15" s="41">
        <f>C13</f>
        <v>22880427</v>
      </c>
    </row>
    <row r="16" spans="1:4" x14ac:dyDescent="0.35">
      <c r="A16" s="42"/>
      <c r="B16" s="42" t="s">
        <v>19</v>
      </c>
      <c r="C16" s="43">
        <v>10000</v>
      </c>
    </row>
    <row r="17" spans="1:3" x14ac:dyDescent="0.35">
      <c r="A17" s="42"/>
      <c r="B17" s="42" t="s">
        <v>20</v>
      </c>
      <c r="C17" s="43"/>
    </row>
    <row r="18" spans="1:3" x14ac:dyDescent="0.35">
      <c r="A18" s="44"/>
      <c r="B18" s="45"/>
    </row>
    <row r="19" spans="1:3" x14ac:dyDescent="0.35">
      <c r="A19" s="44"/>
      <c r="B19" s="45"/>
    </row>
    <row r="20" spans="1:3" x14ac:dyDescent="0.35">
      <c r="A20" s="44"/>
      <c r="B20" s="45"/>
    </row>
    <row r="21" spans="1:3" x14ac:dyDescent="0.35">
      <c r="A21" s="44"/>
      <c r="B21" s="45"/>
    </row>
    <row r="22" spans="1:3" ht="21.75" customHeight="1" x14ac:dyDescent="0.35">
      <c r="A22" s="269" t="s">
        <v>244</v>
      </c>
      <c r="B22" s="269"/>
      <c r="C22" s="269"/>
    </row>
    <row r="23" spans="1:3" ht="21.75" customHeight="1" x14ac:dyDescent="0.35">
      <c r="A23" s="45" t="s">
        <v>245</v>
      </c>
      <c r="B23" s="45"/>
    </row>
    <row r="24" spans="1:3" ht="21.75" customHeight="1" x14ac:dyDescent="0.35">
      <c r="A24" s="45" t="s">
        <v>246</v>
      </c>
      <c r="B24" s="45"/>
    </row>
    <row r="25" spans="1:3" x14ac:dyDescent="0.35">
      <c r="A25" s="45"/>
      <c r="B25" s="45"/>
    </row>
    <row r="26" spans="1:3" x14ac:dyDescent="0.35">
      <c r="A26" s="46"/>
      <c r="B26" s="45"/>
    </row>
    <row r="27" spans="1:3" x14ac:dyDescent="0.35">
      <c r="A27" s="47"/>
      <c r="B27" s="45"/>
    </row>
    <row r="28" spans="1:3" x14ac:dyDescent="0.35">
      <c r="A28" s="46"/>
      <c r="B28" s="45"/>
    </row>
    <row r="29" spans="1:3" x14ac:dyDescent="0.35">
      <c r="A29" s="46"/>
      <c r="B29" s="48"/>
    </row>
    <row r="30" spans="1:3" x14ac:dyDescent="0.35">
      <c r="A30" s="49"/>
      <c r="B30" s="50"/>
    </row>
    <row r="31" spans="1:3" x14ac:dyDescent="0.35">
      <c r="A31" s="49"/>
      <c r="B31" s="50"/>
    </row>
    <row r="32" spans="1:3" x14ac:dyDescent="0.35">
      <c r="A32" s="49"/>
      <c r="B32" s="51"/>
    </row>
  </sheetData>
  <mergeCells count="7">
    <mergeCell ref="A1:B1"/>
    <mergeCell ref="A2:B2"/>
    <mergeCell ref="A3:C3"/>
    <mergeCell ref="B6:C6"/>
    <mergeCell ref="A7:B7"/>
    <mergeCell ref="A15:B15"/>
    <mergeCell ref="A22:C22"/>
  </mergeCells>
  <pageMargins left="0.88" right="0.7" top="1.53" bottom="0.75" header="0.26"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164"/>
  <sheetViews>
    <sheetView showGridLines="0" tabSelected="1" view="pageBreakPreview" zoomScale="90" zoomScaleNormal="100" zoomScaleSheetLayoutView="90" workbookViewId="0">
      <pane ySplit="8" topLeftCell="A12" activePane="bottomLeft" state="frozen"/>
      <selection pane="bottomLeft" activeCell="L17" sqref="L17"/>
    </sheetView>
  </sheetViews>
  <sheetFormatPr defaultColWidth="9.85546875" defaultRowHeight="15.75" x14ac:dyDescent="0.25"/>
  <cols>
    <col min="1" max="1" width="4.7109375" style="137" customWidth="1"/>
    <col min="2" max="2" width="6.42578125" style="138" customWidth="1"/>
    <col min="3" max="3" width="60.85546875" style="79" customWidth="1"/>
    <col min="4" max="4" width="7.140625" style="137" customWidth="1"/>
    <col min="5" max="5" width="9.140625" style="139" customWidth="1"/>
    <col min="6" max="6" width="12.85546875" style="139" customWidth="1"/>
    <col min="7" max="7" width="12.140625" style="135" customWidth="1"/>
    <col min="8" max="8" width="16.42578125" style="135" customWidth="1"/>
    <col min="9" max="9" width="12.28515625" style="135" customWidth="1"/>
    <col min="10" max="10" width="15.85546875" style="135" customWidth="1"/>
    <col min="11" max="11" width="21.85546875" style="135" customWidth="1"/>
    <col min="12" max="12" width="20.5703125" style="79" customWidth="1"/>
    <col min="13" max="13" width="19.28515625" style="79" customWidth="1"/>
    <col min="14" max="15" width="14.28515625" style="79" bestFit="1" customWidth="1"/>
    <col min="16" max="16384" width="9.85546875" style="79"/>
  </cols>
  <sheetData>
    <row r="1" spans="1:13" s="52" customFormat="1" ht="18" customHeight="1" x14ac:dyDescent="0.2">
      <c r="A1" s="1" t="s">
        <v>0</v>
      </c>
      <c r="B1" s="2"/>
      <c r="D1" s="63"/>
      <c r="E1" s="64"/>
      <c r="F1" s="64"/>
      <c r="G1" s="65"/>
      <c r="H1" s="65"/>
      <c r="I1" s="65"/>
      <c r="J1" s="65"/>
      <c r="K1" s="66"/>
    </row>
    <row r="2" spans="1:13" s="52" customFormat="1" ht="18" customHeight="1" x14ac:dyDescent="0.2">
      <c r="A2" s="54" t="s">
        <v>31</v>
      </c>
      <c r="B2" s="2"/>
      <c r="D2" s="63"/>
      <c r="E2" s="64"/>
      <c r="F2" s="64"/>
      <c r="G2" s="65"/>
      <c r="H2" s="65"/>
      <c r="I2" s="65"/>
      <c r="J2" s="65"/>
      <c r="K2" s="65"/>
    </row>
    <row r="3" spans="1:13" s="52" customFormat="1" ht="8.25" customHeight="1" x14ac:dyDescent="0.2">
      <c r="A3" s="1"/>
      <c r="B3" s="2"/>
      <c r="D3" s="63"/>
      <c r="E3" s="64"/>
      <c r="F3" s="64"/>
      <c r="G3" s="65"/>
      <c r="H3" s="65"/>
      <c r="I3" s="65"/>
      <c r="J3" s="65"/>
      <c r="K3" s="65"/>
    </row>
    <row r="4" spans="1:13" s="52" customFormat="1" ht="18" customHeight="1" x14ac:dyDescent="0.2">
      <c r="A4" s="1" t="s">
        <v>32</v>
      </c>
      <c r="B4" s="2"/>
      <c r="D4" s="63"/>
      <c r="E4" s="64"/>
      <c r="F4" s="64"/>
      <c r="G4" s="65"/>
      <c r="H4" s="65"/>
      <c r="I4" s="65"/>
      <c r="J4" s="65"/>
      <c r="K4" s="66" t="s">
        <v>33</v>
      </c>
    </row>
    <row r="5" spans="1:13" s="52" customFormat="1" ht="18" customHeight="1" x14ac:dyDescent="0.2">
      <c r="A5" s="54" t="s">
        <v>34</v>
      </c>
      <c r="B5" s="2"/>
      <c r="D5" s="63"/>
      <c r="E5" s="64"/>
      <c r="F5" s="64"/>
      <c r="G5" s="65"/>
      <c r="H5" s="65"/>
      <c r="I5" s="65"/>
      <c r="J5" s="65"/>
      <c r="K5" s="66" t="s">
        <v>35</v>
      </c>
    </row>
    <row r="6" spans="1:13" s="52" customFormat="1" ht="5.25" customHeight="1" thickBot="1" x14ac:dyDescent="0.25">
      <c r="A6" s="1"/>
      <c r="B6" s="2"/>
      <c r="D6" s="63"/>
      <c r="E6" s="64"/>
      <c r="F6" s="64"/>
      <c r="G6" s="65"/>
      <c r="H6" s="65"/>
      <c r="I6" s="65"/>
      <c r="J6" s="65"/>
      <c r="K6" s="66"/>
    </row>
    <row r="7" spans="1:13" s="52" customFormat="1" ht="18" customHeight="1" x14ac:dyDescent="0.2">
      <c r="A7" s="1"/>
      <c r="B7" s="2"/>
      <c r="D7" s="63"/>
      <c r="E7" s="67"/>
      <c r="F7" s="67"/>
      <c r="G7" s="275" t="s">
        <v>36</v>
      </c>
      <c r="H7" s="276"/>
      <c r="I7" s="276" t="s">
        <v>37</v>
      </c>
      <c r="J7" s="276"/>
      <c r="K7" s="68" t="s">
        <v>38</v>
      </c>
      <c r="L7" s="271" t="s">
        <v>24</v>
      </c>
      <c r="M7" s="272" t="s">
        <v>25</v>
      </c>
    </row>
    <row r="8" spans="1:13" s="72" customFormat="1" ht="24" customHeight="1" x14ac:dyDescent="0.2">
      <c r="A8" s="277" t="s">
        <v>39</v>
      </c>
      <c r="B8" s="277"/>
      <c r="C8" s="69" t="s">
        <v>2</v>
      </c>
      <c r="D8" s="69" t="s">
        <v>29</v>
      </c>
      <c r="E8" s="70" t="s">
        <v>28</v>
      </c>
      <c r="F8" s="70" t="s">
        <v>23</v>
      </c>
      <c r="G8" s="71" t="s">
        <v>40</v>
      </c>
      <c r="H8" s="71" t="s">
        <v>12</v>
      </c>
      <c r="I8" s="71" t="s">
        <v>40</v>
      </c>
      <c r="J8" s="71" t="s">
        <v>12</v>
      </c>
      <c r="K8" s="71" t="s">
        <v>41</v>
      </c>
      <c r="L8" s="271"/>
      <c r="M8" s="272"/>
    </row>
    <row r="9" spans="1:13" ht="43.5" customHeight="1" x14ac:dyDescent="0.25">
      <c r="A9" s="73"/>
      <c r="B9" s="74"/>
      <c r="C9" s="75" t="s">
        <v>42</v>
      </c>
      <c r="D9" s="73"/>
      <c r="E9" s="76"/>
      <c r="F9" s="76"/>
      <c r="G9" s="77"/>
      <c r="H9" s="77"/>
      <c r="I9" s="77"/>
      <c r="J9" s="77"/>
      <c r="K9" s="77"/>
      <c r="L9" s="78"/>
      <c r="M9" s="78"/>
    </row>
    <row r="10" spans="1:13" s="264" customFormat="1" ht="157.5" x14ac:dyDescent="0.2">
      <c r="A10" s="80">
        <v>1</v>
      </c>
      <c r="B10" s="81"/>
      <c r="C10" s="82" t="s">
        <v>254</v>
      </c>
      <c r="D10" s="19"/>
      <c r="E10" s="83"/>
      <c r="F10" s="83"/>
      <c r="G10" s="84"/>
      <c r="H10" s="84"/>
      <c r="I10" s="85"/>
      <c r="J10" s="85"/>
      <c r="K10" s="263"/>
    </row>
    <row r="11" spans="1:13" s="264" customFormat="1" ht="21.95" customHeight="1" x14ac:dyDescent="0.2">
      <c r="A11" s="80"/>
      <c r="B11" s="81">
        <f>A10+0.1</f>
        <v>1.1000000000000001</v>
      </c>
      <c r="C11" s="82" t="s">
        <v>43</v>
      </c>
      <c r="D11" s="19" t="str">
        <f>IF(C11="","",IF(E11="","",IF(E11&gt;1,"Nos.","No.")))</f>
        <v>No.</v>
      </c>
      <c r="E11" s="83">
        <v>1</v>
      </c>
      <c r="F11" s="83"/>
      <c r="G11" s="90">
        <v>0</v>
      </c>
      <c r="H11" s="90">
        <f t="shared" ref="H11:H12" si="0">G11*E11</f>
        <v>0</v>
      </c>
      <c r="I11" s="90">
        <v>12000</v>
      </c>
      <c r="J11" s="90">
        <f t="shared" ref="J11:J12" si="1">I11*E11</f>
        <v>12000</v>
      </c>
      <c r="K11" s="90">
        <f t="shared" ref="K11:K12" si="2">J11+H11</f>
        <v>12000</v>
      </c>
      <c r="L11" s="265"/>
    </row>
    <row r="12" spans="1:13" s="264" customFormat="1" ht="20.100000000000001" customHeight="1" x14ac:dyDescent="0.2">
      <c r="A12" s="80"/>
      <c r="B12" s="81">
        <f>B11+0.1</f>
        <v>1.2000000000000002</v>
      </c>
      <c r="C12" s="82" t="s">
        <v>255</v>
      </c>
      <c r="D12" s="19" t="str">
        <f>IF(C12="","",IF(E12="","",IF(E12&gt;1,"Nos.","No.")))</f>
        <v>No.</v>
      </c>
      <c r="E12" s="83">
        <v>1</v>
      </c>
      <c r="F12" s="83"/>
      <c r="G12" s="90">
        <v>0</v>
      </c>
      <c r="H12" s="90">
        <f t="shared" si="0"/>
        <v>0</v>
      </c>
      <c r="I12" s="90">
        <v>25000</v>
      </c>
      <c r="J12" s="90">
        <f t="shared" si="1"/>
        <v>25000</v>
      </c>
      <c r="K12" s="90">
        <f t="shared" si="2"/>
        <v>25000</v>
      </c>
      <c r="L12" s="265"/>
    </row>
    <row r="13" spans="1:13" s="52" customFormat="1" ht="157.5" x14ac:dyDescent="0.2">
      <c r="A13" s="80">
        <v>1</v>
      </c>
      <c r="B13" s="81"/>
      <c r="C13" s="82" t="s">
        <v>247</v>
      </c>
      <c r="D13" s="19"/>
      <c r="E13" s="83"/>
      <c r="F13" s="83"/>
      <c r="G13" s="84"/>
      <c r="H13" s="84"/>
      <c r="I13" s="85"/>
      <c r="J13" s="85"/>
      <c r="K13" s="84"/>
      <c r="L13" s="86"/>
      <c r="M13" s="87"/>
    </row>
    <row r="14" spans="1:13" s="52" customFormat="1" ht="21.95" customHeight="1" x14ac:dyDescent="0.2">
      <c r="A14" s="88"/>
      <c r="B14" s="89">
        <f>A13+0.1</f>
        <v>1.1000000000000001</v>
      </c>
      <c r="C14" s="87" t="s">
        <v>43</v>
      </c>
      <c r="D14" s="19" t="str">
        <f>IF(C14="","",IF(E14="","",IF(E14&gt;1,"Nos.","No.")))</f>
        <v>No.</v>
      </c>
      <c r="E14" s="83">
        <v>1</v>
      </c>
      <c r="F14" s="83"/>
      <c r="G14" s="90">
        <v>167000</v>
      </c>
      <c r="H14" s="90">
        <f>G14*E14</f>
        <v>167000</v>
      </c>
      <c r="I14" s="90">
        <v>12000</v>
      </c>
      <c r="J14" s="90">
        <f>I14*E14</f>
        <v>12000</v>
      </c>
      <c r="K14" s="90">
        <f>J14+H14</f>
        <v>179000</v>
      </c>
      <c r="L14" s="91"/>
      <c r="M14" s="87"/>
    </row>
    <row r="15" spans="1:13" s="52" customFormat="1" ht="110.25" x14ac:dyDescent="0.25">
      <c r="A15" s="92">
        <f>A13+1</f>
        <v>2</v>
      </c>
      <c r="B15" s="93"/>
      <c r="C15" s="94" t="s">
        <v>248</v>
      </c>
      <c r="D15" s="73"/>
      <c r="E15" s="76"/>
      <c r="F15" s="76"/>
      <c r="G15" s="77"/>
      <c r="H15" s="77"/>
      <c r="I15" s="77"/>
      <c r="J15" s="77"/>
      <c r="K15" s="84"/>
      <c r="L15" s="87"/>
      <c r="M15" s="87"/>
    </row>
    <row r="16" spans="1:13" s="52" customFormat="1" ht="16.5" customHeight="1" x14ac:dyDescent="0.25">
      <c r="A16" s="92"/>
      <c r="B16" s="95" t="s">
        <v>9</v>
      </c>
      <c r="C16" s="96" t="s">
        <v>44</v>
      </c>
      <c r="D16" s="73"/>
      <c r="E16" s="76"/>
      <c r="F16" s="76"/>
      <c r="G16" s="77"/>
      <c r="H16" s="77"/>
      <c r="I16" s="77"/>
      <c r="J16" s="77"/>
      <c r="K16" s="84"/>
      <c r="L16" s="87"/>
      <c r="M16" s="87"/>
    </row>
    <row r="17" spans="1:14" s="52" customFormat="1" ht="21.95" customHeight="1" x14ac:dyDescent="0.2">
      <c r="A17" s="19"/>
      <c r="B17" s="89" t="s">
        <v>45</v>
      </c>
      <c r="C17" s="87" t="s">
        <v>46</v>
      </c>
      <c r="D17" s="19" t="s">
        <v>18</v>
      </c>
      <c r="E17" s="83">
        <v>1</v>
      </c>
      <c r="F17" s="83"/>
      <c r="G17" s="90">
        <v>403000</v>
      </c>
      <c r="H17" s="90">
        <f t="shared" ref="H17:H34" si="3">G17*E17</f>
        <v>403000</v>
      </c>
      <c r="I17" s="90">
        <v>3500</v>
      </c>
      <c r="J17" s="90">
        <f t="shared" ref="J17:J34" si="4">I17*E17</f>
        <v>3500</v>
      </c>
      <c r="K17" s="90">
        <f t="shared" ref="K17:K34" si="5">J17+H17</f>
        <v>406500</v>
      </c>
      <c r="L17" s="87"/>
      <c r="M17" s="87"/>
    </row>
    <row r="18" spans="1:14" s="52" customFormat="1" ht="21.95" customHeight="1" x14ac:dyDescent="0.2">
      <c r="A18" s="19"/>
      <c r="B18" s="89" t="s">
        <v>47</v>
      </c>
      <c r="C18" s="87" t="s">
        <v>48</v>
      </c>
      <c r="D18" s="19" t="s">
        <v>18</v>
      </c>
      <c r="E18" s="83">
        <v>1</v>
      </c>
      <c r="F18" s="83"/>
      <c r="G18" s="90">
        <v>403000</v>
      </c>
      <c r="H18" s="90">
        <f t="shared" si="3"/>
        <v>403000</v>
      </c>
      <c r="I18" s="90">
        <v>3500</v>
      </c>
      <c r="J18" s="90">
        <f t="shared" si="4"/>
        <v>3500</v>
      </c>
      <c r="K18" s="90">
        <f t="shared" si="5"/>
        <v>406500</v>
      </c>
      <c r="L18" s="87"/>
      <c r="M18" s="87"/>
    </row>
    <row r="19" spans="1:14" s="52" customFormat="1" ht="21.95" customHeight="1" x14ac:dyDescent="0.2">
      <c r="A19" s="19"/>
      <c r="B19" s="89" t="s">
        <v>49</v>
      </c>
      <c r="C19" s="87" t="s">
        <v>50</v>
      </c>
      <c r="D19" s="19" t="s">
        <v>18</v>
      </c>
      <c r="E19" s="83">
        <v>1</v>
      </c>
      <c r="F19" s="83"/>
      <c r="G19" s="90">
        <v>403000</v>
      </c>
      <c r="H19" s="90">
        <f t="shared" si="3"/>
        <v>403000</v>
      </c>
      <c r="I19" s="90">
        <v>3500</v>
      </c>
      <c r="J19" s="90">
        <f t="shared" si="4"/>
        <v>3500</v>
      </c>
      <c r="K19" s="90">
        <f t="shared" si="5"/>
        <v>406500</v>
      </c>
      <c r="L19" s="87"/>
      <c r="M19" s="87"/>
    </row>
    <row r="20" spans="1:14" s="52" customFormat="1" ht="21.95" customHeight="1" x14ac:dyDescent="0.2">
      <c r="A20" s="19"/>
      <c r="B20" s="89" t="s">
        <v>51</v>
      </c>
      <c r="C20" s="87" t="s">
        <v>52</v>
      </c>
      <c r="D20" s="19" t="s">
        <v>18</v>
      </c>
      <c r="E20" s="83">
        <v>1</v>
      </c>
      <c r="F20" s="83"/>
      <c r="G20" s="90">
        <v>403000</v>
      </c>
      <c r="H20" s="90">
        <f t="shared" si="3"/>
        <v>403000</v>
      </c>
      <c r="I20" s="90">
        <v>3500</v>
      </c>
      <c r="J20" s="90">
        <f t="shared" si="4"/>
        <v>3500</v>
      </c>
      <c r="K20" s="90">
        <f t="shared" si="5"/>
        <v>406500</v>
      </c>
      <c r="L20" s="87"/>
      <c r="M20" s="87"/>
    </row>
    <row r="21" spans="1:14" s="52" customFormat="1" ht="21.95" customHeight="1" x14ac:dyDescent="0.2">
      <c r="A21" s="19"/>
      <c r="B21" s="89" t="s">
        <v>53</v>
      </c>
      <c r="C21" s="87" t="s">
        <v>54</v>
      </c>
      <c r="D21" s="19" t="s">
        <v>18</v>
      </c>
      <c r="E21" s="83">
        <v>1</v>
      </c>
      <c r="F21" s="83"/>
      <c r="G21" s="90">
        <v>403000</v>
      </c>
      <c r="H21" s="90">
        <f t="shared" si="3"/>
        <v>403000</v>
      </c>
      <c r="I21" s="90">
        <v>3500</v>
      </c>
      <c r="J21" s="90">
        <f t="shared" si="4"/>
        <v>3500</v>
      </c>
      <c r="K21" s="90">
        <f t="shared" si="5"/>
        <v>406500</v>
      </c>
      <c r="L21" s="87"/>
      <c r="M21" s="87"/>
    </row>
    <row r="22" spans="1:14" s="52" customFormat="1" ht="21.95" customHeight="1" x14ac:dyDescent="0.2">
      <c r="A22" s="19"/>
      <c r="B22" s="89" t="s">
        <v>55</v>
      </c>
      <c r="C22" s="87" t="s">
        <v>56</v>
      </c>
      <c r="D22" s="19" t="s">
        <v>18</v>
      </c>
      <c r="E22" s="83">
        <v>1</v>
      </c>
      <c r="F22" s="83"/>
      <c r="G22" s="90">
        <v>403000</v>
      </c>
      <c r="H22" s="90">
        <f t="shared" si="3"/>
        <v>403000</v>
      </c>
      <c r="I22" s="90">
        <v>3500</v>
      </c>
      <c r="J22" s="90">
        <f t="shared" si="4"/>
        <v>3500</v>
      </c>
      <c r="K22" s="90">
        <f t="shared" si="5"/>
        <v>406500</v>
      </c>
      <c r="L22" s="87"/>
      <c r="M22" s="87"/>
    </row>
    <row r="23" spans="1:14" s="52" customFormat="1" ht="21.95" customHeight="1" x14ac:dyDescent="0.2">
      <c r="A23" s="19"/>
      <c r="B23" s="89" t="s">
        <v>57</v>
      </c>
      <c r="C23" s="87" t="s">
        <v>58</v>
      </c>
      <c r="D23" s="19" t="s">
        <v>18</v>
      </c>
      <c r="E23" s="83">
        <v>1</v>
      </c>
      <c r="F23" s="83"/>
      <c r="G23" s="90">
        <v>403000</v>
      </c>
      <c r="H23" s="90">
        <f t="shared" si="3"/>
        <v>403000</v>
      </c>
      <c r="I23" s="90">
        <v>3500</v>
      </c>
      <c r="J23" s="90">
        <f t="shared" si="4"/>
        <v>3500</v>
      </c>
      <c r="K23" s="90">
        <f t="shared" si="5"/>
        <v>406500</v>
      </c>
      <c r="L23" s="87"/>
      <c r="M23" s="87"/>
    </row>
    <row r="24" spans="1:14" s="52" customFormat="1" ht="21.95" customHeight="1" x14ac:dyDescent="0.2">
      <c r="A24" s="19"/>
      <c r="B24" s="89" t="s">
        <v>59</v>
      </c>
      <c r="C24" s="87" t="s">
        <v>60</v>
      </c>
      <c r="D24" s="19" t="s">
        <v>18</v>
      </c>
      <c r="E24" s="83">
        <v>1</v>
      </c>
      <c r="F24" s="83"/>
      <c r="G24" s="90">
        <v>403000</v>
      </c>
      <c r="H24" s="90">
        <f t="shared" si="3"/>
        <v>403000</v>
      </c>
      <c r="I24" s="90">
        <v>3500</v>
      </c>
      <c r="J24" s="90">
        <f t="shared" si="4"/>
        <v>3500</v>
      </c>
      <c r="K24" s="90">
        <f t="shared" si="5"/>
        <v>406500</v>
      </c>
      <c r="L24" s="87"/>
      <c r="M24" s="87"/>
    </row>
    <row r="25" spans="1:14" s="52" customFormat="1" ht="21.95" customHeight="1" x14ac:dyDescent="0.2">
      <c r="A25" s="19"/>
      <c r="B25" s="89" t="s">
        <v>61</v>
      </c>
      <c r="C25" s="87" t="s">
        <v>62</v>
      </c>
      <c r="D25" s="19" t="s">
        <v>18</v>
      </c>
      <c r="E25" s="83">
        <v>1</v>
      </c>
      <c r="F25" s="83"/>
      <c r="G25" s="90">
        <v>403000</v>
      </c>
      <c r="H25" s="90">
        <f t="shared" si="3"/>
        <v>403000</v>
      </c>
      <c r="I25" s="90">
        <v>3500</v>
      </c>
      <c r="J25" s="90">
        <f t="shared" si="4"/>
        <v>3500</v>
      </c>
      <c r="K25" s="90">
        <f t="shared" si="5"/>
        <v>406500</v>
      </c>
      <c r="L25" s="87"/>
      <c r="M25" s="87"/>
    </row>
    <row r="26" spans="1:14" s="52" customFormat="1" ht="21.95" customHeight="1" x14ac:dyDescent="0.2">
      <c r="A26" s="19"/>
      <c r="B26" s="89" t="s">
        <v>63</v>
      </c>
      <c r="C26" s="87" t="s">
        <v>64</v>
      </c>
      <c r="D26" s="19" t="s">
        <v>18</v>
      </c>
      <c r="E26" s="83">
        <v>1</v>
      </c>
      <c r="F26" s="83"/>
      <c r="G26" s="90">
        <v>403000</v>
      </c>
      <c r="H26" s="90">
        <f t="shared" si="3"/>
        <v>403000</v>
      </c>
      <c r="I26" s="90">
        <v>3500</v>
      </c>
      <c r="J26" s="90">
        <f t="shared" si="4"/>
        <v>3500</v>
      </c>
      <c r="K26" s="90">
        <f t="shared" si="5"/>
        <v>406500</v>
      </c>
      <c r="L26" s="87"/>
      <c r="M26" s="87"/>
    </row>
    <row r="27" spans="1:14" s="52" customFormat="1" ht="21.95" customHeight="1" x14ac:dyDescent="0.2">
      <c r="A27" s="19"/>
      <c r="B27" s="89" t="s">
        <v>65</v>
      </c>
      <c r="C27" s="87" t="s">
        <v>66</v>
      </c>
      <c r="D27" s="19" t="s">
        <v>18</v>
      </c>
      <c r="E27" s="83">
        <v>1</v>
      </c>
      <c r="F27" s="83"/>
      <c r="G27" s="90">
        <v>403000</v>
      </c>
      <c r="H27" s="90">
        <f t="shared" si="3"/>
        <v>403000</v>
      </c>
      <c r="I27" s="90">
        <v>3500</v>
      </c>
      <c r="J27" s="90">
        <f t="shared" si="4"/>
        <v>3500</v>
      </c>
      <c r="K27" s="90">
        <f t="shared" si="5"/>
        <v>406500</v>
      </c>
      <c r="L27" s="87"/>
      <c r="M27" s="87"/>
    </row>
    <row r="28" spans="1:14" s="52" customFormat="1" ht="21.95" customHeight="1" x14ac:dyDescent="0.2">
      <c r="A28" s="19"/>
      <c r="B28" s="89" t="s">
        <v>67</v>
      </c>
      <c r="C28" s="87" t="s">
        <v>68</v>
      </c>
      <c r="D28" s="19" t="s">
        <v>18</v>
      </c>
      <c r="E28" s="83">
        <v>1</v>
      </c>
      <c r="F28" s="83"/>
      <c r="G28" s="90">
        <v>403000</v>
      </c>
      <c r="H28" s="90">
        <f t="shared" si="3"/>
        <v>403000</v>
      </c>
      <c r="I28" s="90">
        <v>3500</v>
      </c>
      <c r="J28" s="90">
        <f t="shared" si="4"/>
        <v>3500</v>
      </c>
      <c r="K28" s="90">
        <f t="shared" si="5"/>
        <v>406500</v>
      </c>
      <c r="L28" s="87"/>
      <c r="M28" s="87"/>
    </row>
    <row r="29" spans="1:14" s="52" customFormat="1" ht="21.95" customHeight="1" x14ac:dyDescent="0.2">
      <c r="A29" s="19"/>
      <c r="B29" s="89" t="s">
        <v>69</v>
      </c>
      <c r="C29" s="87" t="s">
        <v>70</v>
      </c>
      <c r="D29" s="19" t="s">
        <v>18</v>
      </c>
      <c r="E29" s="83">
        <v>1</v>
      </c>
      <c r="F29" s="83"/>
      <c r="G29" s="90">
        <v>403000</v>
      </c>
      <c r="H29" s="90">
        <f t="shared" si="3"/>
        <v>403000</v>
      </c>
      <c r="I29" s="90">
        <v>3500</v>
      </c>
      <c r="J29" s="90">
        <f t="shared" si="4"/>
        <v>3500</v>
      </c>
      <c r="K29" s="90">
        <f t="shared" si="5"/>
        <v>406500</v>
      </c>
      <c r="L29" s="87"/>
      <c r="M29" s="87"/>
    </row>
    <row r="30" spans="1:14" s="52" customFormat="1" ht="21.95" customHeight="1" x14ac:dyDescent="0.2">
      <c r="A30" s="19"/>
      <c r="B30" s="89" t="s">
        <v>71</v>
      </c>
      <c r="C30" s="87" t="s">
        <v>72</v>
      </c>
      <c r="D30" s="19" t="s">
        <v>18</v>
      </c>
      <c r="E30" s="83">
        <v>1</v>
      </c>
      <c r="F30" s="83"/>
      <c r="G30" s="90">
        <v>403000</v>
      </c>
      <c r="H30" s="90">
        <f t="shared" si="3"/>
        <v>403000</v>
      </c>
      <c r="I30" s="90">
        <v>3500</v>
      </c>
      <c r="J30" s="90">
        <f t="shared" si="4"/>
        <v>3500</v>
      </c>
      <c r="K30" s="90">
        <f t="shared" si="5"/>
        <v>406500</v>
      </c>
      <c r="L30" s="87"/>
      <c r="M30" s="87"/>
    </row>
    <row r="31" spans="1:14" s="52" customFormat="1" ht="21.95" customHeight="1" x14ac:dyDescent="0.2">
      <c r="A31" s="19"/>
      <c r="B31" s="89" t="s">
        <v>73</v>
      </c>
      <c r="C31" s="87" t="s">
        <v>74</v>
      </c>
      <c r="D31" s="19" t="s">
        <v>18</v>
      </c>
      <c r="E31" s="83">
        <v>1</v>
      </c>
      <c r="F31" s="83"/>
      <c r="G31" s="90">
        <v>403000</v>
      </c>
      <c r="H31" s="90">
        <f t="shared" si="3"/>
        <v>403000</v>
      </c>
      <c r="I31" s="90">
        <v>3500</v>
      </c>
      <c r="J31" s="90">
        <f t="shared" si="4"/>
        <v>3500</v>
      </c>
      <c r="K31" s="90">
        <f t="shared" si="5"/>
        <v>406500</v>
      </c>
      <c r="L31" s="87"/>
      <c r="M31" s="87"/>
      <c r="N31" s="52">
        <v>1805751</v>
      </c>
    </row>
    <row r="32" spans="1:14" s="52" customFormat="1" ht="21.95" customHeight="1" x14ac:dyDescent="0.2">
      <c r="A32" s="19"/>
      <c r="B32" s="89" t="s">
        <v>75</v>
      </c>
      <c r="C32" s="87" t="s">
        <v>76</v>
      </c>
      <c r="D32" s="19" t="s">
        <v>18</v>
      </c>
      <c r="E32" s="83">
        <v>1</v>
      </c>
      <c r="F32" s="83"/>
      <c r="G32" s="90">
        <v>403000</v>
      </c>
      <c r="H32" s="90">
        <f t="shared" si="3"/>
        <v>403000</v>
      </c>
      <c r="I32" s="90">
        <v>3500</v>
      </c>
      <c r="J32" s="90">
        <f t="shared" si="4"/>
        <v>3500</v>
      </c>
      <c r="K32" s="90">
        <f t="shared" si="5"/>
        <v>406500</v>
      </c>
      <c r="L32" s="87"/>
      <c r="M32" s="87"/>
      <c r="N32" s="52">
        <v>2443801</v>
      </c>
    </row>
    <row r="33" spans="1:15" s="52" customFormat="1" ht="21.95" customHeight="1" x14ac:dyDescent="0.2">
      <c r="A33" s="19"/>
      <c r="B33" s="89" t="s">
        <v>77</v>
      </c>
      <c r="C33" s="87" t="s">
        <v>78</v>
      </c>
      <c r="D33" s="19" t="s">
        <v>18</v>
      </c>
      <c r="E33" s="83">
        <v>1</v>
      </c>
      <c r="F33" s="83"/>
      <c r="G33" s="90">
        <v>403000</v>
      </c>
      <c r="H33" s="90">
        <f t="shared" si="3"/>
        <v>403000</v>
      </c>
      <c r="I33" s="90">
        <v>3500</v>
      </c>
      <c r="J33" s="90">
        <f t="shared" si="4"/>
        <v>3500</v>
      </c>
      <c r="K33" s="90">
        <f t="shared" si="5"/>
        <v>406500</v>
      </c>
      <c r="L33" s="87"/>
      <c r="M33" s="87"/>
      <c r="N33" s="52">
        <v>314647</v>
      </c>
    </row>
    <row r="34" spans="1:15" s="52" customFormat="1" ht="21.95" customHeight="1" x14ac:dyDescent="0.2">
      <c r="A34" s="19"/>
      <c r="B34" s="89" t="s">
        <v>79</v>
      </c>
      <c r="C34" s="87" t="s">
        <v>80</v>
      </c>
      <c r="D34" s="19" t="s">
        <v>18</v>
      </c>
      <c r="E34" s="83">
        <v>1</v>
      </c>
      <c r="F34" s="83"/>
      <c r="G34" s="90">
        <v>403000</v>
      </c>
      <c r="H34" s="90">
        <f t="shared" si="3"/>
        <v>403000</v>
      </c>
      <c r="I34" s="90">
        <v>7000</v>
      </c>
      <c r="J34" s="90">
        <f t="shared" si="4"/>
        <v>7000</v>
      </c>
      <c r="K34" s="90">
        <f t="shared" si="5"/>
        <v>410000</v>
      </c>
      <c r="L34" s="87"/>
      <c r="M34" s="87"/>
      <c r="N34" s="52">
        <v>868941</v>
      </c>
    </row>
    <row r="35" spans="1:15" s="52" customFormat="1" ht="21.95" customHeight="1" x14ac:dyDescent="0.2">
      <c r="A35" s="19"/>
      <c r="B35" s="89" t="s">
        <v>81</v>
      </c>
      <c r="C35" s="87" t="s">
        <v>82</v>
      </c>
      <c r="D35" s="19" t="s">
        <v>18</v>
      </c>
      <c r="E35" s="83">
        <v>1</v>
      </c>
      <c r="F35" s="83"/>
      <c r="G35" s="90">
        <v>403000</v>
      </c>
      <c r="H35" s="90">
        <f t="shared" ref="H35:H37" si="6">G35*E35</f>
        <v>403000</v>
      </c>
      <c r="I35" s="90">
        <v>7000</v>
      </c>
      <c r="J35" s="90">
        <f t="shared" ref="J35:J37" si="7">I35*E35</f>
        <v>7000</v>
      </c>
      <c r="K35" s="90">
        <f t="shared" ref="K35:K37" si="8">J35+H35</f>
        <v>410000</v>
      </c>
      <c r="L35" s="87"/>
      <c r="M35" s="87"/>
      <c r="N35" s="52">
        <v>130000</v>
      </c>
    </row>
    <row r="36" spans="1:15" s="52" customFormat="1" ht="21.95" customHeight="1" x14ac:dyDescent="0.2">
      <c r="A36" s="19"/>
      <c r="B36" s="89" t="s">
        <v>83</v>
      </c>
      <c r="C36" s="87" t="s">
        <v>84</v>
      </c>
      <c r="D36" s="19" t="s">
        <v>18</v>
      </c>
      <c r="E36" s="83">
        <v>1</v>
      </c>
      <c r="F36" s="83"/>
      <c r="G36" s="90">
        <v>403000</v>
      </c>
      <c r="H36" s="90">
        <f t="shared" si="6"/>
        <v>403000</v>
      </c>
      <c r="I36" s="90">
        <v>7000</v>
      </c>
      <c r="J36" s="90">
        <f t="shared" si="7"/>
        <v>7000</v>
      </c>
      <c r="K36" s="90">
        <f t="shared" si="8"/>
        <v>410000</v>
      </c>
      <c r="L36" s="87"/>
      <c r="M36" s="87"/>
      <c r="N36" s="52">
        <f>SUM(N31:N35)</f>
        <v>5563140</v>
      </c>
      <c r="O36" s="52">
        <f>O37/21</f>
        <v>402930.28285714285</v>
      </c>
    </row>
    <row r="37" spans="1:15" s="52" customFormat="1" ht="21.95" customHeight="1" x14ac:dyDescent="0.2">
      <c r="A37" s="19"/>
      <c r="B37" s="89" t="s">
        <v>85</v>
      </c>
      <c r="C37" s="87" t="s">
        <v>86</v>
      </c>
      <c r="D37" s="19" t="s">
        <v>18</v>
      </c>
      <c r="E37" s="83">
        <v>1</v>
      </c>
      <c r="F37" s="83"/>
      <c r="G37" s="90">
        <v>403000</v>
      </c>
      <c r="H37" s="90">
        <f t="shared" si="6"/>
        <v>403000</v>
      </c>
      <c r="I37" s="90">
        <v>7000</v>
      </c>
      <c r="J37" s="90">
        <f t="shared" si="7"/>
        <v>7000</v>
      </c>
      <c r="K37" s="90">
        <f t="shared" si="8"/>
        <v>410000</v>
      </c>
      <c r="L37" s="87"/>
      <c r="M37" s="87"/>
      <c r="N37" s="52">
        <f>N36*1.17</f>
        <v>6508873.7999999998</v>
      </c>
      <c r="O37" s="52">
        <f>N37*1.3</f>
        <v>8461535.9399999995</v>
      </c>
    </row>
    <row r="38" spans="1:15" s="52" customFormat="1" ht="20.100000000000001" customHeight="1" x14ac:dyDescent="0.2">
      <c r="A38" s="19"/>
      <c r="B38" s="95" t="s">
        <v>22</v>
      </c>
      <c r="C38" s="97" t="s">
        <v>87</v>
      </c>
      <c r="D38" s="19"/>
      <c r="E38" s="83"/>
      <c r="F38" s="83"/>
      <c r="G38" s="84"/>
      <c r="H38" s="84"/>
      <c r="I38" s="90"/>
      <c r="J38" s="84"/>
      <c r="K38" s="84"/>
      <c r="L38" s="87"/>
      <c r="M38" s="87"/>
    </row>
    <row r="39" spans="1:15" s="52" customFormat="1" ht="21.95" customHeight="1" x14ac:dyDescent="0.2">
      <c r="A39" s="19"/>
      <c r="B39" s="89" t="s">
        <v>45</v>
      </c>
      <c r="C39" s="87" t="s">
        <v>88</v>
      </c>
      <c r="D39" s="19" t="s">
        <v>18</v>
      </c>
      <c r="E39" s="83">
        <v>1</v>
      </c>
      <c r="F39" s="83"/>
      <c r="G39" s="90">
        <v>256000</v>
      </c>
      <c r="H39" s="90">
        <f t="shared" ref="H39:H41" si="9">G39*E39</f>
        <v>256000</v>
      </c>
      <c r="I39" s="90">
        <v>7000</v>
      </c>
      <c r="J39" s="90">
        <f t="shared" ref="J39:J41" si="10">I39*E39</f>
        <v>7000</v>
      </c>
      <c r="K39" s="90">
        <f t="shared" ref="K39:K41" si="11">J39+H39</f>
        <v>263000</v>
      </c>
      <c r="L39" s="87">
        <v>69000</v>
      </c>
      <c r="M39" s="87">
        <f>L39*1.17</f>
        <v>80730</v>
      </c>
    </row>
    <row r="40" spans="1:15" s="52" customFormat="1" ht="21.95" customHeight="1" x14ac:dyDescent="0.2">
      <c r="A40" s="19"/>
      <c r="B40" s="89" t="s">
        <v>47</v>
      </c>
      <c r="C40" s="87" t="s">
        <v>89</v>
      </c>
      <c r="D40" s="19" t="s">
        <v>18</v>
      </c>
      <c r="E40" s="83">
        <v>1</v>
      </c>
      <c r="F40" s="83"/>
      <c r="G40" s="90">
        <v>256000</v>
      </c>
      <c r="H40" s="90">
        <f t="shared" si="9"/>
        <v>256000</v>
      </c>
      <c r="I40" s="90">
        <v>7000</v>
      </c>
      <c r="J40" s="90">
        <f t="shared" si="10"/>
        <v>7000</v>
      </c>
      <c r="K40" s="90">
        <f t="shared" si="11"/>
        <v>263000</v>
      </c>
      <c r="L40" s="87">
        <v>69000</v>
      </c>
      <c r="M40" s="87">
        <f>L40*1.17</f>
        <v>80730</v>
      </c>
    </row>
    <row r="41" spans="1:15" s="52" customFormat="1" ht="21.95" customHeight="1" x14ac:dyDescent="0.2">
      <c r="A41" s="19"/>
      <c r="B41" s="89" t="s">
        <v>49</v>
      </c>
      <c r="C41" s="87" t="s">
        <v>90</v>
      </c>
      <c r="D41" s="19" t="s">
        <v>18</v>
      </c>
      <c r="E41" s="83">
        <v>1</v>
      </c>
      <c r="F41" s="83"/>
      <c r="G41" s="90">
        <v>256000</v>
      </c>
      <c r="H41" s="90">
        <f t="shared" si="9"/>
        <v>256000</v>
      </c>
      <c r="I41" s="90">
        <v>7000</v>
      </c>
      <c r="J41" s="90">
        <f t="shared" si="10"/>
        <v>7000</v>
      </c>
      <c r="K41" s="90">
        <f t="shared" si="11"/>
        <v>263000</v>
      </c>
      <c r="L41" s="87">
        <v>69000</v>
      </c>
      <c r="M41" s="87">
        <f>L41*1.17</f>
        <v>80730</v>
      </c>
    </row>
    <row r="42" spans="1:15" ht="63" x14ac:dyDescent="0.25">
      <c r="A42" s="92">
        <f>A15+1</f>
        <v>3</v>
      </c>
      <c r="B42" s="81"/>
      <c r="C42" s="94" t="s">
        <v>91</v>
      </c>
      <c r="D42" s="73"/>
      <c r="E42" s="76"/>
      <c r="F42" s="76"/>
      <c r="G42" s="77"/>
      <c r="H42" s="77"/>
      <c r="I42" s="98"/>
      <c r="J42" s="98"/>
      <c r="K42" s="77"/>
      <c r="L42" s="78"/>
      <c r="M42" s="78"/>
    </row>
    <row r="43" spans="1:15" s="52" customFormat="1" ht="21.95" customHeight="1" x14ac:dyDescent="0.2">
      <c r="A43" s="19"/>
      <c r="B43" s="89">
        <f>A42+0.1</f>
        <v>3.1</v>
      </c>
      <c r="C43" s="87" t="s">
        <v>92</v>
      </c>
      <c r="D43" s="19"/>
      <c r="E43" s="83"/>
      <c r="F43" s="83"/>
      <c r="G43" s="84"/>
      <c r="H43" s="84"/>
      <c r="I43" s="85"/>
      <c r="J43" s="85"/>
      <c r="K43" s="84"/>
      <c r="L43" s="87"/>
      <c r="M43" s="87"/>
    </row>
    <row r="44" spans="1:15" s="52" customFormat="1" ht="21.95" customHeight="1" x14ac:dyDescent="0.2">
      <c r="A44" s="19"/>
      <c r="B44" s="89" t="s">
        <v>93</v>
      </c>
      <c r="C44" s="87" t="s">
        <v>94</v>
      </c>
      <c r="D44" s="19" t="str">
        <f>IF(C44="","",IF(E44="","",IF(E44&gt;1,"Nos.","No.")))</f>
        <v>Nos.</v>
      </c>
      <c r="E44" s="83">
        <f>SUM(E14)*4</f>
        <v>4</v>
      </c>
      <c r="F44" s="83"/>
      <c r="G44" s="90">
        <v>4700</v>
      </c>
      <c r="H44" s="90">
        <f>G44*E44</f>
        <v>18800</v>
      </c>
      <c r="I44" s="90">
        <v>1000</v>
      </c>
      <c r="J44" s="90">
        <f>I44*E44</f>
        <v>4000</v>
      </c>
      <c r="K44" s="90">
        <f>J44+H44</f>
        <v>22800</v>
      </c>
      <c r="L44" s="87"/>
      <c r="M44" s="87"/>
    </row>
    <row r="45" spans="1:15" s="52" customFormat="1" ht="21.95" customHeight="1" x14ac:dyDescent="0.2">
      <c r="A45" s="19"/>
      <c r="B45" s="89">
        <f>B43+0.1</f>
        <v>3.2</v>
      </c>
      <c r="C45" s="87" t="s">
        <v>95</v>
      </c>
      <c r="D45" s="19"/>
      <c r="E45" s="99"/>
      <c r="F45" s="99"/>
      <c r="G45" s="84"/>
      <c r="H45" s="84"/>
      <c r="I45" s="85"/>
      <c r="J45" s="85"/>
      <c r="K45" s="84"/>
      <c r="L45" s="87"/>
      <c r="M45" s="87"/>
    </row>
    <row r="46" spans="1:15" s="52" customFormat="1" ht="21.95" customHeight="1" x14ac:dyDescent="0.2">
      <c r="A46" s="19"/>
      <c r="B46" s="89" t="s">
        <v>93</v>
      </c>
      <c r="C46" s="87" t="str">
        <f>C44</f>
        <v xml:space="preserve">25mm dia </v>
      </c>
      <c r="D46" s="19" t="str">
        <f>IF(C46="","",IF(E46="","",IF(E46&gt;1,"Nos.","No.")))</f>
        <v>No.</v>
      </c>
      <c r="E46" s="83">
        <f>E44/4</f>
        <v>1</v>
      </c>
      <c r="F46" s="83"/>
      <c r="G46" s="90">
        <v>3500</v>
      </c>
      <c r="H46" s="90">
        <f>G46*E46</f>
        <v>3500</v>
      </c>
      <c r="I46" s="90">
        <v>1000</v>
      </c>
      <c r="J46" s="90">
        <f>I46*E46</f>
        <v>1000</v>
      </c>
      <c r="K46" s="90">
        <f>J46+H46</f>
        <v>4500</v>
      </c>
      <c r="L46" s="87"/>
      <c r="M46" s="87"/>
    </row>
    <row r="47" spans="1:15" s="52" customFormat="1" ht="21.95" customHeight="1" x14ac:dyDescent="0.2">
      <c r="A47" s="19"/>
      <c r="B47" s="89">
        <f>B45+0.1</f>
        <v>3.3000000000000003</v>
      </c>
      <c r="C47" s="87" t="s">
        <v>96</v>
      </c>
      <c r="D47" s="19"/>
      <c r="E47" s="83"/>
      <c r="F47" s="83"/>
      <c r="G47" s="84"/>
      <c r="H47" s="84"/>
      <c r="I47" s="85"/>
      <c r="J47" s="85"/>
      <c r="K47" s="84"/>
      <c r="L47" s="87"/>
      <c r="M47" s="87"/>
    </row>
    <row r="48" spans="1:15" s="52" customFormat="1" ht="21.95" customHeight="1" x14ac:dyDescent="0.2">
      <c r="A48" s="19"/>
      <c r="B48" s="89" t="s">
        <v>93</v>
      </c>
      <c r="C48" s="87" t="str">
        <f>C46</f>
        <v xml:space="preserve">25mm dia </v>
      </c>
      <c r="D48" s="19" t="str">
        <f>IF(C48="","",IF(E48="","",IF(E48&gt;1,"Nos.","No.")))</f>
        <v>No.</v>
      </c>
      <c r="E48" s="83">
        <f>E46</f>
        <v>1</v>
      </c>
      <c r="F48" s="83"/>
      <c r="G48" s="90">
        <v>7700</v>
      </c>
      <c r="H48" s="90">
        <f>G48*E48</f>
        <v>7700</v>
      </c>
      <c r="I48" s="90">
        <v>1000</v>
      </c>
      <c r="J48" s="90">
        <f>I48*E48</f>
        <v>1000</v>
      </c>
      <c r="K48" s="90">
        <f>J48+H48</f>
        <v>8700</v>
      </c>
      <c r="L48" s="87"/>
      <c r="M48" s="87"/>
    </row>
    <row r="49" spans="1:14" s="52" customFormat="1" ht="21.95" customHeight="1" x14ac:dyDescent="0.2">
      <c r="A49" s="100"/>
      <c r="B49" s="89">
        <f>B47+0.1</f>
        <v>3.4000000000000004</v>
      </c>
      <c r="C49" s="101" t="s">
        <v>97</v>
      </c>
      <c r="D49" s="19" t="str">
        <f>IF(C49="","",IF(E49="","",IF(E49&gt;1,"Nos.","No.")))</f>
        <v>Nos.</v>
      </c>
      <c r="E49" s="83">
        <f>E48*2</f>
        <v>2</v>
      </c>
      <c r="F49" s="83"/>
      <c r="G49" s="90">
        <v>6500</v>
      </c>
      <c r="H49" s="90">
        <f>G49*E49</f>
        <v>13000</v>
      </c>
      <c r="I49" s="90">
        <v>1000</v>
      </c>
      <c r="J49" s="90">
        <f>I49*E49</f>
        <v>2000</v>
      </c>
      <c r="K49" s="90">
        <f>J49+H49</f>
        <v>15000</v>
      </c>
      <c r="L49" s="87"/>
      <c r="M49" s="87"/>
    </row>
    <row r="50" spans="1:14" s="52" customFormat="1" ht="47.25" x14ac:dyDescent="0.2">
      <c r="A50" s="100"/>
      <c r="B50" s="89">
        <f>B49+0.1</f>
        <v>3.5000000000000004</v>
      </c>
      <c r="C50" s="102" t="s">
        <v>98</v>
      </c>
      <c r="D50" s="19" t="str">
        <f>IF(C50="","",IF(E50="","",IF(E50&gt;1,"Nos.","No.")))</f>
        <v>Nos.</v>
      </c>
      <c r="E50" s="83">
        <f>E49</f>
        <v>2</v>
      </c>
      <c r="F50" s="83"/>
      <c r="G50" s="90">
        <v>8500</v>
      </c>
      <c r="H50" s="90">
        <f>G50*E50</f>
        <v>17000</v>
      </c>
      <c r="I50" s="90">
        <v>1000</v>
      </c>
      <c r="J50" s="90">
        <f>I50*E50</f>
        <v>2000</v>
      </c>
      <c r="K50" s="90">
        <f>J50+H50</f>
        <v>19000</v>
      </c>
      <c r="L50" s="87"/>
      <c r="M50" s="87"/>
    </row>
    <row r="51" spans="1:14" s="52" customFormat="1" ht="21.95" customHeight="1" x14ac:dyDescent="0.2">
      <c r="A51" s="100"/>
      <c r="B51" s="89">
        <f>B50+0.1</f>
        <v>3.6000000000000005</v>
      </c>
      <c r="C51" s="87" t="s">
        <v>99</v>
      </c>
      <c r="D51" s="100"/>
      <c r="E51" s="83"/>
      <c r="F51" s="83"/>
      <c r="G51" s="84"/>
      <c r="H51" s="84"/>
      <c r="I51" s="85"/>
      <c r="J51" s="85"/>
      <c r="K51" s="84"/>
      <c r="L51" s="87"/>
      <c r="M51" s="87"/>
    </row>
    <row r="52" spans="1:14" s="52" customFormat="1" ht="21.95" customHeight="1" x14ac:dyDescent="0.2">
      <c r="A52" s="19"/>
      <c r="B52" s="89" t="s">
        <v>93</v>
      </c>
      <c r="C52" s="87" t="s">
        <v>94</v>
      </c>
      <c r="D52" s="19" t="str">
        <f>IF(C52="","",IF(E52="","",IF(E52&gt;1,"Nos.","No.")))</f>
        <v>No.</v>
      </c>
      <c r="E52" s="83">
        <f>E48</f>
        <v>1</v>
      </c>
      <c r="F52" s="83"/>
      <c r="G52" s="90">
        <v>38000</v>
      </c>
      <c r="H52" s="90">
        <f>G52*E52</f>
        <v>38000</v>
      </c>
      <c r="I52" s="90">
        <v>3000</v>
      </c>
      <c r="J52" s="90">
        <f>I52*E52</f>
        <v>3000</v>
      </c>
      <c r="K52" s="90">
        <f>J52+H52</f>
        <v>41000</v>
      </c>
      <c r="L52" s="87"/>
      <c r="M52" s="87"/>
    </row>
    <row r="53" spans="1:14" s="52" customFormat="1" ht="31.5" x14ac:dyDescent="0.2">
      <c r="A53" s="100"/>
      <c r="B53" s="89">
        <f>B51+0.1</f>
        <v>3.7000000000000006</v>
      </c>
      <c r="C53" s="101" t="s">
        <v>100</v>
      </c>
      <c r="D53" s="19" t="str">
        <f>IF(C53="","",IF(E53="","",IF(E53&gt;1,"Nos.","No.")))</f>
        <v>No.</v>
      </c>
      <c r="E53" s="83">
        <f>E52</f>
        <v>1</v>
      </c>
      <c r="F53" s="83"/>
      <c r="G53" s="90">
        <v>18500</v>
      </c>
      <c r="H53" s="90">
        <f>G53*E53</f>
        <v>18500</v>
      </c>
      <c r="I53" s="90">
        <v>2000</v>
      </c>
      <c r="J53" s="90">
        <f>I53*E53</f>
        <v>2000</v>
      </c>
      <c r="K53" s="90">
        <f>J53+H53</f>
        <v>20500</v>
      </c>
      <c r="L53" s="87"/>
      <c r="M53" s="87"/>
    </row>
    <row r="54" spans="1:14" s="52" customFormat="1" ht="31.5" x14ac:dyDescent="0.2">
      <c r="A54" s="100"/>
      <c r="B54" s="89">
        <f>B53+0.1</f>
        <v>3.8000000000000007</v>
      </c>
      <c r="C54" s="101" t="s">
        <v>101</v>
      </c>
      <c r="D54" s="19" t="s">
        <v>102</v>
      </c>
      <c r="E54" s="83">
        <f>E53</f>
        <v>1</v>
      </c>
      <c r="F54" s="83"/>
      <c r="G54" s="90">
        <v>5000</v>
      </c>
      <c r="H54" s="90">
        <f>G54*E54</f>
        <v>5000</v>
      </c>
      <c r="I54" s="90">
        <v>1500</v>
      </c>
      <c r="J54" s="90">
        <f>I54*E54</f>
        <v>1500</v>
      </c>
      <c r="K54" s="90">
        <f>J54+H54</f>
        <v>6500</v>
      </c>
      <c r="L54" s="87"/>
      <c r="M54" s="87"/>
    </row>
    <row r="55" spans="1:14" ht="126" x14ac:dyDescent="0.25">
      <c r="A55" s="103">
        <f>A42+1</f>
        <v>4</v>
      </c>
      <c r="B55" s="104"/>
      <c r="C55" s="94" t="s">
        <v>103</v>
      </c>
      <c r="D55" s="73"/>
      <c r="E55" s="76"/>
      <c r="F55" s="76"/>
      <c r="G55" s="77"/>
      <c r="H55" s="77"/>
      <c r="I55" s="77"/>
      <c r="J55" s="77"/>
      <c r="K55" s="77"/>
      <c r="L55" s="78"/>
      <c r="M55" s="78"/>
    </row>
    <row r="56" spans="1:14" s="52" customFormat="1" ht="24" customHeight="1" x14ac:dyDescent="0.2">
      <c r="A56" s="19"/>
      <c r="B56" s="105">
        <f>A55+0.1</f>
        <v>4.0999999999999996</v>
      </c>
      <c r="C56" s="87" t="s">
        <v>104</v>
      </c>
      <c r="D56" s="19" t="s">
        <v>105</v>
      </c>
      <c r="E56" s="83">
        <v>80</v>
      </c>
      <c r="F56" s="83"/>
      <c r="G56" s="90">
        <v>1250</v>
      </c>
      <c r="H56" s="90">
        <f>G56*E56</f>
        <v>100000</v>
      </c>
      <c r="I56" s="90">
        <v>595</v>
      </c>
      <c r="J56" s="90">
        <f>I56*E56</f>
        <v>47600</v>
      </c>
      <c r="K56" s="90">
        <f>J56+H56</f>
        <v>147600</v>
      </c>
      <c r="L56" s="106"/>
      <c r="M56" s="87"/>
    </row>
    <row r="57" spans="1:14" ht="112.5" x14ac:dyDescent="0.25">
      <c r="A57" s="107">
        <f>A55+1</f>
        <v>5</v>
      </c>
      <c r="B57" s="104"/>
      <c r="C57" s="94" t="s">
        <v>249</v>
      </c>
      <c r="D57" s="73"/>
      <c r="E57" s="76"/>
      <c r="F57" s="76"/>
      <c r="G57" s="77"/>
      <c r="H57" s="77"/>
      <c r="I57" s="98"/>
      <c r="J57" s="98"/>
      <c r="K57" s="77"/>
      <c r="L57" s="78"/>
      <c r="M57" s="78"/>
    </row>
    <row r="58" spans="1:14" s="52" customFormat="1" ht="24" customHeight="1" x14ac:dyDescent="0.2">
      <c r="A58" s="19"/>
      <c r="B58" s="89">
        <f>A57+0.1</f>
        <v>5.0999999999999996</v>
      </c>
      <c r="C58" s="87" t="s">
        <v>106</v>
      </c>
      <c r="D58" s="19" t="s">
        <v>105</v>
      </c>
      <c r="E58" s="83">
        <v>50</v>
      </c>
      <c r="F58" s="83"/>
      <c r="G58" s="90">
        <v>1000</v>
      </c>
      <c r="H58" s="90">
        <f>G58*E58</f>
        <v>50000</v>
      </c>
      <c r="I58" s="90">
        <v>280</v>
      </c>
      <c r="J58" s="90">
        <f>I58*E58</f>
        <v>14000</v>
      </c>
      <c r="K58" s="90">
        <f>J58+H58</f>
        <v>64000</v>
      </c>
      <c r="L58" s="108"/>
      <c r="M58" s="87"/>
    </row>
    <row r="59" spans="1:14" ht="78.75" x14ac:dyDescent="0.25">
      <c r="A59" s="103">
        <f>A57+1</f>
        <v>6</v>
      </c>
      <c r="B59" s="104"/>
      <c r="C59" s="94" t="s">
        <v>107</v>
      </c>
      <c r="D59" s="73"/>
      <c r="E59" s="76"/>
      <c r="F59" s="76"/>
      <c r="G59" s="77"/>
      <c r="H59" s="77"/>
      <c r="I59" s="98"/>
      <c r="J59" s="98"/>
      <c r="K59" s="77"/>
      <c r="L59" s="78"/>
      <c r="M59" s="78"/>
    </row>
    <row r="60" spans="1:14" s="52" customFormat="1" ht="24" customHeight="1" x14ac:dyDescent="0.2">
      <c r="A60" s="109"/>
      <c r="B60" s="110">
        <f>A59+0.1</f>
        <v>6.1</v>
      </c>
      <c r="C60" s="111" t="s">
        <v>108</v>
      </c>
      <c r="D60" s="19" t="str">
        <f>IF(C60="","",IF(E60="","",IF(E60&gt;1,"Nos.","No.")))</f>
        <v>No.</v>
      </c>
      <c r="E60" s="99">
        <v>1</v>
      </c>
      <c r="F60" s="99"/>
      <c r="G60" s="90">
        <v>191000</v>
      </c>
      <c r="H60" s="90">
        <f>G60*E60</f>
        <v>191000</v>
      </c>
      <c r="I60" s="90">
        <v>5000</v>
      </c>
      <c r="J60" s="90">
        <f>I60*E60</f>
        <v>5000</v>
      </c>
      <c r="K60" s="90">
        <f>J60+H60</f>
        <v>196000</v>
      </c>
      <c r="L60" s="87"/>
      <c r="M60" s="87"/>
    </row>
    <row r="61" spans="1:14" s="52" customFormat="1" ht="24" customHeight="1" x14ac:dyDescent="0.2">
      <c r="A61" s="109"/>
      <c r="B61" s="110">
        <f>B60+0.1</f>
        <v>6.1999999999999993</v>
      </c>
      <c r="C61" s="111" t="s">
        <v>109</v>
      </c>
      <c r="D61" s="19" t="str">
        <f>IF(C61="","",IF(E61="","",IF(E61&gt;1,"Nos.","No.")))</f>
        <v>No.</v>
      </c>
      <c r="E61" s="99">
        <v>1</v>
      </c>
      <c r="F61" s="99"/>
      <c r="G61" s="90">
        <v>35000</v>
      </c>
      <c r="H61" s="90">
        <f>G61*E61</f>
        <v>35000</v>
      </c>
      <c r="I61" s="90">
        <v>3000</v>
      </c>
      <c r="J61" s="90">
        <f>I61*E61</f>
        <v>3000</v>
      </c>
      <c r="K61" s="90">
        <f>J61+H61</f>
        <v>38000</v>
      </c>
      <c r="L61" s="87"/>
      <c r="M61" s="87"/>
    </row>
    <row r="62" spans="1:14" ht="78" customHeight="1" x14ac:dyDescent="0.25">
      <c r="A62" s="112">
        <f>A59+1</f>
        <v>7</v>
      </c>
      <c r="B62" s="113"/>
      <c r="C62" s="114" t="s">
        <v>110</v>
      </c>
      <c r="D62" s="73" t="s">
        <v>111</v>
      </c>
      <c r="E62" s="115">
        <v>820</v>
      </c>
      <c r="F62" s="115"/>
      <c r="G62" s="90">
        <v>3500</v>
      </c>
      <c r="H62" s="90">
        <f>G62*E62</f>
        <v>2870000</v>
      </c>
      <c r="I62" s="90">
        <v>920</v>
      </c>
      <c r="J62" s="90">
        <f>I62*E62</f>
        <v>754400</v>
      </c>
      <c r="K62" s="90">
        <f>J62+H62</f>
        <v>3624400</v>
      </c>
      <c r="L62" s="78"/>
      <c r="M62" s="78"/>
    </row>
    <row r="63" spans="1:14" ht="64.5" customHeight="1" x14ac:dyDescent="0.25">
      <c r="A63" s="112">
        <f>A62+1</f>
        <v>8</v>
      </c>
      <c r="B63" s="113"/>
      <c r="C63" s="116" t="s">
        <v>112</v>
      </c>
      <c r="D63" s="73" t="s">
        <v>111</v>
      </c>
      <c r="E63" s="115">
        <v>820</v>
      </c>
      <c r="F63" s="115"/>
      <c r="G63" s="90">
        <v>3480</v>
      </c>
      <c r="H63" s="90">
        <f>G63*E63</f>
        <v>2853600</v>
      </c>
      <c r="I63" s="90">
        <v>600</v>
      </c>
      <c r="J63" s="90">
        <f>I63*E63</f>
        <v>492000</v>
      </c>
      <c r="K63" s="90">
        <f>J63+H63</f>
        <v>3345600</v>
      </c>
      <c r="L63" s="78"/>
      <c r="M63" s="78"/>
    </row>
    <row r="64" spans="1:14" ht="63" x14ac:dyDescent="0.25">
      <c r="A64" s="112">
        <f>A63+1</f>
        <v>9</v>
      </c>
      <c r="B64" s="113"/>
      <c r="C64" s="116" t="s">
        <v>113</v>
      </c>
      <c r="D64" s="73" t="s">
        <v>111</v>
      </c>
      <c r="E64" s="76">
        <v>85</v>
      </c>
      <c r="F64" s="76"/>
      <c r="G64" s="90">
        <v>3000</v>
      </c>
      <c r="H64" s="90">
        <f>G64*E64</f>
        <v>255000</v>
      </c>
      <c r="I64" s="90">
        <v>600</v>
      </c>
      <c r="J64" s="90">
        <f>I64*E64</f>
        <v>51000</v>
      </c>
      <c r="K64" s="90">
        <f>J64+H64</f>
        <v>306000</v>
      </c>
      <c r="L64" s="78"/>
      <c r="M64" s="98"/>
      <c r="N64" s="117"/>
    </row>
    <row r="65" spans="1:21" ht="94.5" x14ac:dyDescent="0.25">
      <c r="A65" s="118">
        <f>A64+1</f>
        <v>10</v>
      </c>
      <c r="B65" s="119"/>
      <c r="C65" s="120" t="s">
        <v>114</v>
      </c>
      <c r="D65" s="73"/>
      <c r="E65" s="76"/>
      <c r="F65" s="76"/>
      <c r="G65" s="121"/>
      <c r="H65" s="121"/>
      <c r="I65" s="122"/>
      <c r="J65" s="122"/>
      <c r="K65" s="77"/>
      <c r="L65" s="78"/>
      <c r="M65" s="78"/>
    </row>
    <row r="66" spans="1:21" s="52" customFormat="1" ht="21.95" customHeight="1" x14ac:dyDescent="0.2">
      <c r="A66" s="19"/>
      <c r="B66" s="123">
        <f>A65+0.1</f>
        <v>10.1</v>
      </c>
      <c r="C66" s="124" t="s">
        <v>115</v>
      </c>
      <c r="D66" s="125" t="s">
        <v>111</v>
      </c>
      <c r="E66" s="83">
        <v>5</v>
      </c>
      <c r="F66" s="83"/>
      <c r="G66" s="90">
        <v>48000</v>
      </c>
      <c r="H66" s="90">
        <f>G66*E66</f>
        <v>240000</v>
      </c>
      <c r="I66" s="90">
        <v>7500</v>
      </c>
      <c r="J66" s="90">
        <f>I66*E66</f>
        <v>37500</v>
      </c>
      <c r="K66" s="90">
        <f>J66+H66</f>
        <v>277500</v>
      </c>
      <c r="L66" s="87"/>
      <c r="M66" s="87"/>
    </row>
    <row r="67" spans="1:21" s="52" customFormat="1" ht="21.95" customHeight="1" x14ac:dyDescent="0.2">
      <c r="A67" s="19"/>
      <c r="B67" s="123">
        <f>B66+0.1</f>
        <v>10.199999999999999</v>
      </c>
      <c r="C67" s="124" t="s">
        <v>116</v>
      </c>
      <c r="D67" s="125" t="s">
        <v>111</v>
      </c>
      <c r="E67" s="126">
        <v>2.5</v>
      </c>
      <c r="F67" s="126"/>
      <c r="G67" s="90">
        <v>25000</v>
      </c>
      <c r="H67" s="90">
        <f>G67*E67</f>
        <v>62500</v>
      </c>
      <c r="I67" s="90">
        <v>7800</v>
      </c>
      <c r="J67" s="90">
        <f>I67*E67</f>
        <v>19500</v>
      </c>
      <c r="K67" s="90">
        <f>J67+H67</f>
        <v>82000</v>
      </c>
      <c r="L67" s="87"/>
      <c r="M67" s="87"/>
    </row>
    <row r="68" spans="1:21" s="52" customFormat="1" ht="21.95" customHeight="1" x14ac:dyDescent="0.2">
      <c r="A68" s="19"/>
      <c r="B68" s="123">
        <f>B67+0.1</f>
        <v>10.299999999999999</v>
      </c>
      <c r="C68" s="124" t="s">
        <v>117</v>
      </c>
      <c r="D68" s="125"/>
      <c r="E68" s="83"/>
      <c r="F68" s="83"/>
      <c r="G68" s="84"/>
      <c r="H68" s="84"/>
      <c r="I68" s="85"/>
      <c r="J68" s="85"/>
      <c r="K68" s="84"/>
      <c r="L68" s="87"/>
      <c r="M68" s="87"/>
    </row>
    <row r="69" spans="1:21" s="52" customFormat="1" ht="21.95" customHeight="1" x14ac:dyDescent="0.2">
      <c r="A69" s="19"/>
      <c r="B69" s="89" t="s">
        <v>93</v>
      </c>
      <c r="C69" s="124" t="s">
        <v>118</v>
      </c>
      <c r="D69" s="125" t="s">
        <v>105</v>
      </c>
      <c r="E69" s="83">
        <v>22</v>
      </c>
      <c r="F69" s="83"/>
      <c r="G69" s="90">
        <v>4197</v>
      </c>
      <c r="H69" s="90">
        <f>G69*E69</f>
        <v>92334</v>
      </c>
      <c r="I69" s="90">
        <v>700</v>
      </c>
      <c r="J69" s="90">
        <f>I69*E69</f>
        <v>15400</v>
      </c>
      <c r="K69" s="90">
        <f>J69+H69</f>
        <v>107734</v>
      </c>
      <c r="L69" s="87"/>
      <c r="M69" s="87"/>
    </row>
    <row r="70" spans="1:21" s="52" customFormat="1" ht="21.95" customHeight="1" x14ac:dyDescent="0.2">
      <c r="A70" s="19"/>
      <c r="B70" s="89" t="s">
        <v>119</v>
      </c>
      <c r="C70" s="124" t="s">
        <v>120</v>
      </c>
      <c r="D70" s="125" t="s">
        <v>105</v>
      </c>
      <c r="E70" s="83">
        <v>50</v>
      </c>
      <c r="F70" s="83"/>
      <c r="G70" s="90">
        <v>5100</v>
      </c>
      <c r="H70" s="90">
        <f>G70*E70</f>
        <v>255000</v>
      </c>
      <c r="I70" s="90">
        <v>700</v>
      </c>
      <c r="J70" s="90">
        <f>I70*E70</f>
        <v>35000</v>
      </c>
      <c r="K70" s="90">
        <f>J70+H70</f>
        <v>290000</v>
      </c>
      <c r="L70" s="87"/>
      <c r="M70" s="87"/>
    </row>
    <row r="71" spans="1:21" s="52" customFormat="1" ht="21.95" customHeight="1" x14ac:dyDescent="0.2">
      <c r="A71" s="19"/>
      <c r="B71" s="123">
        <f>B68+0.1</f>
        <v>10.399999999999999</v>
      </c>
      <c r="C71" s="124" t="s">
        <v>121</v>
      </c>
      <c r="D71" s="125"/>
      <c r="E71" s="83"/>
      <c r="F71" s="83"/>
      <c r="G71" s="84"/>
      <c r="H71" s="84"/>
      <c r="I71" s="85"/>
      <c r="J71" s="85"/>
      <c r="K71" s="84"/>
      <c r="L71" s="87"/>
      <c r="M71" s="87"/>
    </row>
    <row r="72" spans="1:21" s="52" customFormat="1" ht="21.95" customHeight="1" x14ac:dyDescent="0.2">
      <c r="A72" s="19"/>
      <c r="B72" s="89" t="s">
        <v>93</v>
      </c>
      <c r="C72" s="124" t="s">
        <v>122</v>
      </c>
      <c r="D72" s="125" t="s">
        <v>21</v>
      </c>
      <c r="E72" s="83">
        <v>12</v>
      </c>
      <c r="F72" s="83"/>
      <c r="G72" s="90">
        <v>2800</v>
      </c>
      <c r="H72" s="90">
        <f>G72*E72</f>
        <v>33600</v>
      </c>
      <c r="I72" s="90">
        <v>1000</v>
      </c>
      <c r="J72" s="90">
        <f>I72*E72</f>
        <v>12000</v>
      </c>
      <c r="K72" s="90">
        <f>J72+H72</f>
        <v>45600</v>
      </c>
      <c r="L72" s="87"/>
      <c r="M72" s="87"/>
    </row>
    <row r="73" spans="1:21" s="52" customFormat="1" ht="39.75" customHeight="1" x14ac:dyDescent="0.2">
      <c r="A73" s="112">
        <f>A65+1</f>
        <v>11</v>
      </c>
      <c r="B73" s="113"/>
      <c r="C73" s="127" t="s">
        <v>123</v>
      </c>
      <c r="D73" s="125"/>
      <c r="E73" s="83"/>
      <c r="F73" s="83"/>
      <c r="G73" s="84"/>
      <c r="H73" s="84"/>
      <c r="I73" s="85"/>
      <c r="J73" s="85"/>
      <c r="K73" s="84"/>
      <c r="L73" s="87"/>
      <c r="M73" s="87"/>
    </row>
    <row r="74" spans="1:21" s="52" customFormat="1" ht="24" customHeight="1" x14ac:dyDescent="0.2">
      <c r="A74" s="125"/>
      <c r="B74" s="123">
        <f>A73+0.1</f>
        <v>11.1</v>
      </c>
      <c r="C74" s="124" t="s">
        <v>122</v>
      </c>
      <c r="D74" s="125" t="s">
        <v>105</v>
      </c>
      <c r="E74" s="83">
        <v>120</v>
      </c>
      <c r="F74" s="83"/>
      <c r="G74" s="90">
        <v>690</v>
      </c>
      <c r="H74" s="90">
        <f>G74*E74</f>
        <v>82800</v>
      </c>
      <c r="I74" s="90">
        <v>150</v>
      </c>
      <c r="J74" s="90">
        <f>I74*E74</f>
        <v>18000</v>
      </c>
      <c r="K74" s="90">
        <f>J74+H74</f>
        <v>100800</v>
      </c>
      <c r="L74" s="87"/>
      <c r="M74" s="87"/>
    </row>
    <row r="75" spans="1:21" s="52" customFormat="1" ht="24" customHeight="1" x14ac:dyDescent="0.2">
      <c r="A75" s="125"/>
      <c r="B75" s="123">
        <f>B74+0.1</f>
        <v>11.2</v>
      </c>
      <c r="C75" s="124" t="s">
        <v>124</v>
      </c>
      <c r="D75" s="125" t="s">
        <v>105</v>
      </c>
      <c r="E75" s="83">
        <v>3</v>
      </c>
      <c r="F75" s="83"/>
      <c r="G75" s="90">
        <v>1066</v>
      </c>
      <c r="H75" s="90">
        <f>G75*E75</f>
        <v>3198</v>
      </c>
      <c r="I75" s="90">
        <v>160</v>
      </c>
      <c r="J75" s="90">
        <f>I75*E75</f>
        <v>480</v>
      </c>
      <c r="K75" s="90">
        <f>J75+H75</f>
        <v>3678</v>
      </c>
      <c r="L75" s="87"/>
      <c r="M75" s="87"/>
    </row>
    <row r="76" spans="1:21" s="52" customFormat="1" ht="39.75" customHeight="1" x14ac:dyDescent="0.2">
      <c r="A76" s="112">
        <f>A73+1</f>
        <v>12</v>
      </c>
      <c r="B76" s="113"/>
      <c r="C76" s="94" t="s">
        <v>125</v>
      </c>
      <c r="D76" s="125"/>
      <c r="E76" s="83"/>
      <c r="F76" s="83"/>
      <c r="G76" s="84"/>
      <c r="H76" s="84"/>
      <c r="I76" s="85"/>
      <c r="J76" s="85"/>
      <c r="K76" s="84"/>
      <c r="L76" s="87"/>
      <c r="M76" s="87"/>
    </row>
    <row r="77" spans="1:21" s="52" customFormat="1" ht="24" customHeight="1" x14ac:dyDescent="0.2">
      <c r="A77" s="125"/>
      <c r="B77" s="123">
        <f>A76+0.1</f>
        <v>12.1</v>
      </c>
      <c r="C77" s="124" t="s">
        <v>122</v>
      </c>
      <c r="D77" s="19" t="str">
        <f t="shared" ref="D77:D78" si="12">IF(C77="","",IF(E77="","",IF(E77&gt;1,"Nos.","No.")))</f>
        <v>Nos.</v>
      </c>
      <c r="E77" s="83">
        <v>90</v>
      </c>
      <c r="F77" s="83"/>
      <c r="G77" s="90">
        <v>2800</v>
      </c>
      <c r="H77" s="90">
        <f>G77*E77</f>
        <v>252000</v>
      </c>
      <c r="I77" s="90">
        <v>800</v>
      </c>
      <c r="J77" s="90">
        <f>I77*E77</f>
        <v>72000</v>
      </c>
      <c r="K77" s="90">
        <f>J77+H77</f>
        <v>324000</v>
      </c>
      <c r="L77" s="87"/>
      <c r="M77" s="87"/>
    </row>
    <row r="78" spans="1:21" s="52" customFormat="1" ht="24" customHeight="1" x14ac:dyDescent="0.2">
      <c r="A78" s="125"/>
      <c r="B78" s="123">
        <f>B77+0.1</f>
        <v>12.2</v>
      </c>
      <c r="C78" s="124" t="s">
        <v>124</v>
      </c>
      <c r="D78" s="19" t="str">
        <f t="shared" si="12"/>
        <v>No.</v>
      </c>
      <c r="E78" s="83">
        <v>1</v>
      </c>
      <c r="F78" s="83"/>
      <c r="G78" s="90">
        <v>3500</v>
      </c>
      <c r="H78" s="90">
        <f>G78*E78</f>
        <v>3500</v>
      </c>
      <c r="I78" s="90">
        <v>1000</v>
      </c>
      <c r="J78" s="90">
        <f>I78*E78</f>
        <v>1000</v>
      </c>
      <c r="K78" s="90">
        <f>J78+H78</f>
        <v>4500</v>
      </c>
      <c r="L78" s="87"/>
      <c r="M78" s="87"/>
    </row>
    <row r="79" spans="1:21" ht="63" x14ac:dyDescent="0.25">
      <c r="A79" s="112">
        <f>A76+1</f>
        <v>13</v>
      </c>
      <c r="B79" s="113"/>
      <c r="C79" s="128" t="s">
        <v>126</v>
      </c>
      <c r="D79" s="129" t="s">
        <v>111</v>
      </c>
      <c r="E79" s="76">
        <v>3</v>
      </c>
      <c r="F79" s="76"/>
      <c r="G79" s="90">
        <v>3500</v>
      </c>
      <c r="H79" s="90">
        <f>G79*E79</f>
        <v>10500</v>
      </c>
      <c r="I79" s="90">
        <v>700</v>
      </c>
      <c r="J79" s="90">
        <f>I79*E79</f>
        <v>2100</v>
      </c>
      <c r="K79" s="90">
        <f>J79+H79</f>
        <v>12600</v>
      </c>
      <c r="L79" s="78"/>
      <c r="M79" s="78"/>
    </row>
    <row r="80" spans="1:21" s="52" customFormat="1" ht="94.5" x14ac:dyDescent="0.2">
      <c r="A80" s="118">
        <f>A79+1</f>
        <v>14</v>
      </c>
      <c r="B80" s="130"/>
      <c r="C80" s="94" t="s">
        <v>127</v>
      </c>
      <c r="D80" s="19"/>
      <c r="E80" s="83"/>
      <c r="F80" s="83"/>
      <c r="G80" s="84"/>
      <c r="H80" s="84"/>
      <c r="I80" s="85"/>
      <c r="J80" s="85"/>
      <c r="K80" s="84"/>
      <c r="L80" s="87"/>
      <c r="M80" s="106"/>
      <c r="N80" s="131"/>
      <c r="O80" s="131"/>
      <c r="P80" s="131"/>
      <c r="Q80" s="131"/>
      <c r="R80" s="131"/>
      <c r="S80" s="131"/>
      <c r="T80" s="131"/>
      <c r="U80" s="131"/>
    </row>
    <row r="81" spans="1:13" s="52" customFormat="1" ht="24" customHeight="1" x14ac:dyDescent="0.2">
      <c r="A81" s="19"/>
      <c r="B81" s="123">
        <f>A80+0.1</f>
        <v>14.1</v>
      </c>
      <c r="C81" s="87" t="s">
        <v>104</v>
      </c>
      <c r="D81" s="19" t="s">
        <v>105</v>
      </c>
      <c r="E81" s="83">
        <v>45</v>
      </c>
      <c r="F81" s="83"/>
      <c r="G81" s="90">
        <v>2800</v>
      </c>
      <c r="H81" s="90">
        <f>G81*E81</f>
        <v>126000</v>
      </c>
      <c r="I81" s="90">
        <v>400</v>
      </c>
      <c r="J81" s="90">
        <f>I81*E81</f>
        <v>18000</v>
      </c>
      <c r="K81" s="90">
        <f>J81+H81</f>
        <v>144000</v>
      </c>
      <c r="L81" s="85"/>
      <c r="M81" s="87"/>
    </row>
    <row r="82" spans="1:13" ht="63" x14ac:dyDescent="0.25">
      <c r="A82" s="118">
        <f>A80+1</f>
        <v>15</v>
      </c>
      <c r="B82" s="119"/>
      <c r="C82" s="94" t="s">
        <v>128</v>
      </c>
      <c r="D82" s="73" t="s">
        <v>102</v>
      </c>
      <c r="E82" s="76">
        <v>1</v>
      </c>
      <c r="F82" s="76"/>
      <c r="G82" s="90">
        <v>25000</v>
      </c>
      <c r="H82" s="90">
        <f>G82*E82</f>
        <v>25000</v>
      </c>
      <c r="I82" s="90">
        <v>12000</v>
      </c>
      <c r="J82" s="90">
        <f>I82*E82</f>
        <v>12000</v>
      </c>
      <c r="K82" s="90">
        <f>J82+H82</f>
        <v>37000</v>
      </c>
      <c r="L82" s="78"/>
      <c r="M82" s="78"/>
    </row>
    <row r="83" spans="1:13" ht="78.75" x14ac:dyDescent="0.25">
      <c r="A83" s="118">
        <f t="shared" ref="A83" si="13">A82+1</f>
        <v>16</v>
      </c>
      <c r="B83" s="119"/>
      <c r="C83" s="94" t="s">
        <v>129</v>
      </c>
      <c r="D83" s="129" t="s">
        <v>102</v>
      </c>
      <c r="E83" s="76">
        <v>1</v>
      </c>
      <c r="F83" s="76"/>
      <c r="G83" s="90">
        <v>50000</v>
      </c>
      <c r="H83" s="90">
        <f>G83*E83</f>
        <v>50000</v>
      </c>
      <c r="I83" s="90">
        <v>15000</v>
      </c>
      <c r="J83" s="90">
        <f>I83*E83</f>
        <v>15000</v>
      </c>
      <c r="K83" s="90">
        <f>J83+H83</f>
        <v>65000</v>
      </c>
      <c r="L83" s="78"/>
      <c r="M83" s="78"/>
    </row>
    <row r="84" spans="1:13" s="52" customFormat="1" ht="63" x14ac:dyDescent="0.25">
      <c r="A84" s="118">
        <f>A83+1</f>
        <v>17</v>
      </c>
      <c r="B84" s="130"/>
      <c r="C84" s="114" t="s">
        <v>130</v>
      </c>
      <c r="D84" s="129" t="s">
        <v>102</v>
      </c>
      <c r="E84" s="76">
        <v>1</v>
      </c>
      <c r="F84" s="76"/>
      <c r="G84" s="90">
        <v>20000</v>
      </c>
      <c r="H84" s="90">
        <f>G84*E84</f>
        <v>20000</v>
      </c>
      <c r="I84" s="90">
        <v>18000</v>
      </c>
      <c r="J84" s="90">
        <f>I84*E84</f>
        <v>18000</v>
      </c>
      <c r="K84" s="90">
        <f>J84+H84</f>
        <v>38000</v>
      </c>
      <c r="L84" s="87"/>
      <c r="M84" s="87"/>
    </row>
    <row r="85" spans="1:13" s="52" customFormat="1" ht="37.5" customHeight="1" x14ac:dyDescent="0.25">
      <c r="A85" s="118"/>
      <c r="B85" s="130"/>
      <c r="C85" s="114" t="s">
        <v>236</v>
      </c>
      <c r="D85" s="129" t="s">
        <v>102</v>
      </c>
      <c r="E85" s="76">
        <v>1</v>
      </c>
      <c r="F85" s="76"/>
      <c r="G85" s="90"/>
      <c r="H85" s="90">
        <f>G85*E85</f>
        <v>0</v>
      </c>
      <c r="I85" s="90"/>
      <c r="J85" s="90">
        <f>I85*E85</f>
        <v>0</v>
      </c>
      <c r="K85" s="90">
        <f>J85+H85</f>
        <v>0</v>
      </c>
      <c r="L85" s="87"/>
      <c r="M85" s="87"/>
    </row>
    <row r="86" spans="1:13" s="52" customFormat="1" ht="32.25" customHeight="1" x14ac:dyDescent="0.2">
      <c r="A86" s="19"/>
      <c r="B86" s="89"/>
      <c r="C86" s="18" t="s">
        <v>131</v>
      </c>
      <c r="D86" s="19"/>
      <c r="E86" s="70"/>
      <c r="F86" s="70"/>
      <c r="G86" s="20"/>
      <c r="H86" s="20"/>
      <c r="I86" s="20"/>
      <c r="J86" s="20"/>
      <c r="K86" s="20">
        <f>SUM(K9:K85)</f>
        <v>18947512</v>
      </c>
      <c r="L86" s="87"/>
      <c r="M86" s="87"/>
    </row>
    <row r="87" spans="1:13" s="136" customFormat="1" x14ac:dyDescent="0.25">
      <c r="A87" s="132"/>
      <c r="B87" s="133"/>
      <c r="C87" s="79"/>
      <c r="D87" s="132"/>
      <c r="E87" s="134"/>
      <c r="F87" s="134"/>
      <c r="G87" s="135"/>
      <c r="H87" s="135"/>
      <c r="I87" s="135"/>
      <c r="J87" s="135"/>
      <c r="K87" s="135"/>
    </row>
    <row r="88" spans="1:13" s="136" customFormat="1" ht="33" hidden="1" customHeight="1" x14ac:dyDescent="0.25">
      <c r="A88" s="273" t="s">
        <v>250</v>
      </c>
      <c r="B88" s="273"/>
      <c r="C88" s="273"/>
      <c r="D88" s="273"/>
      <c r="E88" s="273"/>
      <c r="F88" s="273"/>
      <c r="G88" s="273"/>
      <c r="H88" s="273"/>
      <c r="I88" s="273"/>
      <c r="J88" s="273"/>
      <c r="K88" s="273"/>
      <c r="L88" s="79"/>
    </row>
    <row r="89" spans="1:13" s="136" customFormat="1" ht="31.5" hidden="1" customHeight="1" x14ac:dyDescent="0.25">
      <c r="A89" s="273" t="s">
        <v>132</v>
      </c>
      <c r="B89" s="273"/>
      <c r="C89" s="273"/>
      <c r="D89" s="273"/>
      <c r="E89" s="273"/>
      <c r="F89" s="273"/>
      <c r="G89" s="273"/>
      <c r="H89" s="273"/>
      <c r="I89" s="273"/>
      <c r="J89" s="273"/>
      <c r="K89" s="273"/>
    </row>
    <row r="90" spans="1:13" s="136" customFormat="1" hidden="1" x14ac:dyDescent="0.25">
      <c r="A90" s="132"/>
      <c r="B90" s="133"/>
      <c r="C90" s="79"/>
      <c r="D90" s="132"/>
      <c r="E90" s="134"/>
      <c r="F90" s="134"/>
      <c r="G90" s="135"/>
      <c r="H90" s="135"/>
      <c r="I90" s="135"/>
      <c r="J90" s="135"/>
      <c r="K90" s="135"/>
    </row>
    <row r="91" spans="1:13" s="136" customFormat="1" ht="43.5" customHeight="1" x14ac:dyDescent="0.25">
      <c r="A91" s="273" t="s">
        <v>251</v>
      </c>
      <c r="B91" s="273"/>
      <c r="C91" s="273"/>
      <c r="D91" s="273"/>
      <c r="E91" s="273"/>
      <c r="F91" s="273"/>
      <c r="G91" s="273"/>
      <c r="H91" s="273"/>
      <c r="I91" s="273"/>
      <c r="J91" s="273"/>
      <c r="K91" s="273"/>
      <c r="L91" s="79"/>
    </row>
    <row r="92" spans="1:13" s="136" customFormat="1" ht="31.5" customHeight="1" x14ac:dyDescent="0.25">
      <c r="A92" s="273" t="s">
        <v>133</v>
      </c>
      <c r="B92" s="273"/>
      <c r="C92" s="273"/>
      <c r="D92" s="273"/>
      <c r="E92" s="273"/>
      <c r="F92" s="273"/>
      <c r="G92" s="273"/>
      <c r="H92" s="273"/>
      <c r="I92" s="273"/>
      <c r="J92" s="273"/>
      <c r="K92" s="273"/>
    </row>
    <row r="93" spans="1:13" s="136" customFormat="1" x14ac:dyDescent="0.25">
      <c r="A93" s="132"/>
      <c r="B93" s="133"/>
      <c r="C93" s="79"/>
      <c r="D93" s="132"/>
      <c r="E93" s="134"/>
      <c r="F93" s="134"/>
      <c r="G93" s="135"/>
      <c r="H93" s="135"/>
      <c r="I93" s="135"/>
      <c r="J93" s="135"/>
      <c r="K93" s="135"/>
    </row>
    <row r="94" spans="1:13" s="136" customFormat="1" ht="47.25" x14ac:dyDescent="0.25">
      <c r="A94" s="55" t="s">
        <v>17</v>
      </c>
      <c r="B94" s="56"/>
      <c r="C94" s="57"/>
      <c r="D94" s="57"/>
      <c r="E94" s="56"/>
      <c r="F94" s="56"/>
      <c r="G94" s="58"/>
      <c r="H94" s="135"/>
      <c r="I94" s="135"/>
      <c r="J94" s="135"/>
      <c r="K94" s="135"/>
    </row>
    <row r="95" spans="1:13" s="136" customFormat="1" x14ac:dyDescent="0.25">
      <c r="A95" s="59" t="s">
        <v>6</v>
      </c>
      <c r="B95" s="56"/>
      <c r="C95" s="57"/>
      <c r="D95" s="57"/>
      <c r="E95" s="56"/>
      <c r="F95" s="56"/>
      <c r="G95" s="58"/>
      <c r="H95" s="135"/>
      <c r="I95" s="135"/>
      <c r="J95" s="135"/>
      <c r="K95" s="135"/>
    </row>
    <row r="96" spans="1:13" s="136" customFormat="1" x14ac:dyDescent="0.25">
      <c r="A96" s="59" t="s">
        <v>7</v>
      </c>
      <c r="B96" s="56"/>
      <c r="C96" s="57"/>
      <c r="D96" s="57"/>
      <c r="E96" s="56"/>
      <c r="F96" s="56"/>
      <c r="G96" s="58"/>
      <c r="H96" s="135"/>
      <c r="I96" s="135"/>
      <c r="J96" s="135"/>
      <c r="K96" s="135"/>
    </row>
    <row r="97" spans="1:11" s="136" customFormat="1" x14ac:dyDescent="0.25">
      <c r="A97" s="274" t="s">
        <v>8</v>
      </c>
      <c r="B97" s="274"/>
      <c r="C97" s="274"/>
      <c r="D97" s="274"/>
      <c r="E97" s="274"/>
      <c r="F97" s="274"/>
      <c r="G97" s="274"/>
      <c r="H97" s="135"/>
      <c r="I97" s="135"/>
      <c r="J97" s="135"/>
      <c r="K97" s="135"/>
    </row>
    <row r="98" spans="1:11" s="136" customFormat="1" x14ac:dyDescent="0.25">
      <c r="A98" s="270" t="s">
        <v>26</v>
      </c>
      <c r="B98" s="270"/>
      <c r="C98" s="270"/>
      <c r="D98" s="270"/>
      <c r="E98" s="270"/>
      <c r="F98" s="60"/>
      <c r="G98" s="61"/>
      <c r="H98" s="135"/>
      <c r="I98" s="135"/>
      <c r="J98" s="135"/>
      <c r="K98" s="135"/>
    </row>
    <row r="99" spans="1:11" s="136" customFormat="1" x14ac:dyDescent="0.25">
      <c r="A99" s="270" t="s">
        <v>27</v>
      </c>
      <c r="B99" s="270"/>
      <c r="C99" s="270"/>
      <c r="D99" s="270"/>
      <c r="E99" s="270"/>
      <c r="F99" s="60"/>
      <c r="G99" s="61"/>
      <c r="H99" s="135"/>
      <c r="I99" s="135"/>
      <c r="J99" s="135"/>
      <c r="K99" s="135"/>
    </row>
    <row r="100" spans="1:11" s="136" customFormat="1" x14ac:dyDescent="0.25">
      <c r="A100" s="132"/>
      <c r="B100" s="133"/>
      <c r="C100" s="79"/>
      <c r="D100" s="132"/>
      <c r="E100" s="134"/>
      <c r="F100" s="134"/>
      <c r="G100" s="135"/>
      <c r="H100" s="135"/>
      <c r="I100" s="135"/>
      <c r="J100" s="135"/>
      <c r="K100" s="135"/>
    </row>
    <row r="101" spans="1:11" s="136" customFormat="1" ht="47.25" x14ac:dyDescent="0.25">
      <c r="A101" s="55" t="s">
        <v>17</v>
      </c>
      <c r="B101" s="56"/>
      <c r="C101" s="57"/>
      <c r="D101" s="57"/>
      <c r="E101" s="56"/>
      <c r="F101" s="56"/>
      <c r="G101" s="58"/>
      <c r="H101" s="135"/>
      <c r="I101" s="135"/>
      <c r="J101" s="135"/>
      <c r="K101" s="135"/>
    </row>
    <row r="102" spans="1:11" s="136" customFormat="1" x14ac:dyDescent="0.25">
      <c r="A102" s="59" t="s">
        <v>6</v>
      </c>
      <c r="B102" s="56"/>
      <c r="C102" s="57"/>
      <c r="D102" s="57"/>
      <c r="E102" s="56"/>
      <c r="F102" s="56"/>
      <c r="G102" s="58"/>
      <c r="H102" s="135"/>
      <c r="I102" s="135"/>
      <c r="J102" s="135"/>
      <c r="K102" s="135"/>
    </row>
    <row r="103" spans="1:11" s="136" customFormat="1" x14ac:dyDescent="0.25">
      <c r="A103" s="59" t="s">
        <v>7</v>
      </c>
      <c r="B103" s="56"/>
      <c r="C103" s="57"/>
      <c r="D103" s="57"/>
      <c r="E103" s="56"/>
      <c r="F103" s="56"/>
      <c r="G103" s="58"/>
      <c r="H103" s="135"/>
      <c r="I103" s="135"/>
      <c r="J103" s="135"/>
      <c r="K103" s="135"/>
    </row>
    <row r="104" spans="1:11" s="136" customFormat="1" x14ac:dyDescent="0.25">
      <c r="A104" s="274" t="s">
        <v>8</v>
      </c>
      <c r="B104" s="274"/>
      <c r="C104" s="274"/>
      <c r="D104" s="274"/>
      <c r="E104" s="274"/>
      <c r="F104" s="274"/>
      <c r="G104" s="274"/>
      <c r="H104" s="135"/>
      <c r="I104" s="135"/>
      <c r="J104" s="135"/>
      <c r="K104" s="135"/>
    </row>
    <row r="105" spans="1:11" s="136" customFormat="1" x14ac:dyDescent="0.25">
      <c r="A105" s="270" t="s">
        <v>26</v>
      </c>
      <c r="B105" s="270"/>
      <c r="C105" s="270"/>
      <c r="D105" s="270"/>
      <c r="E105" s="270"/>
      <c r="F105" s="60"/>
      <c r="G105" s="61"/>
      <c r="H105" s="135"/>
      <c r="I105" s="135"/>
      <c r="J105" s="135"/>
      <c r="K105" s="135"/>
    </row>
    <row r="106" spans="1:11" s="136" customFormat="1" x14ac:dyDescent="0.25">
      <c r="A106" s="270" t="s">
        <v>27</v>
      </c>
      <c r="B106" s="270"/>
      <c r="C106" s="270"/>
      <c r="D106" s="270"/>
      <c r="E106" s="270"/>
      <c r="F106" s="60"/>
      <c r="G106" s="61"/>
      <c r="H106" s="135"/>
      <c r="I106" s="135"/>
      <c r="J106" s="135"/>
      <c r="K106" s="135"/>
    </row>
    <row r="107" spans="1:11" s="136" customFormat="1" x14ac:dyDescent="0.25">
      <c r="A107" s="132"/>
      <c r="B107" s="133"/>
      <c r="C107" s="79"/>
      <c r="D107" s="132"/>
      <c r="E107" s="134"/>
      <c r="F107" s="134"/>
      <c r="G107" s="135"/>
      <c r="H107" s="135"/>
      <c r="I107" s="135"/>
      <c r="J107" s="135"/>
      <c r="K107" s="135"/>
    </row>
    <row r="108" spans="1:11" s="136" customFormat="1" x14ac:dyDescent="0.25">
      <c r="A108" s="132"/>
      <c r="B108" s="133"/>
      <c r="C108" s="79"/>
      <c r="D108" s="132"/>
      <c r="E108" s="134"/>
      <c r="F108" s="134"/>
      <c r="G108" s="135"/>
      <c r="H108" s="135"/>
      <c r="I108" s="135"/>
      <c r="J108" s="135"/>
      <c r="K108" s="135"/>
    </row>
    <row r="109" spans="1:11" s="136" customFormat="1" x14ac:dyDescent="0.25">
      <c r="A109" s="132"/>
      <c r="B109" s="133"/>
      <c r="C109" s="79"/>
      <c r="D109" s="132"/>
      <c r="E109" s="134"/>
      <c r="F109" s="134"/>
      <c r="G109" s="135"/>
      <c r="H109" s="135"/>
      <c r="I109" s="135"/>
      <c r="J109" s="135"/>
      <c r="K109" s="135"/>
    </row>
    <row r="110" spans="1:11" s="136" customFormat="1" x14ac:dyDescent="0.25">
      <c r="A110" s="132"/>
      <c r="B110" s="133"/>
      <c r="C110" s="79"/>
      <c r="D110" s="132"/>
      <c r="E110" s="134"/>
      <c r="F110" s="134"/>
      <c r="G110" s="135"/>
      <c r="H110" s="135"/>
      <c r="I110" s="135"/>
      <c r="J110" s="135"/>
      <c r="K110" s="135"/>
    </row>
    <row r="111" spans="1:11" s="136" customFormat="1" x14ac:dyDescent="0.25">
      <c r="A111" s="132"/>
      <c r="B111" s="133"/>
      <c r="C111" s="79"/>
      <c r="D111" s="132"/>
      <c r="E111" s="134"/>
      <c r="F111" s="134"/>
      <c r="G111" s="135"/>
      <c r="H111" s="135"/>
      <c r="I111" s="135"/>
      <c r="J111" s="135"/>
      <c r="K111" s="135"/>
    </row>
    <row r="112" spans="1:11" s="136" customFormat="1" x14ac:dyDescent="0.25">
      <c r="A112" s="132"/>
      <c r="B112" s="133"/>
      <c r="C112" s="79"/>
      <c r="D112" s="132"/>
      <c r="E112" s="134"/>
      <c r="F112" s="134"/>
      <c r="G112" s="135"/>
      <c r="H112" s="135"/>
      <c r="I112" s="135"/>
      <c r="J112" s="135"/>
      <c r="K112" s="135"/>
    </row>
    <row r="113" spans="1:11" s="136" customFormat="1" x14ac:dyDescent="0.25">
      <c r="A113" s="132"/>
      <c r="B113" s="133"/>
      <c r="C113" s="79"/>
      <c r="D113" s="132"/>
      <c r="E113" s="134"/>
      <c r="F113" s="134"/>
      <c r="G113" s="135"/>
      <c r="H113" s="135"/>
      <c r="I113" s="135"/>
      <c r="J113" s="135"/>
      <c r="K113" s="135"/>
    </row>
    <row r="114" spans="1:11" s="136" customFormat="1" x14ac:dyDescent="0.25">
      <c r="A114" s="132"/>
      <c r="B114" s="133"/>
      <c r="C114" s="79"/>
      <c r="D114" s="132"/>
      <c r="E114" s="134"/>
      <c r="F114" s="134"/>
      <c r="G114" s="135"/>
      <c r="H114" s="135"/>
      <c r="I114" s="135"/>
      <c r="J114" s="135"/>
      <c r="K114" s="135"/>
    </row>
    <row r="115" spans="1:11" s="136" customFormat="1" x14ac:dyDescent="0.25">
      <c r="A115" s="132"/>
      <c r="B115" s="133"/>
      <c r="C115" s="79"/>
      <c r="D115" s="132"/>
      <c r="E115" s="134"/>
      <c r="F115" s="134"/>
      <c r="G115" s="135"/>
      <c r="H115" s="135"/>
      <c r="I115" s="135"/>
      <c r="J115" s="135"/>
      <c r="K115" s="135"/>
    </row>
    <row r="116" spans="1:11" s="136" customFormat="1" x14ac:dyDescent="0.25">
      <c r="A116" s="132"/>
      <c r="B116" s="133"/>
      <c r="C116" s="79"/>
      <c r="D116" s="132"/>
      <c r="E116" s="134"/>
      <c r="F116" s="134"/>
      <c r="G116" s="135"/>
      <c r="H116" s="135"/>
      <c r="I116" s="135"/>
      <c r="J116" s="135"/>
      <c r="K116" s="135"/>
    </row>
    <row r="117" spans="1:11" s="136" customFormat="1" x14ac:dyDescent="0.25">
      <c r="A117" s="132"/>
      <c r="B117" s="133"/>
      <c r="C117" s="79"/>
      <c r="D117" s="132"/>
      <c r="E117" s="134"/>
      <c r="F117" s="134"/>
      <c r="G117" s="135"/>
      <c r="H117" s="135"/>
      <c r="I117" s="135"/>
      <c r="J117" s="135"/>
      <c r="K117" s="135"/>
    </row>
    <row r="118" spans="1:11" s="136" customFormat="1" x14ac:dyDescent="0.25">
      <c r="A118" s="132"/>
      <c r="B118" s="133"/>
      <c r="C118" s="79"/>
      <c r="D118" s="132"/>
      <c r="E118" s="134"/>
      <c r="F118" s="134"/>
      <c r="G118" s="135"/>
      <c r="H118" s="135"/>
      <c r="I118" s="135"/>
      <c r="J118" s="135"/>
      <c r="K118" s="135"/>
    </row>
    <row r="119" spans="1:11" s="136" customFormat="1" x14ac:dyDescent="0.25">
      <c r="A119" s="132"/>
      <c r="B119" s="133"/>
      <c r="C119" s="79"/>
      <c r="D119" s="132"/>
      <c r="E119" s="134"/>
      <c r="F119" s="134"/>
      <c r="G119" s="135"/>
      <c r="H119" s="135"/>
      <c r="I119" s="135"/>
      <c r="J119" s="135"/>
      <c r="K119" s="135"/>
    </row>
    <row r="120" spans="1:11" s="136" customFormat="1" x14ac:dyDescent="0.25">
      <c r="A120" s="132"/>
      <c r="B120" s="133"/>
      <c r="C120" s="79"/>
      <c r="D120" s="132"/>
      <c r="E120" s="134"/>
      <c r="F120" s="134"/>
      <c r="G120" s="135"/>
      <c r="H120" s="135"/>
      <c r="I120" s="135"/>
      <c r="J120" s="135"/>
      <c r="K120" s="135"/>
    </row>
    <row r="121" spans="1:11" s="136" customFormat="1" x14ac:dyDescent="0.25">
      <c r="A121" s="132"/>
      <c r="B121" s="133"/>
      <c r="C121" s="79"/>
      <c r="D121" s="132"/>
      <c r="E121" s="134"/>
      <c r="F121" s="134"/>
      <c r="G121" s="135"/>
      <c r="H121" s="135"/>
      <c r="I121" s="135"/>
      <c r="J121" s="135"/>
      <c r="K121" s="135"/>
    </row>
    <row r="122" spans="1:11" s="136" customFormat="1" x14ac:dyDescent="0.25">
      <c r="A122" s="132"/>
      <c r="B122" s="133"/>
      <c r="C122" s="79"/>
      <c r="D122" s="132"/>
      <c r="E122" s="134"/>
      <c r="F122" s="134"/>
      <c r="G122" s="135"/>
      <c r="H122" s="135"/>
      <c r="I122" s="135"/>
      <c r="J122" s="135"/>
      <c r="K122" s="135"/>
    </row>
    <row r="123" spans="1:11" s="136" customFormat="1" x14ac:dyDescent="0.25">
      <c r="A123" s="132"/>
      <c r="B123" s="133"/>
      <c r="C123" s="79"/>
      <c r="D123" s="132"/>
      <c r="E123" s="134"/>
      <c r="F123" s="134"/>
      <c r="G123" s="135"/>
      <c r="H123" s="135"/>
      <c r="I123" s="135"/>
      <c r="J123" s="135"/>
      <c r="K123" s="135"/>
    </row>
    <row r="124" spans="1:11" s="136" customFormat="1" x14ac:dyDescent="0.25">
      <c r="A124" s="132"/>
      <c r="B124" s="133"/>
      <c r="C124" s="79"/>
      <c r="D124" s="132"/>
      <c r="E124" s="134"/>
      <c r="F124" s="134"/>
      <c r="G124" s="135"/>
      <c r="H124" s="135"/>
      <c r="I124" s="135"/>
      <c r="J124" s="135"/>
      <c r="K124" s="135"/>
    </row>
    <row r="125" spans="1:11" s="136" customFormat="1" x14ac:dyDescent="0.25">
      <c r="A125" s="132"/>
      <c r="B125" s="133"/>
      <c r="C125" s="79"/>
      <c r="D125" s="132"/>
      <c r="E125" s="134"/>
      <c r="F125" s="134"/>
      <c r="G125" s="135"/>
      <c r="H125" s="135"/>
      <c r="I125" s="135"/>
      <c r="J125" s="135"/>
      <c r="K125" s="135"/>
    </row>
    <row r="126" spans="1:11" s="136" customFormat="1" x14ac:dyDescent="0.25">
      <c r="A126" s="132"/>
      <c r="B126" s="133"/>
      <c r="C126" s="79"/>
      <c r="D126" s="132"/>
      <c r="E126" s="134"/>
      <c r="F126" s="134"/>
      <c r="G126" s="135"/>
      <c r="H126" s="135"/>
      <c r="I126" s="135"/>
      <c r="J126" s="135"/>
      <c r="K126" s="135"/>
    </row>
    <row r="127" spans="1:11" s="136" customFormat="1" x14ac:dyDescent="0.25">
      <c r="A127" s="132"/>
      <c r="B127" s="133"/>
      <c r="C127" s="79"/>
      <c r="D127" s="132"/>
      <c r="E127" s="134"/>
      <c r="F127" s="134"/>
      <c r="G127" s="135"/>
      <c r="H127" s="135"/>
      <c r="I127" s="135"/>
      <c r="J127" s="135"/>
      <c r="K127" s="135"/>
    </row>
    <row r="128" spans="1:11" s="136" customFormat="1" x14ac:dyDescent="0.25">
      <c r="A128" s="132"/>
      <c r="B128" s="133"/>
      <c r="C128" s="79"/>
      <c r="D128" s="132"/>
      <c r="E128" s="134"/>
      <c r="F128" s="134"/>
      <c r="G128" s="135"/>
      <c r="H128" s="135"/>
      <c r="I128" s="135"/>
      <c r="J128" s="135"/>
      <c r="K128" s="135"/>
    </row>
    <row r="129" spans="1:11" s="136" customFormat="1" x14ac:dyDescent="0.25">
      <c r="A129" s="132"/>
      <c r="B129" s="133"/>
      <c r="C129" s="79"/>
      <c r="D129" s="132"/>
      <c r="E129" s="134"/>
      <c r="F129" s="134"/>
      <c r="G129" s="135"/>
      <c r="H129" s="135"/>
      <c r="I129" s="135"/>
      <c r="J129" s="135"/>
      <c r="K129" s="135"/>
    </row>
    <row r="130" spans="1:11" s="136" customFormat="1" x14ac:dyDescent="0.25">
      <c r="A130" s="132"/>
      <c r="B130" s="133"/>
      <c r="C130" s="79"/>
      <c r="D130" s="132"/>
      <c r="E130" s="134"/>
      <c r="F130" s="134"/>
      <c r="G130" s="135"/>
      <c r="H130" s="135"/>
      <c r="I130" s="135"/>
      <c r="J130" s="135"/>
      <c r="K130" s="135"/>
    </row>
    <row r="131" spans="1:11" s="136" customFormat="1" x14ac:dyDescent="0.25">
      <c r="A131" s="132"/>
      <c r="B131" s="133"/>
      <c r="C131" s="79"/>
      <c r="D131" s="132"/>
      <c r="E131" s="134"/>
      <c r="F131" s="134"/>
      <c r="G131" s="135"/>
      <c r="H131" s="135"/>
      <c r="I131" s="135"/>
      <c r="J131" s="135"/>
      <c r="K131" s="135"/>
    </row>
    <row r="132" spans="1:11" s="136" customFormat="1" x14ac:dyDescent="0.25">
      <c r="A132" s="132"/>
      <c r="B132" s="133"/>
      <c r="C132" s="79"/>
      <c r="D132" s="132"/>
      <c r="E132" s="134"/>
      <c r="F132" s="134"/>
      <c r="G132" s="135"/>
      <c r="H132" s="135"/>
      <c r="I132" s="135"/>
      <c r="J132" s="135"/>
      <c r="K132" s="135"/>
    </row>
    <row r="133" spans="1:11" s="136" customFormat="1" x14ac:dyDescent="0.25">
      <c r="A133" s="132"/>
      <c r="B133" s="133"/>
      <c r="C133" s="79"/>
      <c r="D133" s="132"/>
      <c r="E133" s="134"/>
      <c r="F133" s="134"/>
      <c r="G133" s="135"/>
      <c r="H133" s="135"/>
      <c r="I133" s="135"/>
      <c r="J133" s="135"/>
      <c r="K133" s="135"/>
    </row>
    <row r="134" spans="1:11" s="136" customFormat="1" x14ac:dyDescent="0.25">
      <c r="A134" s="132"/>
      <c r="B134" s="133"/>
      <c r="C134" s="79"/>
      <c r="D134" s="132"/>
      <c r="E134" s="134"/>
      <c r="F134" s="134"/>
      <c r="G134" s="135"/>
      <c r="H134" s="135"/>
      <c r="I134" s="135"/>
      <c r="J134" s="135"/>
      <c r="K134" s="135"/>
    </row>
    <row r="135" spans="1:11" s="136" customFormat="1" x14ac:dyDescent="0.25">
      <c r="A135" s="132"/>
      <c r="B135" s="133"/>
      <c r="C135" s="79"/>
      <c r="D135" s="132"/>
      <c r="E135" s="134"/>
      <c r="F135" s="134"/>
      <c r="G135" s="135"/>
      <c r="H135" s="135"/>
      <c r="I135" s="135"/>
      <c r="J135" s="135"/>
      <c r="K135" s="135"/>
    </row>
    <row r="136" spans="1:11" s="136" customFormat="1" x14ac:dyDescent="0.25">
      <c r="A136" s="132"/>
      <c r="B136" s="133"/>
      <c r="C136" s="79"/>
      <c r="D136" s="132"/>
      <c r="E136" s="134"/>
      <c r="F136" s="134"/>
      <c r="G136" s="135"/>
      <c r="H136" s="135"/>
      <c r="I136" s="135"/>
      <c r="J136" s="135"/>
      <c r="K136" s="135"/>
    </row>
    <row r="137" spans="1:11" s="136" customFormat="1" x14ac:dyDescent="0.25">
      <c r="A137" s="132"/>
      <c r="B137" s="133"/>
      <c r="C137" s="79"/>
      <c r="D137" s="132"/>
      <c r="E137" s="134"/>
      <c r="F137" s="134"/>
      <c r="G137" s="135"/>
      <c r="H137" s="135"/>
      <c r="I137" s="135"/>
      <c r="J137" s="135"/>
      <c r="K137" s="135"/>
    </row>
    <row r="138" spans="1:11" s="136" customFormat="1" x14ac:dyDescent="0.25">
      <c r="A138" s="132"/>
      <c r="B138" s="133"/>
      <c r="C138" s="79"/>
      <c r="D138" s="132"/>
      <c r="E138" s="134"/>
      <c r="F138" s="134"/>
      <c r="G138" s="135"/>
      <c r="H138" s="135"/>
      <c r="I138" s="135"/>
      <c r="J138" s="135"/>
      <c r="K138" s="135"/>
    </row>
    <row r="139" spans="1:11" s="136" customFormat="1" x14ac:dyDescent="0.25">
      <c r="A139" s="132"/>
      <c r="B139" s="133"/>
      <c r="C139" s="79"/>
      <c r="D139" s="132"/>
      <c r="E139" s="134"/>
      <c r="F139" s="134"/>
      <c r="G139" s="135"/>
      <c r="H139" s="135"/>
      <c r="I139" s="135"/>
      <c r="J139" s="135"/>
      <c r="K139" s="135"/>
    </row>
    <row r="140" spans="1:11" s="136" customFormat="1" x14ac:dyDescent="0.25">
      <c r="A140" s="132"/>
      <c r="B140" s="133"/>
      <c r="C140" s="79"/>
      <c r="D140" s="132"/>
      <c r="E140" s="134"/>
      <c r="F140" s="134"/>
      <c r="G140" s="135"/>
      <c r="H140" s="135"/>
      <c r="I140" s="135"/>
      <c r="J140" s="135"/>
      <c r="K140" s="135"/>
    </row>
    <row r="141" spans="1:11" s="136" customFormat="1" x14ac:dyDescent="0.25">
      <c r="A141" s="132"/>
      <c r="B141" s="133"/>
      <c r="C141" s="79"/>
      <c r="D141" s="132"/>
      <c r="E141" s="134"/>
      <c r="F141" s="134"/>
      <c r="G141" s="135"/>
      <c r="H141" s="135"/>
      <c r="I141" s="135"/>
      <c r="J141" s="135"/>
      <c r="K141" s="135"/>
    </row>
    <row r="142" spans="1:11" s="136" customFormat="1" x14ac:dyDescent="0.25">
      <c r="A142" s="132"/>
      <c r="B142" s="133"/>
      <c r="C142" s="79"/>
      <c r="D142" s="132"/>
      <c r="E142" s="134"/>
      <c r="F142" s="134"/>
      <c r="G142" s="135"/>
      <c r="H142" s="135"/>
      <c r="I142" s="135"/>
      <c r="J142" s="135"/>
      <c r="K142" s="135"/>
    </row>
    <row r="143" spans="1:11" s="136" customFormat="1" x14ac:dyDescent="0.25">
      <c r="A143" s="132"/>
      <c r="B143" s="133"/>
      <c r="C143" s="79"/>
      <c r="D143" s="132"/>
      <c r="E143" s="134"/>
      <c r="F143" s="134"/>
      <c r="G143" s="135"/>
      <c r="H143" s="135"/>
      <c r="I143" s="135"/>
      <c r="J143" s="135"/>
      <c r="K143" s="135"/>
    </row>
    <row r="144" spans="1:11" s="136" customFormat="1" x14ac:dyDescent="0.25">
      <c r="A144" s="132"/>
      <c r="B144" s="133"/>
      <c r="C144" s="79"/>
      <c r="D144" s="132"/>
      <c r="E144" s="134"/>
      <c r="F144" s="134"/>
      <c r="G144" s="135"/>
      <c r="H144" s="135"/>
      <c r="I144" s="135"/>
      <c r="J144" s="135"/>
      <c r="K144" s="135"/>
    </row>
    <row r="145" spans="1:11" s="136" customFormat="1" x14ac:dyDescent="0.25">
      <c r="A145" s="132"/>
      <c r="B145" s="133"/>
      <c r="C145" s="79"/>
      <c r="D145" s="132"/>
      <c r="E145" s="134"/>
      <c r="F145" s="134"/>
      <c r="G145" s="135"/>
      <c r="H145" s="135"/>
      <c r="I145" s="135"/>
      <c r="J145" s="135"/>
      <c r="K145" s="135"/>
    </row>
    <row r="146" spans="1:11" s="136" customFormat="1" x14ac:dyDescent="0.25">
      <c r="A146" s="132"/>
      <c r="B146" s="133"/>
      <c r="C146" s="79"/>
      <c r="D146" s="132"/>
      <c r="E146" s="134"/>
      <c r="F146" s="134"/>
      <c r="G146" s="135"/>
      <c r="H146" s="135"/>
      <c r="I146" s="135"/>
      <c r="J146" s="135"/>
      <c r="K146" s="135"/>
    </row>
    <row r="147" spans="1:11" s="136" customFormat="1" x14ac:dyDescent="0.25">
      <c r="A147" s="132"/>
      <c r="B147" s="133"/>
      <c r="C147" s="79"/>
      <c r="D147" s="132"/>
      <c r="E147" s="134"/>
      <c r="F147" s="134"/>
      <c r="G147" s="135"/>
      <c r="H147" s="135"/>
      <c r="I147" s="135"/>
      <c r="J147" s="135"/>
      <c r="K147" s="135"/>
    </row>
    <row r="148" spans="1:11" s="136" customFormat="1" x14ac:dyDescent="0.25">
      <c r="A148" s="132"/>
      <c r="B148" s="133"/>
      <c r="C148" s="79"/>
      <c r="D148" s="132"/>
      <c r="E148" s="134"/>
      <c r="F148" s="134"/>
      <c r="G148" s="135"/>
      <c r="H148" s="135"/>
      <c r="I148" s="135"/>
      <c r="J148" s="135"/>
      <c r="K148" s="135"/>
    </row>
    <row r="149" spans="1:11" s="136" customFormat="1" x14ac:dyDescent="0.25">
      <c r="A149" s="132"/>
      <c r="B149" s="133"/>
      <c r="C149" s="79"/>
      <c r="D149" s="132"/>
      <c r="E149" s="134"/>
      <c r="F149" s="134"/>
      <c r="G149" s="135"/>
      <c r="H149" s="135"/>
      <c r="I149" s="135"/>
      <c r="J149" s="135"/>
      <c r="K149" s="135"/>
    </row>
    <row r="150" spans="1:11" s="136" customFormat="1" x14ac:dyDescent="0.25">
      <c r="A150" s="132"/>
      <c r="B150" s="133"/>
      <c r="C150" s="79"/>
      <c r="D150" s="132"/>
      <c r="E150" s="134"/>
      <c r="F150" s="134"/>
      <c r="G150" s="135"/>
      <c r="H150" s="135"/>
      <c r="I150" s="135"/>
      <c r="J150" s="135"/>
      <c r="K150" s="135"/>
    </row>
    <row r="151" spans="1:11" s="136" customFormat="1" x14ac:dyDescent="0.25">
      <c r="A151" s="132"/>
      <c r="B151" s="133"/>
      <c r="C151" s="79"/>
      <c r="D151" s="132"/>
      <c r="E151" s="134"/>
      <c r="F151" s="134"/>
      <c r="G151" s="135"/>
      <c r="H151" s="135"/>
      <c r="I151" s="135"/>
      <c r="J151" s="135"/>
      <c r="K151" s="135"/>
    </row>
    <row r="152" spans="1:11" s="136" customFormat="1" x14ac:dyDescent="0.25">
      <c r="A152" s="132"/>
      <c r="B152" s="133"/>
      <c r="C152" s="79"/>
      <c r="D152" s="132"/>
      <c r="E152" s="134"/>
      <c r="F152" s="134"/>
      <c r="G152" s="135"/>
      <c r="H152" s="135"/>
      <c r="I152" s="135"/>
      <c r="J152" s="135"/>
      <c r="K152" s="135"/>
    </row>
    <row r="153" spans="1:11" s="136" customFormat="1" x14ac:dyDescent="0.25">
      <c r="A153" s="132"/>
      <c r="B153" s="133"/>
      <c r="C153" s="79"/>
      <c r="D153" s="132"/>
      <c r="E153" s="134"/>
      <c r="F153" s="134"/>
      <c r="G153" s="135"/>
      <c r="H153" s="135"/>
      <c r="I153" s="135"/>
      <c r="J153" s="135"/>
      <c r="K153" s="135"/>
    </row>
    <row r="154" spans="1:11" s="136" customFormat="1" x14ac:dyDescent="0.25">
      <c r="A154" s="132"/>
      <c r="B154" s="133"/>
      <c r="C154" s="79"/>
      <c r="D154" s="132"/>
      <c r="E154" s="134"/>
      <c r="F154" s="134"/>
      <c r="G154" s="135"/>
      <c r="H154" s="135"/>
      <c r="I154" s="135"/>
      <c r="J154" s="135"/>
      <c r="K154" s="135"/>
    </row>
    <row r="155" spans="1:11" s="136" customFormat="1" x14ac:dyDescent="0.25">
      <c r="A155" s="132"/>
      <c r="B155" s="133"/>
      <c r="C155" s="79"/>
      <c r="D155" s="132"/>
      <c r="E155" s="134"/>
      <c r="F155" s="134"/>
      <c r="G155" s="135"/>
      <c r="H155" s="135"/>
      <c r="I155" s="135"/>
      <c r="J155" s="135"/>
      <c r="K155" s="135"/>
    </row>
    <row r="156" spans="1:11" s="136" customFormat="1" x14ac:dyDescent="0.25">
      <c r="A156" s="132"/>
      <c r="B156" s="133"/>
      <c r="C156" s="79"/>
      <c r="D156" s="132"/>
      <c r="E156" s="134"/>
      <c r="F156" s="134"/>
      <c r="G156" s="135"/>
      <c r="H156" s="135"/>
      <c r="I156" s="135"/>
      <c r="J156" s="135"/>
      <c r="K156" s="135"/>
    </row>
    <row r="157" spans="1:11" s="136" customFormat="1" x14ac:dyDescent="0.25">
      <c r="A157" s="132"/>
      <c r="B157" s="133"/>
      <c r="C157" s="79"/>
      <c r="D157" s="132"/>
      <c r="E157" s="134"/>
      <c r="F157" s="134"/>
      <c r="G157" s="135"/>
      <c r="H157" s="135"/>
      <c r="I157" s="135"/>
      <c r="J157" s="135"/>
      <c r="K157" s="135"/>
    </row>
    <row r="158" spans="1:11" s="136" customFormat="1" x14ac:dyDescent="0.25">
      <c r="A158" s="132"/>
      <c r="B158" s="133"/>
      <c r="C158" s="79"/>
      <c r="D158" s="132"/>
      <c r="E158" s="134"/>
      <c r="F158" s="134"/>
      <c r="G158" s="135"/>
      <c r="H158" s="135"/>
      <c r="I158" s="135"/>
      <c r="J158" s="135"/>
      <c r="K158" s="135"/>
    </row>
    <row r="159" spans="1:11" s="136" customFormat="1" x14ac:dyDescent="0.25">
      <c r="A159" s="132"/>
      <c r="B159" s="133"/>
      <c r="C159" s="79"/>
      <c r="D159" s="132"/>
      <c r="E159" s="134"/>
      <c r="F159" s="134"/>
      <c r="G159" s="135"/>
      <c r="H159" s="135"/>
      <c r="I159" s="135"/>
      <c r="J159" s="135"/>
      <c r="K159" s="135"/>
    </row>
    <row r="160" spans="1:11" s="136" customFormat="1" x14ac:dyDescent="0.25">
      <c r="A160" s="132"/>
      <c r="B160" s="133"/>
      <c r="C160" s="79"/>
      <c r="D160" s="132"/>
      <c r="E160" s="134"/>
      <c r="F160" s="134"/>
      <c r="G160" s="135"/>
      <c r="H160" s="135"/>
      <c r="I160" s="135"/>
      <c r="J160" s="135"/>
      <c r="K160" s="135"/>
    </row>
    <row r="161" spans="1:11" s="136" customFormat="1" x14ac:dyDescent="0.25">
      <c r="A161" s="132"/>
      <c r="B161" s="133"/>
      <c r="C161" s="79"/>
      <c r="D161" s="132"/>
      <c r="E161" s="134"/>
      <c r="F161" s="134"/>
      <c r="G161" s="135"/>
      <c r="H161" s="135"/>
      <c r="I161" s="135"/>
      <c r="J161" s="135"/>
      <c r="K161" s="135"/>
    </row>
    <row r="162" spans="1:11" s="136" customFormat="1" x14ac:dyDescent="0.25">
      <c r="A162" s="132"/>
      <c r="B162" s="133"/>
      <c r="C162" s="79"/>
      <c r="D162" s="132"/>
      <c r="E162" s="134"/>
      <c r="F162" s="134"/>
      <c r="G162" s="135"/>
      <c r="H162" s="135"/>
      <c r="I162" s="135"/>
      <c r="J162" s="135"/>
      <c r="K162" s="135"/>
    </row>
    <row r="163" spans="1:11" s="136" customFormat="1" x14ac:dyDescent="0.25">
      <c r="A163" s="132"/>
      <c r="B163" s="133"/>
      <c r="C163" s="79"/>
      <c r="D163" s="132"/>
      <c r="E163" s="134"/>
      <c r="F163" s="134"/>
      <c r="G163" s="135"/>
      <c r="H163" s="135"/>
      <c r="I163" s="135"/>
      <c r="J163" s="135"/>
      <c r="K163" s="135"/>
    </row>
    <row r="164" spans="1:11" s="136" customFormat="1" x14ac:dyDescent="0.25">
      <c r="A164" s="132"/>
      <c r="B164" s="133"/>
      <c r="C164" s="79"/>
      <c r="D164" s="132"/>
      <c r="E164" s="134"/>
      <c r="F164" s="134"/>
      <c r="G164" s="135"/>
      <c r="H164" s="135"/>
      <c r="I164" s="135"/>
      <c r="J164" s="135"/>
      <c r="K164" s="135"/>
    </row>
  </sheetData>
  <mergeCells count="15">
    <mergeCell ref="A106:E106"/>
    <mergeCell ref="L7:L8"/>
    <mergeCell ref="M7:M8"/>
    <mergeCell ref="A92:K92"/>
    <mergeCell ref="A97:G97"/>
    <mergeCell ref="A98:E98"/>
    <mergeCell ref="A99:E99"/>
    <mergeCell ref="A104:G104"/>
    <mergeCell ref="A105:E105"/>
    <mergeCell ref="G7:H7"/>
    <mergeCell ref="I7:J7"/>
    <mergeCell ref="A8:B8"/>
    <mergeCell ref="A88:K88"/>
    <mergeCell ref="A89:K89"/>
    <mergeCell ref="A91:K91"/>
  </mergeCells>
  <printOptions horizontalCentered="1"/>
  <pageMargins left="0.25" right="0.25" top="0.75" bottom="0.5" header="0.32" footer="0.25"/>
  <pageSetup paperSize="9" scale="77" orientation="landscape" r:id="rId1"/>
  <headerFooter scaleWithDoc="0" alignWithMargins="0">
    <oddFooter>&amp;L&amp;8SEM Engineers&amp;R&amp;8Page &amp;P of  &amp;N</oddFooter>
  </headerFooter>
  <rowBreaks count="2" manualBreakCount="2">
    <brk id="49" max="10" man="1"/>
    <brk id="75"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showGridLines="0" view="pageBreakPreview" topLeftCell="A19" zoomScale="110" zoomScaleNormal="100" zoomScaleSheetLayoutView="110" workbookViewId="0">
      <selection activeCell="C35" sqref="C35"/>
    </sheetView>
  </sheetViews>
  <sheetFormatPr defaultColWidth="9.5703125" defaultRowHeight="15" x14ac:dyDescent="0.25"/>
  <cols>
    <col min="1" max="1" width="3.28515625" style="206" customWidth="1"/>
    <col min="2" max="2" width="5" style="206" customWidth="1"/>
    <col min="3" max="3" width="55.28515625" style="207" customWidth="1"/>
    <col min="4" max="4" width="6.5703125" style="206" customWidth="1"/>
    <col min="5" max="5" width="7.140625" style="206" customWidth="1"/>
    <col min="6" max="6" width="7" style="206" customWidth="1"/>
    <col min="7" max="7" width="8.140625" style="206" customWidth="1"/>
    <col min="8" max="8" width="13.7109375" style="206" customWidth="1"/>
    <col min="9" max="9" width="8.42578125" style="206" customWidth="1"/>
    <col min="10" max="11" width="13.7109375" style="206" customWidth="1"/>
    <col min="12" max="12" width="11" style="22" customWidth="1"/>
    <col min="13" max="13" width="15.28515625" style="22" customWidth="1"/>
    <col min="14" max="257" width="9.5703125" style="22"/>
    <col min="258" max="258" width="3.28515625" style="22" customWidth="1"/>
    <col min="259" max="259" width="5" style="22" customWidth="1"/>
    <col min="260" max="260" width="47.28515625" style="22" customWidth="1"/>
    <col min="261" max="261" width="6.5703125" style="22" customWidth="1"/>
    <col min="262" max="262" width="7.140625" style="22" customWidth="1"/>
    <col min="263" max="263" width="11.5703125" style="22" customWidth="1"/>
    <col min="264" max="267" width="13.7109375" style="22" customWidth="1"/>
    <col min="268" max="513" width="9.5703125" style="22"/>
    <col min="514" max="514" width="3.28515625" style="22" customWidth="1"/>
    <col min="515" max="515" width="5" style="22" customWidth="1"/>
    <col min="516" max="516" width="47.28515625" style="22" customWidth="1"/>
    <col min="517" max="517" width="6.5703125" style="22" customWidth="1"/>
    <col min="518" max="518" width="7.140625" style="22" customWidth="1"/>
    <col min="519" max="519" width="11.5703125" style="22" customWidth="1"/>
    <col min="520" max="523" width="13.7109375" style="22" customWidth="1"/>
    <col min="524" max="769" width="9.5703125" style="22"/>
    <col min="770" max="770" width="3.28515625" style="22" customWidth="1"/>
    <col min="771" max="771" width="5" style="22" customWidth="1"/>
    <col min="772" max="772" width="47.28515625" style="22" customWidth="1"/>
    <col min="773" max="773" width="6.5703125" style="22" customWidth="1"/>
    <col min="774" max="774" width="7.140625" style="22" customWidth="1"/>
    <col min="775" max="775" width="11.5703125" style="22" customWidth="1"/>
    <col min="776" max="779" width="13.7109375" style="22" customWidth="1"/>
    <col min="780" max="1025" width="9.5703125" style="22"/>
    <col min="1026" max="1026" width="3.28515625" style="22" customWidth="1"/>
    <col min="1027" max="1027" width="5" style="22" customWidth="1"/>
    <col min="1028" max="1028" width="47.28515625" style="22" customWidth="1"/>
    <col min="1029" max="1029" width="6.5703125" style="22" customWidth="1"/>
    <col min="1030" max="1030" width="7.140625" style="22" customWidth="1"/>
    <col min="1031" max="1031" width="11.5703125" style="22" customWidth="1"/>
    <col min="1032" max="1035" width="13.7109375" style="22" customWidth="1"/>
    <col min="1036" max="1281" width="9.5703125" style="22"/>
    <col min="1282" max="1282" width="3.28515625" style="22" customWidth="1"/>
    <col min="1283" max="1283" width="5" style="22" customWidth="1"/>
    <col min="1284" max="1284" width="47.28515625" style="22" customWidth="1"/>
    <col min="1285" max="1285" width="6.5703125" style="22" customWidth="1"/>
    <col min="1286" max="1286" width="7.140625" style="22" customWidth="1"/>
    <col min="1287" max="1287" width="11.5703125" style="22" customWidth="1"/>
    <col min="1288" max="1291" width="13.7109375" style="22" customWidth="1"/>
    <col min="1292" max="1537" width="9.5703125" style="22"/>
    <col min="1538" max="1538" width="3.28515625" style="22" customWidth="1"/>
    <col min="1539" max="1539" width="5" style="22" customWidth="1"/>
    <col min="1540" max="1540" width="47.28515625" style="22" customWidth="1"/>
    <col min="1541" max="1541" width="6.5703125" style="22" customWidth="1"/>
    <col min="1542" max="1542" width="7.140625" style="22" customWidth="1"/>
    <col min="1543" max="1543" width="11.5703125" style="22" customWidth="1"/>
    <col min="1544" max="1547" width="13.7109375" style="22" customWidth="1"/>
    <col min="1548" max="1793" width="9.5703125" style="22"/>
    <col min="1794" max="1794" width="3.28515625" style="22" customWidth="1"/>
    <col min="1795" max="1795" width="5" style="22" customWidth="1"/>
    <col min="1796" max="1796" width="47.28515625" style="22" customWidth="1"/>
    <col min="1797" max="1797" width="6.5703125" style="22" customWidth="1"/>
    <col min="1798" max="1798" width="7.140625" style="22" customWidth="1"/>
    <col min="1799" max="1799" width="11.5703125" style="22" customWidth="1"/>
    <col min="1800" max="1803" width="13.7109375" style="22" customWidth="1"/>
    <col min="1804" max="2049" width="9.5703125" style="22"/>
    <col min="2050" max="2050" width="3.28515625" style="22" customWidth="1"/>
    <col min="2051" max="2051" width="5" style="22" customWidth="1"/>
    <col min="2052" max="2052" width="47.28515625" style="22" customWidth="1"/>
    <col min="2053" max="2053" width="6.5703125" style="22" customWidth="1"/>
    <col min="2054" max="2054" width="7.140625" style="22" customWidth="1"/>
    <col min="2055" max="2055" width="11.5703125" style="22" customWidth="1"/>
    <col min="2056" max="2059" width="13.7109375" style="22" customWidth="1"/>
    <col min="2060" max="2305" width="9.5703125" style="22"/>
    <col min="2306" max="2306" width="3.28515625" style="22" customWidth="1"/>
    <col min="2307" max="2307" width="5" style="22" customWidth="1"/>
    <col min="2308" max="2308" width="47.28515625" style="22" customWidth="1"/>
    <col min="2309" max="2309" width="6.5703125" style="22" customWidth="1"/>
    <col min="2310" max="2310" width="7.140625" style="22" customWidth="1"/>
    <col min="2311" max="2311" width="11.5703125" style="22" customWidth="1"/>
    <col min="2312" max="2315" width="13.7109375" style="22" customWidth="1"/>
    <col min="2316" max="2561" width="9.5703125" style="22"/>
    <col min="2562" max="2562" width="3.28515625" style="22" customWidth="1"/>
    <col min="2563" max="2563" width="5" style="22" customWidth="1"/>
    <col min="2564" max="2564" width="47.28515625" style="22" customWidth="1"/>
    <col min="2565" max="2565" width="6.5703125" style="22" customWidth="1"/>
    <col min="2566" max="2566" width="7.140625" style="22" customWidth="1"/>
    <col min="2567" max="2567" width="11.5703125" style="22" customWidth="1"/>
    <col min="2568" max="2571" width="13.7109375" style="22" customWidth="1"/>
    <col min="2572" max="2817" width="9.5703125" style="22"/>
    <col min="2818" max="2818" width="3.28515625" style="22" customWidth="1"/>
    <col min="2819" max="2819" width="5" style="22" customWidth="1"/>
    <col min="2820" max="2820" width="47.28515625" style="22" customWidth="1"/>
    <col min="2821" max="2821" width="6.5703125" style="22" customWidth="1"/>
    <col min="2822" max="2822" width="7.140625" style="22" customWidth="1"/>
    <col min="2823" max="2823" width="11.5703125" style="22" customWidth="1"/>
    <col min="2824" max="2827" width="13.7109375" style="22" customWidth="1"/>
    <col min="2828" max="3073" width="9.5703125" style="22"/>
    <col min="3074" max="3074" width="3.28515625" style="22" customWidth="1"/>
    <col min="3075" max="3075" width="5" style="22" customWidth="1"/>
    <col min="3076" max="3076" width="47.28515625" style="22" customWidth="1"/>
    <col min="3077" max="3077" width="6.5703125" style="22" customWidth="1"/>
    <col min="3078" max="3078" width="7.140625" style="22" customWidth="1"/>
    <col min="3079" max="3079" width="11.5703125" style="22" customWidth="1"/>
    <col min="3080" max="3083" width="13.7109375" style="22" customWidth="1"/>
    <col min="3084" max="3329" width="9.5703125" style="22"/>
    <col min="3330" max="3330" width="3.28515625" style="22" customWidth="1"/>
    <col min="3331" max="3331" width="5" style="22" customWidth="1"/>
    <col min="3332" max="3332" width="47.28515625" style="22" customWidth="1"/>
    <col min="3333" max="3333" width="6.5703125" style="22" customWidth="1"/>
    <col min="3334" max="3334" width="7.140625" style="22" customWidth="1"/>
    <col min="3335" max="3335" width="11.5703125" style="22" customWidth="1"/>
    <col min="3336" max="3339" width="13.7109375" style="22" customWidth="1"/>
    <col min="3340" max="3585" width="9.5703125" style="22"/>
    <col min="3586" max="3586" width="3.28515625" style="22" customWidth="1"/>
    <col min="3587" max="3587" width="5" style="22" customWidth="1"/>
    <col min="3588" max="3588" width="47.28515625" style="22" customWidth="1"/>
    <col min="3589" max="3589" width="6.5703125" style="22" customWidth="1"/>
    <col min="3590" max="3590" width="7.140625" style="22" customWidth="1"/>
    <col min="3591" max="3591" width="11.5703125" style="22" customWidth="1"/>
    <col min="3592" max="3595" width="13.7109375" style="22" customWidth="1"/>
    <col min="3596" max="3841" width="9.5703125" style="22"/>
    <col min="3842" max="3842" width="3.28515625" style="22" customWidth="1"/>
    <col min="3843" max="3843" width="5" style="22" customWidth="1"/>
    <col min="3844" max="3844" width="47.28515625" style="22" customWidth="1"/>
    <col min="3845" max="3845" width="6.5703125" style="22" customWidth="1"/>
    <col min="3846" max="3846" width="7.140625" style="22" customWidth="1"/>
    <col min="3847" max="3847" width="11.5703125" style="22" customWidth="1"/>
    <col min="3848" max="3851" width="13.7109375" style="22" customWidth="1"/>
    <col min="3852" max="4097" width="9.5703125" style="22"/>
    <col min="4098" max="4098" width="3.28515625" style="22" customWidth="1"/>
    <col min="4099" max="4099" width="5" style="22" customWidth="1"/>
    <col min="4100" max="4100" width="47.28515625" style="22" customWidth="1"/>
    <col min="4101" max="4101" width="6.5703125" style="22" customWidth="1"/>
    <col min="4102" max="4102" width="7.140625" style="22" customWidth="1"/>
    <col min="4103" max="4103" width="11.5703125" style="22" customWidth="1"/>
    <col min="4104" max="4107" width="13.7109375" style="22" customWidth="1"/>
    <col min="4108" max="4353" width="9.5703125" style="22"/>
    <col min="4354" max="4354" width="3.28515625" style="22" customWidth="1"/>
    <col min="4355" max="4355" width="5" style="22" customWidth="1"/>
    <col min="4356" max="4356" width="47.28515625" style="22" customWidth="1"/>
    <col min="4357" max="4357" width="6.5703125" style="22" customWidth="1"/>
    <col min="4358" max="4358" width="7.140625" style="22" customWidth="1"/>
    <col min="4359" max="4359" width="11.5703125" style="22" customWidth="1"/>
    <col min="4360" max="4363" width="13.7109375" style="22" customWidth="1"/>
    <col min="4364" max="4609" width="9.5703125" style="22"/>
    <col min="4610" max="4610" width="3.28515625" style="22" customWidth="1"/>
    <col min="4611" max="4611" width="5" style="22" customWidth="1"/>
    <col min="4612" max="4612" width="47.28515625" style="22" customWidth="1"/>
    <col min="4613" max="4613" width="6.5703125" style="22" customWidth="1"/>
    <col min="4614" max="4614" width="7.140625" style="22" customWidth="1"/>
    <col min="4615" max="4615" width="11.5703125" style="22" customWidth="1"/>
    <col min="4616" max="4619" width="13.7109375" style="22" customWidth="1"/>
    <col min="4620" max="4865" width="9.5703125" style="22"/>
    <col min="4866" max="4866" width="3.28515625" style="22" customWidth="1"/>
    <col min="4867" max="4867" width="5" style="22" customWidth="1"/>
    <col min="4868" max="4868" width="47.28515625" style="22" customWidth="1"/>
    <col min="4869" max="4869" width="6.5703125" style="22" customWidth="1"/>
    <col min="4870" max="4870" width="7.140625" style="22" customWidth="1"/>
    <col min="4871" max="4871" width="11.5703125" style="22" customWidth="1"/>
    <col min="4872" max="4875" width="13.7109375" style="22" customWidth="1"/>
    <col min="4876" max="5121" width="9.5703125" style="22"/>
    <col min="5122" max="5122" width="3.28515625" style="22" customWidth="1"/>
    <col min="5123" max="5123" width="5" style="22" customWidth="1"/>
    <col min="5124" max="5124" width="47.28515625" style="22" customWidth="1"/>
    <col min="5125" max="5125" width="6.5703125" style="22" customWidth="1"/>
    <col min="5126" max="5126" width="7.140625" style="22" customWidth="1"/>
    <col min="5127" max="5127" width="11.5703125" style="22" customWidth="1"/>
    <col min="5128" max="5131" width="13.7109375" style="22" customWidth="1"/>
    <col min="5132" max="5377" width="9.5703125" style="22"/>
    <col min="5378" max="5378" width="3.28515625" style="22" customWidth="1"/>
    <col min="5379" max="5379" width="5" style="22" customWidth="1"/>
    <col min="5380" max="5380" width="47.28515625" style="22" customWidth="1"/>
    <col min="5381" max="5381" width="6.5703125" style="22" customWidth="1"/>
    <col min="5382" max="5382" width="7.140625" style="22" customWidth="1"/>
    <col min="5383" max="5383" width="11.5703125" style="22" customWidth="1"/>
    <col min="5384" max="5387" width="13.7109375" style="22" customWidth="1"/>
    <col min="5388" max="5633" width="9.5703125" style="22"/>
    <col min="5634" max="5634" width="3.28515625" style="22" customWidth="1"/>
    <col min="5635" max="5635" width="5" style="22" customWidth="1"/>
    <col min="5636" max="5636" width="47.28515625" style="22" customWidth="1"/>
    <col min="5637" max="5637" width="6.5703125" style="22" customWidth="1"/>
    <col min="5638" max="5638" width="7.140625" style="22" customWidth="1"/>
    <col min="5639" max="5639" width="11.5703125" style="22" customWidth="1"/>
    <col min="5640" max="5643" width="13.7109375" style="22" customWidth="1"/>
    <col min="5644" max="5889" width="9.5703125" style="22"/>
    <col min="5890" max="5890" width="3.28515625" style="22" customWidth="1"/>
    <col min="5891" max="5891" width="5" style="22" customWidth="1"/>
    <col min="5892" max="5892" width="47.28515625" style="22" customWidth="1"/>
    <col min="5893" max="5893" width="6.5703125" style="22" customWidth="1"/>
    <col min="5894" max="5894" width="7.140625" style="22" customWidth="1"/>
    <col min="5895" max="5895" width="11.5703125" style="22" customWidth="1"/>
    <col min="5896" max="5899" width="13.7109375" style="22" customWidth="1"/>
    <col min="5900" max="6145" width="9.5703125" style="22"/>
    <col min="6146" max="6146" width="3.28515625" style="22" customWidth="1"/>
    <col min="6147" max="6147" width="5" style="22" customWidth="1"/>
    <col min="6148" max="6148" width="47.28515625" style="22" customWidth="1"/>
    <col min="6149" max="6149" width="6.5703125" style="22" customWidth="1"/>
    <col min="6150" max="6150" width="7.140625" style="22" customWidth="1"/>
    <col min="6151" max="6151" width="11.5703125" style="22" customWidth="1"/>
    <col min="6152" max="6155" width="13.7109375" style="22" customWidth="1"/>
    <col min="6156" max="6401" width="9.5703125" style="22"/>
    <col min="6402" max="6402" width="3.28515625" style="22" customWidth="1"/>
    <col min="6403" max="6403" width="5" style="22" customWidth="1"/>
    <col min="6404" max="6404" width="47.28515625" style="22" customWidth="1"/>
    <col min="6405" max="6405" width="6.5703125" style="22" customWidth="1"/>
    <col min="6406" max="6406" width="7.140625" style="22" customWidth="1"/>
    <col min="6407" max="6407" width="11.5703125" style="22" customWidth="1"/>
    <col min="6408" max="6411" width="13.7109375" style="22" customWidth="1"/>
    <col min="6412" max="6657" width="9.5703125" style="22"/>
    <col min="6658" max="6658" width="3.28515625" style="22" customWidth="1"/>
    <col min="6659" max="6659" width="5" style="22" customWidth="1"/>
    <col min="6660" max="6660" width="47.28515625" style="22" customWidth="1"/>
    <col min="6661" max="6661" width="6.5703125" style="22" customWidth="1"/>
    <col min="6662" max="6662" width="7.140625" style="22" customWidth="1"/>
    <col min="6663" max="6663" width="11.5703125" style="22" customWidth="1"/>
    <col min="6664" max="6667" width="13.7109375" style="22" customWidth="1"/>
    <col min="6668" max="6913" width="9.5703125" style="22"/>
    <col min="6914" max="6914" width="3.28515625" style="22" customWidth="1"/>
    <col min="6915" max="6915" width="5" style="22" customWidth="1"/>
    <col min="6916" max="6916" width="47.28515625" style="22" customWidth="1"/>
    <col min="6917" max="6917" width="6.5703125" style="22" customWidth="1"/>
    <col min="6918" max="6918" width="7.140625" style="22" customWidth="1"/>
    <col min="6919" max="6919" width="11.5703125" style="22" customWidth="1"/>
    <col min="6920" max="6923" width="13.7109375" style="22" customWidth="1"/>
    <col min="6924" max="7169" width="9.5703125" style="22"/>
    <col min="7170" max="7170" width="3.28515625" style="22" customWidth="1"/>
    <col min="7171" max="7171" width="5" style="22" customWidth="1"/>
    <col min="7172" max="7172" width="47.28515625" style="22" customWidth="1"/>
    <col min="7173" max="7173" width="6.5703125" style="22" customWidth="1"/>
    <col min="7174" max="7174" width="7.140625" style="22" customWidth="1"/>
    <col min="7175" max="7175" width="11.5703125" style="22" customWidth="1"/>
    <col min="7176" max="7179" width="13.7109375" style="22" customWidth="1"/>
    <col min="7180" max="7425" width="9.5703125" style="22"/>
    <col min="7426" max="7426" width="3.28515625" style="22" customWidth="1"/>
    <col min="7427" max="7427" width="5" style="22" customWidth="1"/>
    <col min="7428" max="7428" width="47.28515625" style="22" customWidth="1"/>
    <col min="7429" max="7429" width="6.5703125" style="22" customWidth="1"/>
    <col min="7430" max="7430" width="7.140625" style="22" customWidth="1"/>
    <col min="7431" max="7431" width="11.5703125" style="22" customWidth="1"/>
    <col min="7432" max="7435" width="13.7109375" style="22" customWidth="1"/>
    <col min="7436" max="7681" width="9.5703125" style="22"/>
    <col min="7682" max="7682" width="3.28515625" style="22" customWidth="1"/>
    <col min="7683" max="7683" width="5" style="22" customWidth="1"/>
    <col min="7684" max="7684" width="47.28515625" style="22" customWidth="1"/>
    <col min="7685" max="7685" width="6.5703125" style="22" customWidth="1"/>
    <col min="7686" max="7686" width="7.140625" style="22" customWidth="1"/>
    <col min="7687" max="7687" width="11.5703125" style="22" customWidth="1"/>
    <col min="7688" max="7691" width="13.7109375" style="22" customWidth="1"/>
    <col min="7692" max="7937" width="9.5703125" style="22"/>
    <col min="7938" max="7938" width="3.28515625" style="22" customWidth="1"/>
    <col min="7939" max="7939" width="5" style="22" customWidth="1"/>
    <col min="7940" max="7940" width="47.28515625" style="22" customWidth="1"/>
    <col min="7941" max="7941" width="6.5703125" style="22" customWidth="1"/>
    <col min="7942" max="7942" width="7.140625" style="22" customWidth="1"/>
    <col min="7943" max="7943" width="11.5703125" style="22" customWidth="1"/>
    <col min="7944" max="7947" width="13.7109375" style="22" customWidth="1"/>
    <col min="7948" max="8193" width="9.5703125" style="22"/>
    <col min="8194" max="8194" width="3.28515625" style="22" customWidth="1"/>
    <col min="8195" max="8195" width="5" style="22" customWidth="1"/>
    <col min="8196" max="8196" width="47.28515625" style="22" customWidth="1"/>
    <col min="8197" max="8197" width="6.5703125" style="22" customWidth="1"/>
    <col min="8198" max="8198" width="7.140625" style="22" customWidth="1"/>
    <col min="8199" max="8199" width="11.5703125" style="22" customWidth="1"/>
    <col min="8200" max="8203" width="13.7109375" style="22" customWidth="1"/>
    <col min="8204" max="8449" width="9.5703125" style="22"/>
    <col min="8450" max="8450" width="3.28515625" style="22" customWidth="1"/>
    <col min="8451" max="8451" width="5" style="22" customWidth="1"/>
    <col min="8452" max="8452" width="47.28515625" style="22" customWidth="1"/>
    <col min="8453" max="8453" width="6.5703125" style="22" customWidth="1"/>
    <col min="8454" max="8454" width="7.140625" style="22" customWidth="1"/>
    <col min="8455" max="8455" width="11.5703125" style="22" customWidth="1"/>
    <col min="8456" max="8459" width="13.7109375" style="22" customWidth="1"/>
    <col min="8460" max="8705" width="9.5703125" style="22"/>
    <col min="8706" max="8706" width="3.28515625" style="22" customWidth="1"/>
    <col min="8707" max="8707" width="5" style="22" customWidth="1"/>
    <col min="8708" max="8708" width="47.28515625" style="22" customWidth="1"/>
    <col min="8709" max="8709" width="6.5703125" style="22" customWidth="1"/>
    <col min="8710" max="8710" width="7.140625" style="22" customWidth="1"/>
    <col min="8711" max="8711" width="11.5703125" style="22" customWidth="1"/>
    <col min="8712" max="8715" width="13.7109375" style="22" customWidth="1"/>
    <col min="8716" max="8961" width="9.5703125" style="22"/>
    <col min="8962" max="8962" width="3.28515625" style="22" customWidth="1"/>
    <col min="8963" max="8963" width="5" style="22" customWidth="1"/>
    <col min="8964" max="8964" width="47.28515625" style="22" customWidth="1"/>
    <col min="8965" max="8965" width="6.5703125" style="22" customWidth="1"/>
    <col min="8966" max="8966" width="7.140625" style="22" customWidth="1"/>
    <col min="8967" max="8967" width="11.5703125" style="22" customWidth="1"/>
    <col min="8968" max="8971" width="13.7109375" style="22" customWidth="1"/>
    <col min="8972" max="9217" width="9.5703125" style="22"/>
    <col min="9218" max="9218" width="3.28515625" style="22" customWidth="1"/>
    <col min="9219" max="9219" width="5" style="22" customWidth="1"/>
    <col min="9220" max="9220" width="47.28515625" style="22" customWidth="1"/>
    <col min="9221" max="9221" width="6.5703125" style="22" customWidth="1"/>
    <col min="9222" max="9222" width="7.140625" style="22" customWidth="1"/>
    <col min="9223" max="9223" width="11.5703125" style="22" customWidth="1"/>
    <col min="9224" max="9227" width="13.7109375" style="22" customWidth="1"/>
    <col min="9228" max="9473" width="9.5703125" style="22"/>
    <col min="9474" max="9474" width="3.28515625" style="22" customWidth="1"/>
    <col min="9475" max="9475" width="5" style="22" customWidth="1"/>
    <col min="9476" max="9476" width="47.28515625" style="22" customWidth="1"/>
    <col min="9477" max="9477" width="6.5703125" style="22" customWidth="1"/>
    <col min="9478" max="9478" width="7.140625" style="22" customWidth="1"/>
    <col min="9479" max="9479" width="11.5703125" style="22" customWidth="1"/>
    <col min="9480" max="9483" width="13.7109375" style="22" customWidth="1"/>
    <col min="9484" max="9729" width="9.5703125" style="22"/>
    <col min="9730" max="9730" width="3.28515625" style="22" customWidth="1"/>
    <col min="9731" max="9731" width="5" style="22" customWidth="1"/>
    <col min="9732" max="9732" width="47.28515625" style="22" customWidth="1"/>
    <col min="9733" max="9733" width="6.5703125" style="22" customWidth="1"/>
    <col min="9734" max="9734" width="7.140625" style="22" customWidth="1"/>
    <col min="9735" max="9735" width="11.5703125" style="22" customWidth="1"/>
    <col min="9736" max="9739" width="13.7109375" style="22" customWidth="1"/>
    <col min="9740" max="9985" width="9.5703125" style="22"/>
    <col min="9986" max="9986" width="3.28515625" style="22" customWidth="1"/>
    <col min="9987" max="9987" width="5" style="22" customWidth="1"/>
    <col min="9988" max="9988" width="47.28515625" style="22" customWidth="1"/>
    <col min="9989" max="9989" width="6.5703125" style="22" customWidth="1"/>
    <col min="9990" max="9990" width="7.140625" style="22" customWidth="1"/>
    <col min="9991" max="9991" width="11.5703125" style="22" customWidth="1"/>
    <col min="9992" max="9995" width="13.7109375" style="22" customWidth="1"/>
    <col min="9996" max="10241" width="9.5703125" style="22"/>
    <col min="10242" max="10242" width="3.28515625" style="22" customWidth="1"/>
    <col min="10243" max="10243" width="5" style="22" customWidth="1"/>
    <col min="10244" max="10244" width="47.28515625" style="22" customWidth="1"/>
    <col min="10245" max="10245" width="6.5703125" style="22" customWidth="1"/>
    <col min="10246" max="10246" width="7.140625" style="22" customWidth="1"/>
    <col min="10247" max="10247" width="11.5703125" style="22" customWidth="1"/>
    <col min="10248" max="10251" width="13.7109375" style="22" customWidth="1"/>
    <col min="10252" max="10497" width="9.5703125" style="22"/>
    <col min="10498" max="10498" width="3.28515625" style="22" customWidth="1"/>
    <col min="10499" max="10499" width="5" style="22" customWidth="1"/>
    <col min="10500" max="10500" width="47.28515625" style="22" customWidth="1"/>
    <col min="10501" max="10501" width="6.5703125" style="22" customWidth="1"/>
    <col min="10502" max="10502" width="7.140625" style="22" customWidth="1"/>
    <col min="10503" max="10503" width="11.5703125" style="22" customWidth="1"/>
    <col min="10504" max="10507" width="13.7109375" style="22" customWidth="1"/>
    <col min="10508" max="10753" width="9.5703125" style="22"/>
    <col min="10754" max="10754" width="3.28515625" style="22" customWidth="1"/>
    <col min="10755" max="10755" width="5" style="22" customWidth="1"/>
    <col min="10756" max="10756" width="47.28515625" style="22" customWidth="1"/>
    <col min="10757" max="10757" width="6.5703125" style="22" customWidth="1"/>
    <col min="10758" max="10758" width="7.140625" style="22" customWidth="1"/>
    <col min="10759" max="10759" width="11.5703125" style="22" customWidth="1"/>
    <col min="10760" max="10763" width="13.7109375" style="22" customWidth="1"/>
    <col min="10764" max="11009" width="9.5703125" style="22"/>
    <col min="11010" max="11010" width="3.28515625" style="22" customWidth="1"/>
    <col min="11011" max="11011" width="5" style="22" customWidth="1"/>
    <col min="11012" max="11012" width="47.28515625" style="22" customWidth="1"/>
    <col min="11013" max="11013" width="6.5703125" style="22" customWidth="1"/>
    <col min="11014" max="11014" width="7.140625" style="22" customWidth="1"/>
    <col min="11015" max="11015" width="11.5703125" style="22" customWidth="1"/>
    <col min="11016" max="11019" width="13.7109375" style="22" customWidth="1"/>
    <col min="11020" max="11265" width="9.5703125" style="22"/>
    <col min="11266" max="11266" width="3.28515625" style="22" customWidth="1"/>
    <col min="11267" max="11267" width="5" style="22" customWidth="1"/>
    <col min="11268" max="11268" width="47.28515625" style="22" customWidth="1"/>
    <col min="11269" max="11269" width="6.5703125" style="22" customWidth="1"/>
    <col min="11270" max="11270" width="7.140625" style="22" customWidth="1"/>
    <col min="11271" max="11271" width="11.5703125" style="22" customWidth="1"/>
    <col min="11272" max="11275" width="13.7109375" style="22" customWidth="1"/>
    <col min="11276" max="11521" width="9.5703125" style="22"/>
    <col min="11522" max="11522" width="3.28515625" style="22" customWidth="1"/>
    <col min="11523" max="11523" width="5" style="22" customWidth="1"/>
    <col min="11524" max="11524" width="47.28515625" style="22" customWidth="1"/>
    <col min="11525" max="11525" width="6.5703125" style="22" customWidth="1"/>
    <col min="11526" max="11526" width="7.140625" style="22" customWidth="1"/>
    <col min="11527" max="11527" width="11.5703125" style="22" customWidth="1"/>
    <col min="11528" max="11531" width="13.7109375" style="22" customWidth="1"/>
    <col min="11532" max="11777" width="9.5703125" style="22"/>
    <col min="11778" max="11778" width="3.28515625" style="22" customWidth="1"/>
    <col min="11779" max="11779" width="5" style="22" customWidth="1"/>
    <col min="11780" max="11780" width="47.28515625" style="22" customWidth="1"/>
    <col min="11781" max="11781" width="6.5703125" style="22" customWidth="1"/>
    <col min="11782" max="11782" width="7.140625" style="22" customWidth="1"/>
    <col min="11783" max="11783" width="11.5703125" style="22" customWidth="1"/>
    <col min="11784" max="11787" width="13.7109375" style="22" customWidth="1"/>
    <col min="11788" max="12033" width="9.5703125" style="22"/>
    <col min="12034" max="12034" width="3.28515625" style="22" customWidth="1"/>
    <col min="12035" max="12035" width="5" style="22" customWidth="1"/>
    <col min="12036" max="12036" width="47.28515625" style="22" customWidth="1"/>
    <col min="12037" max="12037" width="6.5703125" style="22" customWidth="1"/>
    <col min="12038" max="12038" width="7.140625" style="22" customWidth="1"/>
    <col min="12039" max="12039" width="11.5703125" style="22" customWidth="1"/>
    <col min="12040" max="12043" width="13.7109375" style="22" customWidth="1"/>
    <col min="12044" max="12289" width="9.5703125" style="22"/>
    <col min="12290" max="12290" width="3.28515625" style="22" customWidth="1"/>
    <col min="12291" max="12291" width="5" style="22" customWidth="1"/>
    <col min="12292" max="12292" width="47.28515625" style="22" customWidth="1"/>
    <col min="12293" max="12293" width="6.5703125" style="22" customWidth="1"/>
    <col min="12294" max="12294" width="7.140625" style="22" customWidth="1"/>
    <col min="12295" max="12295" width="11.5703125" style="22" customWidth="1"/>
    <col min="12296" max="12299" width="13.7109375" style="22" customWidth="1"/>
    <col min="12300" max="12545" width="9.5703125" style="22"/>
    <col min="12546" max="12546" width="3.28515625" style="22" customWidth="1"/>
    <col min="12547" max="12547" width="5" style="22" customWidth="1"/>
    <col min="12548" max="12548" width="47.28515625" style="22" customWidth="1"/>
    <col min="12549" max="12549" width="6.5703125" style="22" customWidth="1"/>
    <col min="12550" max="12550" width="7.140625" style="22" customWidth="1"/>
    <col min="12551" max="12551" width="11.5703125" style="22" customWidth="1"/>
    <col min="12552" max="12555" width="13.7109375" style="22" customWidth="1"/>
    <col min="12556" max="12801" width="9.5703125" style="22"/>
    <col min="12802" max="12802" width="3.28515625" style="22" customWidth="1"/>
    <col min="12803" max="12803" width="5" style="22" customWidth="1"/>
    <col min="12804" max="12804" width="47.28515625" style="22" customWidth="1"/>
    <col min="12805" max="12805" width="6.5703125" style="22" customWidth="1"/>
    <col min="12806" max="12806" width="7.140625" style="22" customWidth="1"/>
    <col min="12807" max="12807" width="11.5703125" style="22" customWidth="1"/>
    <col min="12808" max="12811" width="13.7109375" style="22" customWidth="1"/>
    <col min="12812" max="13057" width="9.5703125" style="22"/>
    <col min="13058" max="13058" width="3.28515625" style="22" customWidth="1"/>
    <col min="13059" max="13059" width="5" style="22" customWidth="1"/>
    <col min="13060" max="13060" width="47.28515625" style="22" customWidth="1"/>
    <col min="13061" max="13061" width="6.5703125" style="22" customWidth="1"/>
    <col min="13062" max="13062" width="7.140625" style="22" customWidth="1"/>
    <col min="13063" max="13063" width="11.5703125" style="22" customWidth="1"/>
    <col min="13064" max="13067" width="13.7109375" style="22" customWidth="1"/>
    <col min="13068" max="13313" width="9.5703125" style="22"/>
    <col min="13314" max="13314" width="3.28515625" style="22" customWidth="1"/>
    <col min="13315" max="13315" width="5" style="22" customWidth="1"/>
    <col min="13316" max="13316" width="47.28515625" style="22" customWidth="1"/>
    <col min="13317" max="13317" width="6.5703125" style="22" customWidth="1"/>
    <col min="13318" max="13318" width="7.140625" style="22" customWidth="1"/>
    <col min="13319" max="13319" width="11.5703125" style="22" customWidth="1"/>
    <col min="13320" max="13323" width="13.7109375" style="22" customWidth="1"/>
    <col min="13324" max="13569" width="9.5703125" style="22"/>
    <col min="13570" max="13570" width="3.28515625" style="22" customWidth="1"/>
    <col min="13571" max="13571" width="5" style="22" customWidth="1"/>
    <col min="13572" max="13572" width="47.28515625" style="22" customWidth="1"/>
    <col min="13573" max="13573" width="6.5703125" style="22" customWidth="1"/>
    <col min="13574" max="13574" width="7.140625" style="22" customWidth="1"/>
    <col min="13575" max="13575" width="11.5703125" style="22" customWidth="1"/>
    <col min="13576" max="13579" width="13.7109375" style="22" customWidth="1"/>
    <col min="13580" max="13825" width="9.5703125" style="22"/>
    <col min="13826" max="13826" width="3.28515625" style="22" customWidth="1"/>
    <col min="13827" max="13827" width="5" style="22" customWidth="1"/>
    <col min="13828" max="13828" width="47.28515625" style="22" customWidth="1"/>
    <col min="13829" max="13829" width="6.5703125" style="22" customWidth="1"/>
    <col min="13830" max="13830" width="7.140625" style="22" customWidth="1"/>
    <col min="13831" max="13831" width="11.5703125" style="22" customWidth="1"/>
    <col min="13832" max="13835" width="13.7109375" style="22" customWidth="1"/>
    <col min="13836" max="14081" width="9.5703125" style="22"/>
    <col min="14082" max="14082" width="3.28515625" style="22" customWidth="1"/>
    <col min="14083" max="14083" width="5" style="22" customWidth="1"/>
    <col min="14084" max="14084" width="47.28515625" style="22" customWidth="1"/>
    <col min="14085" max="14085" width="6.5703125" style="22" customWidth="1"/>
    <col min="14086" max="14086" width="7.140625" style="22" customWidth="1"/>
    <col min="14087" max="14087" width="11.5703125" style="22" customWidth="1"/>
    <col min="14088" max="14091" width="13.7109375" style="22" customWidth="1"/>
    <col min="14092" max="14337" width="9.5703125" style="22"/>
    <col min="14338" max="14338" width="3.28515625" style="22" customWidth="1"/>
    <col min="14339" max="14339" width="5" style="22" customWidth="1"/>
    <col min="14340" max="14340" width="47.28515625" style="22" customWidth="1"/>
    <col min="14341" max="14341" width="6.5703125" style="22" customWidth="1"/>
    <col min="14342" max="14342" width="7.140625" style="22" customWidth="1"/>
    <col min="14343" max="14343" width="11.5703125" style="22" customWidth="1"/>
    <col min="14344" max="14347" width="13.7109375" style="22" customWidth="1"/>
    <col min="14348" max="14593" width="9.5703125" style="22"/>
    <col min="14594" max="14594" width="3.28515625" style="22" customWidth="1"/>
    <col min="14595" max="14595" width="5" style="22" customWidth="1"/>
    <col min="14596" max="14596" width="47.28515625" style="22" customWidth="1"/>
    <col min="14597" max="14597" width="6.5703125" style="22" customWidth="1"/>
    <col min="14598" max="14598" width="7.140625" style="22" customWidth="1"/>
    <col min="14599" max="14599" width="11.5703125" style="22" customWidth="1"/>
    <col min="14600" max="14603" width="13.7109375" style="22" customWidth="1"/>
    <col min="14604" max="14849" width="9.5703125" style="22"/>
    <col min="14850" max="14850" width="3.28515625" style="22" customWidth="1"/>
    <col min="14851" max="14851" width="5" style="22" customWidth="1"/>
    <col min="14852" max="14852" width="47.28515625" style="22" customWidth="1"/>
    <col min="14853" max="14853" width="6.5703125" style="22" customWidth="1"/>
    <col min="14854" max="14854" width="7.140625" style="22" customWidth="1"/>
    <col min="14855" max="14855" width="11.5703125" style="22" customWidth="1"/>
    <col min="14856" max="14859" width="13.7109375" style="22" customWidth="1"/>
    <col min="14860" max="15105" width="9.5703125" style="22"/>
    <col min="15106" max="15106" width="3.28515625" style="22" customWidth="1"/>
    <col min="15107" max="15107" width="5" style="22" customWidth="1"/>
    <col min="15108" max="15108" width="47.28515625" style="22" customWidth="1"/>
    <col min="15109" max="15109" width="6.5703125" style="22" customWidth="1"/>
    <col min="15110" max="15110" width="7.140625" style="22" customWidth="1"/>
    <col min="15111" max="15111" width="11.5703125" style="22" customWidth="1"/>
    <col min="15112" max="15115" width="13.7109375" style="22" customWidth="1"/>
    <col min="15116" max="15361" width="9.5703125" style="22"/>
    <col min="15362" max="15362" width="3.28515625" style="22" customWidth="1"/>
    <col min="15363" max="15363" width="5" style="22" customWidth="1"/>
    <col min="15364" max="15364" width="47.28515625" style="22" customWidth="1"/>
    <col min="15365" max="15365" width="6.5703125" style="22" customWidth="1"/>
    <col min="15366" max="15366" width="7.140625" style="22" customWidth="1"/>
    <col min="15367" max="15367" width="11.5703125" style="22" customWidth="1"/>
    <col min="15368" max="15371" width="13.7109375" style="22" customWidth="1"/>
    <col min="15372" max="15617" width="9.5703125" style="22"/>
    <col min="15618" max="15618" width="3.28515625" style="22" customWidth="1"/>
    <col min="15619" max="15619" width="5" style="22" customWidth="1"/>
    <col min="15620" max="15620" width="47.28515625" style="22" customWidth="1"/>
    <col min="15621" max="15621" width="6.5703125" style="22" customWidth="1"/>
    <col min="15622" max="15622" width="7.140625" style="22" customWidth="1"/>
    <col min="15623" max="15623" width="11.5703125" style="22" customWidth="1"/>
    <col min="15624" max="15627" width="13.7109375" style="22" customWidth="1"/>
    <col min="15628" max="15873" width="9.5703125" style="22"/>
    <col min="15874" max="15874" width="3.28515625" style="22" customWidth="1"/>
    <col min="15875" max="15875" width="5" style="22" customWidth="1"/>
    <col min="15876" max="15876" width="47.28515625" style="22" customWidth="1"/>
    <col min="15877" max="15877" width="6.5703125" style="22" customWidth="1"/>
    <col min="15878" max="15878" width="7.140625" style="22" customWidth="1"/>
    <col min="15879" max="15879" width="11.5703125" style="22" customWidth="1"/>
    <col min="15880" max="15883" width="13.7109375" style="22" customWidth="1"/>
    <col min="15884" max="16129" width="9.5703125" style="22"/>
    <col min="16130" max="16130" width="3.28515625" style="22" customWidth="1"/>
    <col min="16131" max="16131" width="5" style="22" customWidth="1"/>
    <col min="16132" max="16132" width="47.28515625" style="22" customWidth="1"/>
    <col min="16133" max="16133" width="6.5703125" style="22" customWidth="1"/>
    <col min="16134" max="16134" width="7.140625" style="22" customWidth="1"/>
    <col min="16135" max="16135" width="11.5703125" style="22" customWidth="1"/>
    <col min="16136" max="16139" width="13.7109375" style="22" customWidth="1"/>
    <col min="16140" max="16384" width="9.5703125" style="22"/>
  </cols>
  <sheetData>
    <row r="1" spans="1:13" s="144" customFormat="1" ht="21" x14ac:dyDescent="0.35">
      <c r="A1" s="140" t="s">
        <v>0</v>
      </c>
      <c r="B1" s="140"/>
      <c r="C1" s="141"/>
      <c r="D1" s="142"/>
      <c r="E1" s="143"/>
      <c r="F1" s="143"/>
      <c r="G1" s="143"/>
      <c r="H1" s="143"/>
      <c r="I1" s="143"/>
      <c r="J1" s="143"/>
      <c r="K1" s="143"/>
    </row>
    <row r="2" spans="1:13" s="144" customFormat="1" ht="12.75" customHeight="1" x14ac:dyDescent="0.25">
      <c r="A2" s="145" t="s">
        <v>134</v>
      </c>
      <c r="B2" s="145"/>
      <c r="C2" s="146"/>
      <c r="D2" s="147"/>
      <c r="E2" s="143"/>
      <c r="F2" s="143"/>
      <c r="G2" s="143"/>
      <c r="H2" s="143"/>
      <c r="I2" s="143"/>
      <c r="J2" s="143"/>
      <c r="K2" s="143"/>
    </row>
    <row r="3" spans="1:13" s="144" customFormat="1" ht="9" customHeight="1" x14ac:dyDescent="0.3">
      <c r="A3" s="146"/>
      <c r="B3" s="146"/>
      <c r="C3" s="146"/>
      <c r="D3" s="148"/>
      <c r="E3" s="143"/>
      <c r="F3" s="143"/>
      <c r="G3" s="143"/>
      <c r="H3" s="143"/>
      <c r="I3" s="143"/>
      <c r="J3" s="143"/>
      <c r="K3" s="143"/>
    </row>
    <row r="4" spans="1:13" ht="15.75" x14ac:dyDescent="0.25">
      <c r="A4" s="140" t="s">
        <v>135</v>
      </c>
      <c r="B4" s="140"/>
      <c r="C4" s="21"/>
      <c r="D4" s="62"/>
      <c r="E4" s="143"/>
      <c r="F4" s="143"/>
      <c r="G4" s="143"/>
      <c r="H4" s="143"/>
      <c r="I4" s="143"/>
      <c r="J4" s="62"/>
      <c r="K4" s="149" t="s">
        <v>33</v>
      </c>
    </row>
    <row r="5" spans="1:13" ht="15.75" x14ac:dyDescent="0.25">
      <c r="A5" s="150" t="s">
        <v>136</v>
      </c>
      <c r="B5" s="151"/>
      <c r="C5" s="21"/>
      <c r="D5" s="62"/>
      <c r="E5" s="143"/>
      <c r="F5" s="143"/>
      <c r="G5" s="62"/>
      <c r="H5" s="152"/>
      <c r="I5" s="152"/>
      <c r="J5" s="152"/>
      <c r="K5" s="153" t="s">
        <v>35</v>
      </c>
    </row>
    <row r="6" spans="1:13" ht="8.1" customHeight="1" thickBot="1" x14ac:dyDescent="0.3">
      <c r="A6" s="150"/>
      <c r="B6" s="150"/>
      <c r="C6" s="146"/>
      <c r="D6" s="154"/>
      <c r="E6" s="143"/>
      <c r="F6" s="143"/>
      <c r="G6" s="284"/>
      <c r="H6" s="284"/>
      <c r="I6" s="284"/>
      <c r="J6" s="284"/>
      <c r="K6" s="284"/>
    </row>
    <row r="7" spans="1:13" ht="15" customHeight="1" x14ac:dyDescent="0.25">
      <c r="A7" s="285" t="s">
        <v>1</v>
      </c>
      <c r="B7" s="286"/>
      <c r="C7" s="289" t="s">
        <v>137</v>
      </c>
      <c r="D7" s="289" t="s">
        <v>138</v>
      </c>
      <c r="E7" s="290" t="s">
        <v>3</v>
      </c>
      <c r="F7" s="290" t="s">
        <v>23</v>
      </c>
      <c r="G7" s="290" t="s">
        <v>139</v>
      </c>
      <c r="H7" s="290"/>
      <c r="I7" s="290" t="s">
        <v>140</v>
      </c>
      <c r="J7" s="290"/>
      <c r="K7" s="155" t="s">
        <v>141</v>
      </c>
      <c r="L7" s="278" t="s">
        <v>24</v>
      </c>
      <c r="M7" s="280" t="s">
        <v>25</v>
      </c>
    </row>
    <row r="8" spans="1:13" s="157" customFormat="1" ht="15" customHeight="1" thickBot="1" x14ac:dyDescent="0.3">
      <c r="A8" s="287"/>
      <c r="B8" s="288"/>
      <c r="C8" s="289"/>
      <c r="D8" s="289"/>
      <c r="E8" s="290"/>
      <c r="F8" s="290"/>
      <c r="G8" s="156" t="s">
        <v>4</v>
      </c>
      <c r="H8" s="156" t="s">
        <v>5</v>
      </c>
      <c r="I8" s="156" t="s">
        <v>4</v>
      </c>
      <c r="J8" s="156" t="s">
        <v>5</v>
      </c>
      <c r="K8" s="156" t="s">
        <v>5</v>
      </c>
      <c r="L8" s="279"/>
      <c r="M8" s="281"/>
    </row>
    <row r="9" spans="1:13" ht="18" customHeight="1" thickTop="1" x14ac:dyDescent="0.25">
      <c r="A9" s="158"/>
      <c r="B9" s="159"/>
      <c r="C9" s="160" t="s">
        <v>142</v>
      </c>
      <c r="D9" s="161"/>
      <c r="E9" s="9"/>
      <c r="F9" s="9"/>
      <c r="G9" s="9"/>
      <c r="H9" s="9"/>
      <c r="I9" s="9"/>
      <c r="J9" s="9"/>
      <c r="K9" s="9"/>
      <c r="L9" s="162"/>
    </row>
    <row r="10" spans="1:13" ht="52.5" customHeight="1" x14ac:dyDescent="0.25">
      <c r="A10" s="163"/>
      <c r="B10" s="164"/>
      <c r="C10" s="165" t="s">
        <v>143</v>
      </c>
      <c r="D10" s="15"/>
      <c r="E10" s="9"/>
      <c r="F10" s="9"/>
      <c r="G10" s="9"/>
      <c r="H10" s="9"/>
      <c r="I10" s="9"/>
      <c r="J10" s="9"/>
      <c r="K10" s="9"/>
      <c r="L10" s="166"/>
    </row>
    <row r="11" spans="1:13" ht="76.5" customHeight="1" x14ac:dyDescent="0.25">
      <c r="A11" s="167">
        <v>1</v>
      </c>
      <c r="B11" s="168"/>
      <c r="C11" s="16" t="s">
        <v>144</v>
      </c>
      <c r="D11" s="169"/>
      <c r="E11" s="5"/>
      <c r="F11" s="5"/>
      <c r="G11" s="170"/>
      <c r="H11" s="171"/>
      <c r="I11" s="170"/>
      <c r="J11" s="171"/>
      <c r="K11" s="171"/>
      <c r="L11" s="166"/>
    </row>
    <row r="12" spans="1:13" ht="15" customHeight="1" x14ac:dyDescent="0.25">
      <c r="A12" s="172"/>
      <c r="B12" s="173" t="s">
        <v>93</v>
      </c>
      <c r="C12" s="174" t="s">
        <v>145</v>
      </c>
      <c r="D12" s="169" t="s">
        <v>30</v>
      </c>
      <c r="E12" s="5">
        <v>150</v>
      </c>
      <c r="F12" s="5"/>
      <c r="G12" s="11">
        <v>1635</v>
      </c>
      <c r="H12" s="11">
        <f>G12*E12</f>
        <v>245250</v>
      </c>
      <c r="I12" s="11">
        <v>650</v>
      </c>
      <c r="J12" s="11">
        <f>I12*E12</f>
        <v>97500</v>
      </c>
      <c r="K12" s="11">
        <f>J12+H12</f>
        <v>342750</v>
      </c>
      <c r="L12" s="175"/>
      <c r="M12" s="144"/>
    </row>
    <row r="13" spans="1:13" ht="15" customHeight="1" x14ac:dyDescent="0.25">
      <c r="A13" s="172"/>
      <c r="B13" s="173" t="s">
        <v>119</v>
      </c>
      <c r="C13" s="174" t="s">
        <v>146</v>
      </c>
      <c r="D13" s="169" t="s">
        <v>30</v>
      </c>
      <c r="E13" s="5">
        <v>50</v>
      </c>
      <c r="F13" s="5"/>
      <c r="G13" s="11">
        <v>2210</v>
      </c>
      <c r="H13" s="11">
        <f t="shared" ref="H13:H28" si="0">G13*E13</f>
        <v>110500</v>
      </c>
      <c r="I13" s="11">
        <v>680</v>
      </c>
      <c r="J13" s="11">
        <f t="shared" ref="J13:J28" si="1">I13*E13</f>
        <v>34000</v>
      </c>
      <c r="K13" s="11">
        <f t="shared" ref="K13:K28" si="2">J13+H13</f>
        <v>144500</v>
      </c>
      <c r="L13" s="175"/>
      <c r="M13" s="144"/>
    </row>
    <row r="14" spans="1:13" ht="15" customHeight="1" x14ac:dyDescent="0.25">
      <c r="A14" s="172"/>
      <c r="B14" s="173" t="s">
        <v>147</v>
      </c>
      <c r="C14" s="174" t="s">
        <v>148</v>
      </c>
      <c r="D14" s="169" t="s">
        <v>30</v>
      </c>
      <c r="E14" s="5">
        <v>50</v>
      </c>
      <c r="F14" s="5"/>
      <c r="G14" s="11">
        <v>2600</v>
      </c>
      <c r="H14" s="11">
        <f t="shared" si="0"/>
        <v>130000</v>
      </c>
      <c r="I14" s="11">
        <v>710</v>
      </c>
      <c r="J14" s="11">
        <f t="shared" si="1"/>
        <v>35500</v>
      </c>
      <c r="K14" s="11">
        <f t="shared" si="2"/>
        <v>165500</v>
      </c>
      <c r="L14" s="175"/>
      <c r="M14" s="144"/>
    </row>
    <row r="15" spans="1:13" ht="15" customHeight="1" x14ac:dyDescent="0.25">
      <c r="A15" s="172"/>
      <c r="B15" s="173" t="s">
        <v>149</v>
      </c>
      <c r="C15" s="174" t="s">
        <v>150</v>
      </c>
      <c r="D15" s="169" t="s">
        <v>30</v>
      </c>
      <c r="E15" s="5">
        <v>40</v>
      </c>
      <c r="F15" s="5"/>
      <c r="G15" s="11">
        <v>3400</v>
      </c>
      <c r="H15" s="11">
        <f t="shared" si="0"/>
        <v>136000</v>
      </c>
      <c r="I15" s="11">
        <v>740</v>
      </c>
      <c r="J15" s="11">
        <f t="shared" si="1"/>
        <v>29600</v>
      </c>
      <c r="K15" s="11">
        <f t="shared" si="2"/>
        <v>165600</v>
      </c>
      <c r="L15" s="175"/>
      <c r="M15" s="144"/>
    </row>
    <row r="16" spans="1:13" ht="15" customHeight="1" x14ac:dyDescent="0.25">
      <c r="A16" s="172"/>
      <c r="B16" s="173" t="s">
        <v>151</v>
      </c>
      <c r="C16" s="174" t="s">
        <v>152</v>
      </c>
      <c r="D16" s="169" t="s">
        <v>30</v>
      </c>
      <c r="E16" s="5">
        <v>40</v>
      </c>
      <c r="F16" s="5"/>
      <c r="G16" s="11">
        <v>5500</v>
      </c>
      <c r="H16" s="11">
        <f t="shared" si="0"/>
        <v>220000</v>
      </c>
      <c r="I16" s="11">
        <v>810</v>
      </c>
      <c r="J16" s="11">
        <f t="shared" si="1"/>
        <v>32400</v>
      </c>
      <c r="K16" s="11">
        <f t="shared" si="2"/>
        <v>252400</v>
      </c>
      <c r="L16" s="175"/>
      <c r="M16" s="144"/>
    </row>
    <row r="17" spans="1:28" s="177" customFormat="1" ht="15" customHeight="1" x14ac:dyDescent="0.25">
      <c r="A17" s="172"/>
      <c r="B17" s="173" t="s">
        <v>153</v>
      </c>
      <c r="C17" s="174" t="s">
        <v>154</v>
      </c>
      <c r="D17" s="169" t="s">
        <v>30</v>
      </c>
      <c r="E17" s="5">
        <v>15</v>
      </c>
      <c r="F17" s="5"/>
      <c r="G17" s="11">
        <v>6990</v>
      </c>
      <c r="H17" s="11">
        <f t="shared" si="0"/>
        <v>104850</v>
      </c>
      <c r="I17" s="11">
        <v>880</v>
      </c>
      <c r="J17" s="11">
        <f t="shared" si="1"/>
        <v>13200</v>
      </c>
      <c r="K17" s="11">
        <f t="shared" si="2"/>
        <v>118050</v>
      </c>
      <c r="L17" s="175"/>
      <c r="M17" s="176"/>
    </row>
    <row r="18" spans="1:28" s="182" customFormat="1" ht="18" customHeight="1" x14ac:dyDescent="0.2">
      <c r="A18" s="167">
        <f>A11+1</f>
        <v>2</v>
      </c>
      <c r="B18" s="178"/>
      <c r="C18" s="179" t="s">
        <v>155</v>
      </c>
      <c r="D18" s="180"/>
      <c r="E18" s="8"/>
      <c r="F18" s="8"/>
      <c r="G18" s="11"/>
      <c r="H18" s="11">
        <f t="shared" si="0"/>
        <v>0</v>
      </c>
      <c r="I18" s="11"/>
      <c r="J18" s="11">
        <f t="shared" si="1"/>
        <v>0</v>
      </c>
      <c r="K18" s="11">
        <f t="shared" si="2"/>
        <v>0</v>
      </c>
      <c r="L18" s="181"/>
    </row>
    <row r="19" spans="1:28" ht="15" customHeight="1" x14ac:dyDescent="0.25">
      <c r="A19" s="183"/>
      <c r="B19" s="184" t="s">
        <v>93</v>
      </c>
      <c r="C19" s="185" t="s">
        <v>252</v>
      </c>
      <c r="D19" s="169" t="str">
        <f>IF(C19="","",IF(E19="","",IF(E19&gt;1,"Nos.","No.")))</f>
        <v>Nos.</v>
      </c>
      <c r="E19" s="3">
        <v>3</v>
      </c>
      <c r="F19" s="3"/>
      <c r="G19" s="11">
        <v>21500</v>
      </c>
      <c r="H19" s="11">
        <f t="shared" si="0"/>
        <v>64500</v>
      </c>
      <c r="I19" s="11">
        <v>700</v>
      </c>
      <c r="J19" s="11">
        <f t="shared" si="1"/>
        <v>2100</v>
      </c>
      <c r="K19" s="11">
        <f t="shared" si="2"/>
        <v>66600</v>
      </c>
      <c r="L19" s="166"/>
    </row>
    <row r="20" spans="1:28" ht="15" customHeight="1" x14ac:dyDescent="0.25">
      <c r="A20" s="183"/>
      <c r="B20" s="184" t="s">
        <v>119</v>
      </c>
      <c r="C20" s="185" t="s">
        <v>156</v>
      </c>
      <c r="D20" s="169" t="str">
        <f>IF(C20="","",IF(E20="","",IF(E20&gt;1,"Nos.","No.")))</f>
        <v>Nos.</v>
      </c>
      <c r="E20" s="3">
        <v>3</v>
      </c>
      <c r="F20" s="3"/>
      <c r="G20" s="11">
        <v>12500</v>
      </c>
      <c r="H20" s="11">
        <f t="shared" si="0"/>
        <v>37500</v>
      </c>
      <c r="I20" s="11">
        <v>700</v>
      </c>
      <c r="J20" s="11">
        <f t="shared" si="1"/>
        <v>2100</v>
      </c>
      <c r="K20" s="11">
        <f t="shared" si="2"/>
        <v>39600</v>
      </c>
      <c r="L20" s="166"/>
    </row>
    <row r="21" spans="1:28" s="182" customFormat="1" ht="15" customHeight="1" x14ac:dyDescent="0.2">
      <c r="A21" s="186">
        <f>A18+1</f>
        <v>3</v>
      </c>
      <c r="B21" s="187"/>
      <c r="C21" s="179" t="s">
        <v>157</v>
      </c>
      <c r="D21" s="169"/>
      <c r="E21" s="5"/>
      <c r="F21" s="5"/>
      <c r="G21" s="11"/>
      <c r="H21" s="11">
        <f t="shared" si="0"/>
        <v>0</v>
      </c>
      <c r="I21" s="11"/>
      <c r="J21" s="11">
        <f t="shared" si="1"/>
        <v>0</v>
      </c>
      <c r="K21" s="11">
        <f t="shared" si="2"/>
        <v>0</v>
      </c>
      <c r="L21" s="181"/>
    </row>
    <row r="22" spans="1:28" s="191" customFormat="1" ht="15" customHeight="1" x14ac:dyDescent="0.2">
      <c r="A22" s="188"/>
      <c r="B22" s="189" t="s">
        <v>93</v>
      </c>
      <c r="C22" s="174" t="s">
        <v>158</v>
      </c>
      <c r="D22" s="169" t="str">
        <f>IF(C22="","",IF(E22="","",IF(E22&gt;1,"Nos.","No.")))</f>
        <v>Nos.</v>
      </c>
      <c r="E22" s="5">
        <v>49</v>
      </c>
      <c r="F22" s="5"/>
      <c r="G22" s="11">
        <v>2200</v>
      </c>
      <c r="H22" s="11">
        <f t="shared" si="0"/>
        <v>107800</v>
      </c>
      <c r="I22" s="11">
        <v>700</v>
      </c>
      <c r="J22" s="11">
        <f t="shared" si="1"/>
        <v>34300</v>
      </c>
      <c r="K22" s="11">
        <f t="shared" si="2"/>
        <v>142100</v>
      </c>
      <c r="L22" s="190"/>
    </row>
    <row r="23" spans="1:28" s="182" customFormat="1" ht="25.5" x14ac:dyDescent="0.2">
      <c r="A23" s="188"/>
      <c r="B23" s="192" t="s">
        <v>119</v>
      </c>
      <c r="C23" s="174" t="s">
        <v>159</v>
      </c>
      <c r="D23" s="169" t="str">
        <f>IF(C23="","",IF(E23="","",IF(E23&gt;1,"Nos.","No.")))</f>
        <v>Nos.</v>
      </c>
      <c r="E23" s="5">
        <v>25</v>
      </c>
      <c r="F23" s="5"/>
      <c r="G23" s="11">
        <v>2800</v>
      </c>
      <c r="H23" s="11">
        <f t="shared" si="0"/>
        <v>70000</v>
      </c>
      <c r="I23" s="11">
        <v>700</v>
      </c>
      <c r="J23" s="11">
        <f t="shared" si="1"/>
        <v>17500</v>
      </c>
      <c r="K23" s="11">
        <f t="shared" si="2"/>
        <v>87500</v>
      </c>
      <c r="L23" s="181"/>
    </row>
    <row r="24" spans="1:28" ht="39" customHeight="1" x14ac:dyDescent="0.25">
      <c r="A24" s="167">
        <f>A21+1</f>
        <v>4</v>
      </c>
      <c r="B24" s="168"/>
      <c r="C24" s="14" t="s">
        <v>160</v>
      </c>
      <c r="D24" s="169" t="s">
        <v>102</v>
      </c>
      <c r="E24" s="5">
        <v>1</v>
      </c>
      <c r="F24" s="5"/>
      <c r="G24" s="11">
        <v>15000</v>
      </c>
      <c r="H24" s="11">
        <f t="shared" si="0"/>
        <v>15000</v>
      </c>
      <c r="I24" s="11">
        <v>1000</v>
      </c>
      <c r="J24" s="11">
        <f t="shared" si="1"/>
        <v>1000</v>
      </c>
      <c r="K24" s="11">
        <f t="shared" si="2"/>
        <v>16000</v>
      </c>
      <c r="L24" s="166"/>
    </row>
    <row r="25" spans="1:28" s="182" customFormat="1" ht="30.75" customHeight="1" thickBot="1" x14ac:dyDescent="0.25">
      <c r="A25" s="193">
        <f>A24+1</f>
        <v>5</v>
      </c>
      <c r="B25" s="194"/>
      <c r="C25" s="174" t="s">
        <v>161</v>
      </c>
      <c r="D25" s="169" t="s">
        <v>102</v>
      </c>
      <c r="E25" s="5">
        <v>1</v>
      </c>
      <c r="F25" s="5"/>
      <c r="G25" s="11">
        <v>45000</v>
      </c>
      <c r="H25" s="11">
        <f t="shared" si="0"/>
        <v>45000</v>
      </c>
      <c r="I25" s="11">
        <v>15000</v>
      </c>
      <c r="J25" s="11">
        <f t="shared" si="1"/>
        <v>15000</v>
      </c>
      <c r="K25" s="11">
        <f t="shared" si="2"/>
        <v>60000</v>
      </c>
      <c r="L25" s="181"/>
    </row>
    <row r="26" spans="1:28" s="182" customFormat="1" ht="20.100000000000001" customHeight="1" x14ac:dyDescent="0.2">
      <c r="A26" s="188">
        <f>A25+1</f>
        <v>6</v>
      </c>
      <c r="B26" s="187"/>
      <c r="C26" s="174" t="s">
        <v>162</v>
      </c>
      <c r="D26" s="169" t="s">
        <v>102</v>
      </c>
      <c r="E26" s="5">
        <v>1</v>
      </c>
      <c r="F26" s="5"/>
      <c r="G26" s="11">
        <v>25000</v>
      </c>
      <c r="H26" s="11">
        <f t="shared" si="0"/>
        <v>25000</v>
      </c>
      <c r="I26" s="11">
        <v>5000</v>
      </c>
      <c r="J26" s="11">
        <f t="shared" si="1"/>
        <v>5000</v>
      </c>
      <c r="K26" s="11">
        <f t="shared" si="2"/>
        <v>30000</v>
      </c>
      <c r="L26" s="181"/>
    </row>
    <row r="27" spans="1:28" ht="30" customHeight="1" x14ac:dyDescent="0.25">
      <c r="A27" s="172">
        <f>A26+1</f>
        <v>7</v>
      </c>
      <c r="B27" s="168"/>
      <c r="C27" s="16" t="s">
        <v>163</v>
      </c>
      <c r="D27" s="169" t="s">
        <v>102</v>
      </c>
      <c r="E27" s="5">
        <v>1</v>
      </c>
      <c r="F27" s="5"/>
      <c r="G27" s="11">
        <v>25000</v>
      </c>
      <c r="H27" s="11">
        <f t="shared" si="0"/>
        <v>25000</v>
      </c>
      <c r="I27" s="11">
        <v>7000</v>
      </c>
      <c r="J27" s="11">
        <f t="shared" si="1"/>
        <v>7000</v>
      </c>
      <c r="K27" s="11">
        <f t="shared" si="2"/>
        <v>32000</v>
      </c>
      <c r="L27" s="166"/>
    </row>
    <row r="28" spans="1:28" ht="39.6" customHeight="1" thickBot="1" x14ac:dyDescent="0.3">
      <c r="A28" s="172"/>
      <c r="B28" s="168"/>
      <c r="C28" s="14" t="s">
        <v>237</v>
      </c>
      <c r="D28" s="17" t="s">
        <v>102</v>
      </c>
      <c r="E28" s="5">
        <v>1</v>
      </c>
      <c r="F28" s="5"/>
      <c r="G28" s="11"/>
      <c r="H28" s="11">
        <f t="shared" si="0"/>
        <v>0</v>
      </c>
      <c r="I28" s="11"/>
      <c r="J28" s="11">
        <f t="shared" si="1"/>
        <v>0</v>
      </c>
      <c r="K28" s="11">
        <f t="shared" si="2"/>
        <v>0</v>
      </c>
      <c r="L28" s="166"/>
    </row>
    <row r="29" spans="1:28" ht="20.100000000000001" customHeight="1" thickTop="1" thickBot="1" x14ac:dyDescent="0.3">
      <c r="A29" s="195"/>
      <c r="B29" s="196"/>
      <c r="C29" s="197" t="s">
        <v>164</v>
      </c>
      <c r="D29" s="198"/>
      <c r="E29" s="198"/>
      <c r="F29" s="198"/>
      <c r="G29" s="198"/>
      <c r="H29" s="199"/>
      <c r="I29" s="198"/>
      <c r="J29" s="199"/>
      <c r="K29" s="24">
        <f>SUM(K1:K28)</f>
        <v>1662600</v>
      </c>
      <c r="L29" s="166"/>
    </row>
    <row r="30" spans="1:28" x14ac:dyDescent="0.25">
      <c r="A30" s="62"/>
      <c r="B30" s="62"/>
      <c r="C30" s="21"/>
      <c r="D30" s="62"/>
      <c r="E30" s="62"/>
      <c r="F30" s="62"/>
      <c r="G30" s="62"/>
      <c r="H30" s="62"/>
      <c r="I30" s="62"/>
      <c r="J30" s="62"/>
      <c r="K30" s="62"/>
    </row>
    <row r="31" spans="1:28" x14ac:dyDescent="0.25">
      <c r="A31" s="282" t="s">
        <v>165</v>
      </c>
      <c r="B31" s="282"/>
      <c r="C31" s="21"/>
      <c r="D31" s="21"/>
      <c r="E31" s="21"/>
      <c r="F31" s="21"/>
      <c r="G31" s="62"/>
      <c r="H31" s="62"/>
      <c r="I31" s="62"/>
      <c r="J31" s="62"/>
      <c r="K31" s="62"/>
      <c r="L31" s="62"/>
      <c r="M31" s="62"/>
      <c r="N31" s="200"/>
    </row>
    <row r="32" spans="1:28" ht="33" customHeight="1" x14ac:dyDescent="0.25">
      <c r="A32" s="201" t="s">
        <v>166</v>
      </c>
      <c r="B32" s="283" t="s">
        <v>167</v>
      </c>
      <c r="C32" s="283"/>
      <c r="D32" s="283"/>
      <c r="E32" s="283"/>
      <c r="F32" s="283"/>
      <c r="G32" s="283"/>
      <c r="H32" s="283"/>
      <c r="I32" s="283"/>
      <c r="J32" s="202"/>
      <c r="K32" s="202"/>
      <c r="L32" s="202"/>
      <c r="M32" s="202"/>
      <c r="N32" s="203"/>
      <c r="O32" s="203"/>
      <c r="P32" s="203"/>
      <c r="Q32" s="203"/>
      <c r="R32" s="203"/>
      <c r="S32" s="203"/>
      <c r="T32" s="203"/>
      <c r="U32" s="203"/>
      <c r="V32" s="203"/>
      <c r="W32" s="203"/>
      <c r="X32" s="203"/>
      <c r="Y32" s="203"/>
      <c r="Z32" s="203"/>
      <c r="AA32" s="203"/>
      <c r="AB32" s="203"/>
    </row>
    <row r="33" spans="1:28" ht="30.75" customHeight="1" x14ac:dyDescent="0.25">
      <c r="A33" s="201" t="s">
        <v>168</v>
      </c>
      <c r="B33" s="283" t="s">
        <v>169</v>
      </c>
      <c r="C33" s="283"/>
      <c r="D33" s="283"/>
      <c r="E33" s="283"/>
      <c r="F33" s="283"/>
      <c r="G33" s="283"/>
      <c r="H33" s="283"/>
      <c r="I33" s="283"/>
      <c r="J33" s="202"/>
      <c r="K33" s="202"/>
      <c r="L33" s="202"/>
      <c r="M33" s="202"/>
      <c r="N33" s="203"/>
      <c r="O33" s="203"/>
      <c r="P33" s="203"/>
      <c r="Q33" s="203"/>
      <c r="R33" s="203"/>
      <c r="S33" s="203"/>
      <c r="T33" s="203"/>
      <c r="U33" s="203"/>
      <c r="V33" s="203"/>
      <c r="W33" s="203"/>
      <c r="X33" s="203"/>
      <c r="Y33" s="203"/>
      <c r="Z33" s="203"/>
      <c r="AA33" s="203"/>
      <c r="AB33" s="203"/>
    </row>
    <row r="34" spans="1:28" s="205" customFormat="1" x14ac:dyDescent="0.25">
      <c r="A34" s="204"/>
      <c r="B34" s="204"/>
      <c r="D34" s="204"/>
      <c r="E34" s="204"/>
      <c r="F34" s="204"/>
      <c r="G34" s="204"/>
      <c r="H34" s="204"/>
      <c r="I34" s="204"/>
      <c r="J34" s="204"/>
      <c r="K34" s="204"/>
    </row>
    <row r="35" spans="1:28" s="205" customFormat="1" ht="63" x14ac:dyDescent="0.25">
      <c r="A35" s="55" t="s">
        <v>17</v>
      </c>
      <c r="B35" s="56"/>
      <c r="C35" s="57"/>
      <c r="D35" s="57"/>
      <c r="E35" s="56"/>
      <c r="F35" s="56"/>
      <c r="G35" s="58"/>
      <c r="H35" s="204"/>
      <c r="I35" s="204"/>
      <c r="J35" s="204"/>
      <c r="K35" s="204"/>
    </row>
    <row r="36" spans="1:28" s="205" customFormat="1" ht="15.75" x14ac:dyDescent="0.25">
      <c r="A36" s="59" t="s">
        <v>6</v>
      </c>
      <c r="B36" s="56"/>
      <c r="C36" s="57"/>
      <c r="D36" s="57"/>
      <c r="E36" s="56"/>
      <c r="F36" s="56"/>
      <c r="G36" s="58"/>
      <c r="H36" s="204"/>
      <c r="I36" s="204"/>
      <c r="J36" s="204"/>
      <c r="K36" s="204"/>
    </row>
    <row r="37" spans="1:28" s="205" customFormat="1" ht="15.75" x14ac:dyDescent="0.25">
      <c r="A37" s="59" t="s">
        <v>7</v>
      </c>
      <c r="B37" s="56"/>
      <c r="C37" s="57"/>
      <c r="D37" s="57"/>
      <c r="E37" s="56"/>
      <c r="F37" s="56"/>
      <c r="G37" s="58"/>
      <c r="H37" s="204"/>
      <c r="I37" s="204"/>
      <c r="J37" s="204"/>
      <c r="K37" s="204"/>
    </row>
    <row r="38" spans="1:28" s="205" customFormat="1" ht="15.75" x14ac:dyDescent="0.25">
      <c r="A38" s="274" t="s">
        <v>8</v>
      </c>
      <c r="B38" s="274"/>
      <c r="C38" s="274"/>
      <c r="D38" s="274"/>
      <c r="E38" s="274"/>
      <c r="F38" s="274"/>
      <c r="G38" s="274"/>
      <c r="H38" s="204"/>
      <c r="I38" s="204"/>
      <c r="J38" s="204"/>
      <c r="K38" s="204"/>
    </row>
    <row r="39" spans="1:28" s="205" customFormat="1" ht="15.75" x14ac:dyDescent="0.25">
      <c r="A39" s="270" t="s">
        <v>26</v>
      </c>
      <c r="B39" s="270"/>
      <c r="C39" s="270"/>
      <c r="D39" s="270"/>
      <c r="E39" s="270"/>
      <c r="F39" s="60"/>
      <c r="G39" s="61"/>
      <c r="H39" s="204"/>
      <c r="I39" s="204"/>
      <c r="J39" s="204"/>
      <c r="K39" s="204"/>
    </row>
    <row r="40" spans="1:28" s="205" customFormat="1" ht="15.75" x14ac:dyDescent="0.25">
      <c r="A40" s="270" t="s">
        <v>27</v>
      </c>
      <c r="B40" s="270"/>
      <c r="C40" s="270"/>
      <c r="D40" s="270"/>
      <c r="E40" s="270"/>
      <c r="F40" s="60"/>
      <c r="G40" s="61"/>
      <c r="H40" s="204"/>
      <c r="I40" s="204"/>
      <c r="J40" s="204"/>
      <c r="K40" s="204"/>
    </row>
    <row r="41" spans="1:28" s="205" customFormat="1" x14ac:dyDescent="0.25">
      <c r="A41" s="204"/>
      <c r="B41" s="204"/>
      <c r="D41" s="204"/>
      <c r="E41" s="204"/>
      <c r="F41" s="204"/>
      <c r="G41" s="204"/>
      <c r="H41" s="204"/>
      <c r="I41" s="204"/>
      <c r="J41" s="204"/>
      <c r="K41" s="204"/>
    </row>
    <row r="42" spans="1:28" s="205" customFormat="1" x14ac:dyDescent="0.25">
      <c r="A42" s="204"/>
      <c r="B42" s="204"/>
      <c r="D42" s="204"/>
      <c r="E42" s="204"/>
      <c r="F42" s="204"/>
      <c r="G42" s="204"/>
      <c r="H42" s="204"/>
      <c r="I42" s="204"/>
      <c r="J42" s="204"/>
      <c r="K42" s="204"/>
    </row>
  </sheetData>
  <mergeCells count="16">
    <mergeCell ref="A38:G38"/>
    <mergeCell ref="A39:E39"/>
    <mergeCell ref="A40:E40"/>
    <mergeCell ref="G6:K6"/>
    <mergeCell ref="A7:B8"/>
    <mergeCell ref="C7:C8"/>
    <mergeCell ref="D7:D8"/>
    <mergeCell ref="E7:E8"/>
    <mergeCell ref="G7:H7"/>
    <mergeCell ref="I7:J7"/>
    <mergeCell ref="F7:F8"/>
    <mergeCell ref="L7:L8"/>
    <mergeCell ref="M7:M8"/>
    <mergeCell ref="A31:B31"/>
    <mergeCell ref="B32:I32"/>
    <mergeCell ref="B33:I33"/>
  </mergeCells>
  <printOptions horizontalCentered="1"/>
  <pageMargins left="0.5" right="0.5" top="0" bottom="0" header="0.33" footer="0.33"/>
  <pageSetup paperSize="9" scale="97" orientation="landscape" r:id="rId1"/>
  <headerFooter scaleWithDoc="0" alignWithMargins="0">
    <oddFooter>&amp;L&amp;8SEM Engineers&amp;R&amp;8Page &amp;P of &amp;N</oddFooter>
  </headerFooter>
  <rowBreaks count="1" manualBreakCount="1">
    <brk id="25" max="10" man="1"/>
  </rowBreaks>
  <colBreaks count="1" manualBreakCount="1">
    <brk id="11" max="2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9"/>
  <sheetViews>
    <sheetView showGridLines="0" view="pageBreakPreview" zoomScaleNormal="100" zoomScaleSheetLayoutView="100" workbookViewId="0">
      <selection activeCell="G10" sqref="G10"/>
    </sheetView>
  </sheetViews>
  <sheetFormatPr defaultColWidth="9.42578125" defaultRowHeight="12.75" x14ac:dyDescent="0.2"/>
  <cols>
    <col min="1" max="1" width="4.42578125" style="262" customWidth="1"/>
    <col min="2" max="2" width="2.7109375" style="262" customWidth="1"/>
    <col min="3" max="3" width="47.5703125" style="23" customWidth="1"/>
    <col min="4" max="4" width="6.140625" style="261" customWidth="1"/>
    <col min="5" max="5" width="9.42578125" style="261" customWidth="1"/>
    <col min="6" max="6" width="11.140625" style="261" customWidth="1"/>
    <col min="7" max="8" width="11.5703125" style="261" customWidth="1"/>
    <col min="9" max="9" width="11.5703125" style="23" customWidth="1"/>
    <col min="10" max="10" width="13.7109375" style="23" customWidth="1"/>
    <col min="11" max="11" width="15.85546875" style="23" customWidth="1"/>
    <col min="12" max="12" width="13.140625" style="23" customWidth="1"/>
    <col min="13" max="13" width="13" style="23" customWidth="1"/>
    <col min="14" max="257" width="9.42578125" style="23"/>
    <col min="258" max="258" width="4.42578125" style="23" customWidth="1"/>
    <col min="259" max="259" width="2.7109375" style="23" customWidth="1"/>
    <col min="260" max="260" width="47.5703125" style="23" customWidth="1"/>
    <col min="261" max="261" width="6.140625" style="23" customWidth="1"/>
    <col min="262" max="262" width="9.42578125" style="23"/>
    <col min="263" max="265" width="11.5703125" style="23" customWidth="1"/>
    <col min="266" max="266" width="13.7109375" style="23" customWidth="1"/>
    <col min="267" max="267" width="15.85546875" style="23" customWidth="1"/>
    <col min="268" max="513" width="9.42578125" style="23"/>
    <col min="514" max="514" width="4.42578125" style="23" customWidth="1"/>
    <col min="515" max="515" width="2.7109375" style="23" customWidth="1"/>
    <col min="516" max="516" width="47.5703125" style="23" customWidth="1"/>
    <col min="517" max="517" width="6.140625" style="23" customWidth="1"/>
    <col min="518" max="518" width="9.42578125" style="23"/>
    <col min="519" max="521" width="11.5703125" style="23" customWidth="1"/>
    <col min="522" max="522" width="13.7109375" style="23" customWidth="1"/>
    <col min="523" max="523" width="15.85546875" style="23" customWidth="1"/>
    <col min="524" max="769" width="9.42578125" style="23"/>
    <col min="770" max="770" width="4.42578125" style="23" customWidth="1"/>
    <col min="771" max="771" width="2.7109375" style="23" customWidth="1"/>
    <col min="772" max="772" width="47.5703125" style="23" customWidth="1"/>
    <col min="773" max="773" width="6.140625" style="23" customWidth="1"/>
    <col min="774" max="774" width="9.42578125" style="23"/>
    <col min="775" max="777" width="11.5703125" style="23" customWidth="1"/>
    <col min="778" max="778" width="13.7109375" style="23" customWidth="1"/>
    <col min="779" max="779" width="15.85546875" style="23" customWidth="1"/>
    <col min="780" max="1025" width="9.42578125" style="23"/>
    <col min="1026" max="1026" width="4.42578125" style="23" customWidth="1"/>
    <col min="1027" max="1027" width="2.7109375" style="23" customWidth="1"/>
    <col min="1028" max="1028" width="47.5703125" style="23" customWidth="1"/>
    <col min="1029" max="1029" width="6.140625" style="23" customWidth="1"/>
    <col min="1030" max="1030" width="9.42578125" style="23"/>
    <col min="1031" max="1033" width="11.5703125" style="23" customWidth="1"/>
    <col min="1034" max="1034" width="13.7109375" style="23" customWidth="1"/>
    <col min="1035" max="1035" width="15.85546875" style="23" customWidth="1"/>
    <col min="1036" max="1281" width="9.42578125" style="23"/>
    <col min="1282" max="1282" width="4.42578125" style="23" customWidth="1"/>
    <col min="1283" max="1283" width="2.7109375" style="23" customWidth="1"/>
    <col min="1284" max="1284" width="47.5703125" style="23" customWidth="1"/>
    <col min="1285" max="1285" width="6.140625" style="23" customWidth="1"/>
    <col min="1286" max="1286" width="9.42578125" style="23"/>
    <col min="1287" max="1289" width="11.5703125" style="23" customWidth="1"/>
    <col min="1290" max="1290" width="13.7109375" style="23" customWidth="1"/>
    <col min="1291" max="1291" width="15.85546875" style="23" customWidth="1"/>
    <col min="1292" max="1537" width="9.42578125" style="23"/>
    <col min="1538" max="1538" width="4.42578125" style="23" customWidth="1"/>
    <col min="1539" max="1539" width="2.7109375" style="23" customWidth="1"/>
    <col min="1540" max="1540" width="47.5703125" style="23" customWidth="1"/>
    <col min="1541" max="1541" width="6.140625" style="23" customWidth="1"/>
    <col min="1542" max="1542" width="9.42578125" style="23"/>
    <col min="1543" max="1545" width="11.5703125" style="23" customWidth="1"/>
    <col min="1546" max="1546" width="13.7109375" style="23" customWidth="1"/>
    <col min="1547" max="1547" width="15.85546875" style="23" customWidth="1"/>
    <col min="1548" max="1793" width="9.42578125" style="23"/>
    <col min="1794" max="1794" width="4.42578125" style="23" customWidth="1"/>
    <col min="1795" max="1795" width="2.7109375" style="23" customWidth="1"/>
    <col min="1796" max="1796" width="47.5703125" style="23" customWidth="1"/>
    <col min="1797" max="1797" width="6.140625" style="23" customWidth="1"/>
    <col min="1798" max="1798" width="9.42578125" style="23"/>
    <col min="1799" max="1801" width="11.5703125" style="23" customWidth="1"/>
    <col min="1802" max="1802" width="13.7109375" style="23" customWidth="1"/>
    <col min="1803" max="1803" width="15.85546875" style="23" customWidth="1"/>
    <col min="1804" max="2049" width="9.42578125" style="23"/>
    <col min="2050" max="2050" width="4.42578125" style="23" customWidth="1"/>
    <col min="2051" max="2051" width="2.7109375" style="23" customWidth="1"/>
    <col min="2052" max="2052" width="47.5703125" style="23" customWidth="1"/>
    <col min="2053" max="2053" width="6.140625" style="23" customWidth="1"/>
    <col min="2054" max="2054" width="9.42578125" style="23"/>
    <col min="2055" max="2057" width="11.5703125" style="23" customWidth="1"/>
    <col min="2058" max="2058" width="13.7109375" style="23" customWidth="1"/>
    <col min="2059" max="2059" width="15.85546875" style="23" customWidth="1"/>
    <col min="2060" max="2305" width="9.42578125" style="23"/>
    <col min="2306" max="2306" width="4.42578125" style="23" customWidth="1"/>
    <col min="2307" max="2307" width="2.7109375" style="23" customWidth="1"/>
    <col min="2308" max="2308" width="47.5703125" style="23" customWidth="1"/>
    <col min="2309" max="2309" width="6.140625" style="23" customWidth="1"/>
    <col min="2310" max="2310" width="9.42578125" style="23"/>
    <col min="2311" max="2313" width="11.5703125" style="23" customWidth="1"/>
    <col min="2314" max="2314" width="13.7109375" style="23" customWidth="1"/>
    <col min="2315" max="2315" width="15.85546875" style="23" customWidth="1"/>
    <col min="2316" max="2561" width="9.42578125" style="23"/>
    <col min="2562" max="2562" width="4.42578125" style="23" customWidth="1"/>
    <col min="2563" max="2563" width="2.7109375" style="23" customWidth="1"/>
    <col min="2564" max="2564" width="47.5703125" style="23" customWidth="1"/>
    <col min="2565" max="2565" width="6.140625" style="23" customWidth="1"/>
    <col min="2566" max="2566" width="9.42578125" style="23"/>
    <col min="2567" max="2569" width="11.5703125" style="23" customWidth="1"/>
    <col min="2570" max="2570" width="13.7109375" style="23" customWidth="1"/>
    <col min="2571" max="2571" width="15.85546875" style="23" customWidth="1"/>
    <col min="2572" max="2817" width="9.42578125" style="23"/>
    <col min="2818" max="2818" width="4.42578125" style="23" customWidth="1"/>
    <col min="2819" max="2819" width="2.7109375" style="23" customWidth="1"/>
    <col min="2820" max="2820" width="47.5703125" style="23" customWidth="1"/>
    <col min="2821" max="2821" width="6.140625" style="23" customWidth="1"/>
    <col min="2822" max="2822" width="9.42578125" style="23"/>
    <col min="2823" max="2825" width="11.5703125" style="23" customWidth="1"/>
    <col min="2826" max="2826" width="13.7109375" style="23" customWidth="1"/>
    <col min="2827" max="2827" width="15.85546875" style="23" customWidth="1"/>
    <col min="2828" max="3073" width="9.42578125" style="23"/>
    <col min="3074" max="3074" width="4.42578125" style="23" customWidth="1"/>
    <col min="3075" max="3075" width="2.7109375" style="23" customWidth="1"/>
    <col min="3076" max="3076" width="47.5703125" style="23" customWidth="1"/>
    <col min="3077" max="3077" width="6.140625" style="23" customWidth="1"/>
    <col min="3078" max="3078" width="9.42578125" style="23"/>
    <col min="3079" max="3081" width="11.5703125" style="23" customWidth="1"/>
    <col min="3082" max="3082" width="13.7109375" style="23" customWidth="1"/>
    <col min="3083" max="3083" width="15.85546875" style="23" customWidth="1"/>
    <col min="3084" max="3329" width="9.42578125" style="23"/>
    <col min="3330" max="3330" width="4.42578125" style="23" customWidth="1"/>
    <col min="3331" max="3331" width="2.7109375" style="23" customWidth="1"/>
    <col min="3332" max="3332" width="47.5703125" style="23" customWidth="1"/>
    <col min="3333" max="3333" width="6.140625" style="23" customWidth="1"/>
    <col min="3334" max="3334" width="9.42578125" style="23"/>
    <col min="3335" max="3337" width="11.5703125" style="23" customWidth="1"/>
    <col min="3338" max="3338" width="13.7109375" style="23" customWidth="1"/>
    <col min="3339" max="3339" width="15.85546875" style="23" customWidth="1"/>
    <col min="3340" max="3585" width="9.42578125" style="23"/>
    <col min="3586" max="3586" width="4.42578125" style="23" customWidth="1"/>
    <col min="3587" max="3587" width="2.7109375" style="23" customWidth="1"/>
    <col min="3588" max="3588" width="47.5703125" style="23" customWidth="1"/>
    <col min="3589" max="3589" width="6.140625" style="23" customWidth="1"/>
    <col min="3590" max="3590" width="9.42578125" style="23"/>
    <col min="3591" max="3593" width="11.5703125" style="23" customWidth="1"/>
    <col min="3594" max="3594" width="13.7109375" style="23" customWidth="1"/>
    <col min="3595" max="3595" width="15.85546875" style="23" customWidth="1"/>
    <col min="3596" max="3841" width="9.42578125" style="23"/>
    <col min="3842" max="3842" width="4.42578125" style="23" customWidth="1"/>
    <col min="3843" max="3843" width="2.7109375" style="23" customWidth="1"/>
    <col min="3844" max="3844" width="47.5703125" style="23" customWidth="1"/>
    <col min="3845" max="3845" width="6.140625" style="23" customWidth="1"/>
    <col min="3846" max="3846" width="9.42578125" style="23"/>
    <col min="3847" max="3849" width="11.5703125" style="23" customWidth="1"/>
    <col min="3850" max="3850" width="13.7109375" style="23" customWidth="1"/>
    <col min="3851" max="3851" width="15.85546875" style="23" customWidth="1"/>
    <col min="3852" max="4097" width="9.42578125" style="23"/>
    <col min="4098" max="4098" width="4.42578125" style="23" customWidth="1"/>
    <col min="4099" max="4099" width="2.7109375" style="23" customWidth="1"/>
    <col min="4100" max="4100" width="47.5703125" style="23" customWidth="1"/>
    <col min="4101" max="4101" width="6.140625" style="23" customWidth="1"/>
    <col min="4102" max="4102" width="9.42578125" style="23"/>
    <col min="4103" max="4105" width="11.5703125" style="23" customWidth="1"/>
    <col min="4106" max="4106" width="13.7109375" style="23" customWidth="1"/>
    <col min="4107" max="4107" width="15.85546875" style="23" customWidth="1"/>
    <col min="4108" max="4353" width="9.42578125" style="23"/>
    <col min="4354" max="4354" width="4.42578125" style="23" customWidth="1"/>
    <col min="4355" max="4355" width="2.7109375" style="23" customWidth="1"/>
    <col min="4356" max="4356" width="47.5703125" style="23" customWidth="1"/>
    <col min="4357" max="4357" width="6.140625" style="23" customWidth="1"/>
    <col min="4358" max="4358" width="9.42578125" style="23"/>
    <col min="4359" max="4361" width="11.5703125" style="23" customWidth="1"/>
    <col min="4362" max="4362" width="13.7109375" style="23" customWidth="1"/>
    <col min="4363" max="4363" width="15.85546875" style="23" customWidth="1"/>
    <col min="4364" max="4609" width="9.42578125" style="23"/>
    <col min="4610" max="4610" width="4.42578125" style="23" customWidth="1"/>
    <col min="4611" max="4611" width="2.7109375" style="23" customWidth="1"/>
    <col min="4612" max="4612" width="47.5703125" style="23" customWidth="1"/>
    <col min="4613" max="4613" width="6.140625" style="23" customWidth="1"/>
    <col min="4614" max="4614" width="9.42578125" style="23"/>
    <col min="4615" max="4617" width="11.5703125" style="23" customWidth="1"/>
    <col min="4618" max="4618" width="13.7109375" style="23" customWidth="1"/>
    <col min="4619" max="4619" width="15.85546875" style="23" customWidth="1"/>
    <col min="4620" max="4865" width="9.42578125" style="23"/>
    <col min="4866" max="4866" width="4.42578125" style="23" customWidth="1"/>
    <col min="4867" max="4867" width="2.7109375" style="23" customWidth="1"/>
    <col min="4868" max="4868" width="47.5703125" style="23" customWidth="1"/>
    <col min="4869" max="4869" width="6.140625" style="23" customWidth="1"/>
    <col min="4870" max="4870" width="9.42578125" style="23"/>
    <col min="4871" max="4873" width="11.5703125" style="23" customWidth="1"/>
    <col min="4874" max="4874" width="13.7109375" style="23" customWidth="1"/>
    <col min="4875" max="4875" width="15.85546875" style="23" customWidth="1"/>
    <col min="4876" max="5121" width="9.42578125" style="23"/>
    <col min="5122" max="5122" width="4.42578125" style="23" customWidth="1"/>
    <col min="5123" max="5123" width="2.7109375" style="23" customWidth="1"/>
    <col min="5124" max="5124" width="47.5703125" style="23" customWidth="1"/>
    <col min="5125" max="5125" width="6.140625" style="23" customWidth="1"/>
    <col min="5126" max="5126" width="9.42578125" style="23"/>
    <col min="5127" max="5129" width="11.5703125" style="23" customWidth="1"/>
    <col min="5130" max="5130" width="13.7109375" style="23" customWidth="1"/>
    <col min="5131" max="5131" width="15.85546875" style="23" customWidth="1"/>
    <col min="5132" max="5377" width="9.42578125" style="23"/>
    <col min="5378" max="5378" width="4.42578125" style="23" customWidth="1"/>
    <col min="5379" max="5379" width="2.7109375" style="23" customWidth="1"/>
    <col min="5380" max="5380" width="47.5703125" style="23" customWidth="1"/>
    <col min="5381" max="5381" width="6.140625" style="23" customWidth="1"/>
    <col min="5382" max="5382" width="9.42578125" style="23"/>
    <col min="5383" max="5385" width="11.5703125" style="23" customWidth="1"/>
    <col min="5386" max="5386" width="13.7109375" style="23" customWidth="1"/>
    <col min="5387" max="5387" width="15.85546875" style="23" customWidth="1"/>
    <col min="5388" max="5633" width="9.42578125" style="23"/>
    <col min="5634" max="5634" width="4.42578125" style="23" customWidth="1"/>
    <col min="5635" max="5635" width="2.7109375" style="23" customWidth="1"/>
    <col min="5636" max="5636" width="47.5703125" style="23" customWidth="1"/>
    <col min="5637" max="5637" width="6.140625" style="23" customWidth="1"/>
    <col min="5638" max="5638" width="9.42578125" style="23"/>
    <col min="5639" max="5641" width="11.5703125" style="23" customWidth="1"/>
    <col min="5642" max="5642" width="13.7109375" style="23" customWidth="1"/>
    <col min="5643" max="5643" width="15.85546875" style="23" customWidth="1"/>
    <col min="5644" max="5889" width="9.42578125" style="23"/>
    <col min="5890" max="5890" width="4.42578125" style="23" customWidth="1"/>
    <col min="5891" max="5891" width="2.7109375" style="23" customWidth="1"/>
    <col min="5892" max="5892" width="47.5703125" style="23" customWidth="1"/>
    <col min="5893" max="5893" width="6.140625" style="23" customWidth="1"/>
    <col min="5894" max="5894" width="9.42578125" style="23"/>
    <col min="5895" max="5897" width="11.5703125" style="23" customWidth="1"/>
    <col min="5898" max="5898" width="13.7109375" style="23" customWidth="1"/>
    <col min="5899" max="5899" width="15.85546875" style="23" customWidth="1"/>
    <col min="5900" max="6145" width="9.42578125" style="23"/>
    <col min="6146" max="6146" width="4.42578125" style="23" customWidth="1"/>
    <col min="6147" max="6147" width="2.7109375" style="23" customWidth="1"/>
    <col min="6148" max="6148" width="47.5703125" style="23" customWidth="1"/>
    <col min="6149" max="6149" width="6.140625" style="23" customWidth="1"/>
    <col min="6150" max="6150" width="9.42578125" style="23"/>
    <col min="6151" max="6153" width="11.5703125" style="23" customWidth="1"/>
    <col min="6154" max="6154" width="13.7109375" style="23" customWidth="1"/>
    <col min="6155" max="6155" width="15.85546875" style="23" customWidth="1"/>
    <col min="6156" max="6401" width="9.42578125" style="23"/>
    <col min="6402" max="6402" width="4.42578125" style="23" customWidth="1"/>
    <col min="6403" max="6403" width="2.7109375" style="23" customWidth="1"/>
    <col min="6404" max="6404" width="47.5703125" style="23" customWidth="1"/>
    <col min="6405" max="6405" width="6.140625" style="23" customWidth="1"/>
    <col min="6406" max="6406" width="9.42578125" style="23"/>
    <col min="6407" max="6409" width="11.5703125" style="23" customWidth="1"/>
    <col min="6410" max="6410" width="13.7109375" style="23" customWidth="1"/>
    <col min="6411" max="6411" width="15.85546875" style="23" customWidth="1"/>
    <col min="6412" max="6657" width="9.42578125" style="23"/>
    <col min="6658" max="6658" width="4.42578125" style="23" customWidth="1"/>
    <col min="6659" max="6659" width="2.7109375" style="23" customWidth="1"/>
    <col min="6660" max="6660" width="47.5703125" style="23" customWidth="1"/>
    <col min="6661" max="6661" width="6.140625" style="23" customWidth="1"/>
    <col min="6662" max="6662" width="9.42578125" style="23"/>
    <col min="6663" max="6665" width="11.5703125" style="23" customWidth="1"/>
    <col min="6666" max="6666" width="13.7109375" style="23" customWidth="1"/>
    <col min="6667" max="6667" width="15.85546875" style="23" customWidth="1"/>
    <col min="6668" max="6913" width="9.42578125" style="23"/>
    <col min="6914" max="6914" width="4.42578125" style="23" customWidth="1"/>
    <col min="6915" max="6915" width="2.7109375" style="23" customWidth="1"/>
    <col min="6916" max="6916" width="47.5703125" style="23" customWidth="1"/>
    <col min="6917" max="6917" width="6.140625" style="23" customWidth="1"/>
    <col min="6918" max="6918" width="9.42578125" style="23"/>
    <col min="6919" max="6921" width="11.5703125" style="23" customWidth="1"/>
    <col min="6922" max="6922" width="13.7109375" style="23" customWidth="1"/>
    <col min="6923" max="6923" width="15.85546875" style="23" customWidth="1"/>
    <col min="6924" max="7169" width="9.42578125" style="23"/>
    <col min="7170" max="7170" width="4.42578125" style="23" customWidth="1"/>
    <col min="7171" max="7171" width="2.7109375" style="23" customWidth="1"/>
    <col min="7172" max="7172" width="47.5703125" style="23" customWidth="1"/>
    <col min="7173" max="7173" width="6.140625" style="23" customWidth="1"/>
    <col min="7174" max="7174" width="9.42578125" style="23"/>
    <col min="7175" max="7177" width="11.5703125" style="23" customWidth="1"/>
    <col min="7178" max="7178" width="13.7109375" style="23" customWidth="1"/>
    <col min="7179" max="7179" width="15.85546875" style="23" customWidth="1"/>
    <col min="7180" max="7425" width="9.42578125" style="23"/>
    <col min="7426" max="7426" width="4.42578125" style="23" customWidth="1"/>
    <col min="7427" max="7427" width="2.7109375" style="23" customWidth="1"/>
    <col min="7428" max="7428" width="47.5703125" style="23" customWidth="1"/>
    <col min="7429" max="7429" width="6.140625" style="23" customWidth="1"/>
    <col min="7430" max="7430" width="9.42578125" style="23"/>
    <col min="7431" max="7433" width="11.5703125" style="23" customWidth="1"/>
    <col min="7434" max="7434" width="13.7109375" style="23" customWidth="1"/>
    <col min="7435" max="7435" width="15.85546875" style="23" customWidth="1"/>
    <col min="7436" max="7681" width="9.42578125" style="23"/>
    <col min="7682" max="7682" width="4.42578125" style="23" customWidth="1"/>
    <col min="7683" max="7683" width="2.7109375" style="23" customWidth="1"/>
    <col min="7684" max="7684" width="47.5703125" style="23" customWidth="1"/>
    <col min="7685" max="7685" width="6.140625" style="23" customWidth="1"/>
    <col min="7686" max="7686" width="9.42578125" style="23"/>
    <col min="7687" max="7689" width="11.5703125" style="23" customWidth="1"/>
    <col min="7690" max="7690" width="13.7109375" style="23" customWidth="1"/>
    <col min="7691" max="7691" width="15.85546875" style="23" customWidth="1"/>
    <col min="7692" max="7937" width="9.42578125" style="23"/>
    <col min="7938" max="7938" width="4.42578125" style="23" customWidth="1"/>
    <col min="7939" max="7939" width="2.7109375" style="23" customWidth="1"/>
    <col min="7940" max="7940" width="47.5703125" style="23" customWidth="1"/>
    <col min="7941" max="7941" width="6.140625" style="23" customWidth="1"/>
    <col min="7942" max="7942" width="9.42578125" style="23"/>
    <col min="7943" max="7945" width="11.5703125" style="23" customWidth="1"/>
    <col min="7946" max="7946" width="13.7109375" style="23" customWidth="1"/>
    <col min="7947" max="7947" width="15.85546875" style="23" customWidth="1"/>
    <col min="7948" max="8193" width="9.42578125" style="23"/>
    <col min="8194" max="8194" width="4.42578125" style="23" customWidth="1"/>
    <col min="8195" max="8195" width="2.7109375" style="23" customWidth="1"/>
    <col min="8196" max="8196" width="47.5703125" style="23" customWidth="1"/>
    <col min="8197" max="8197" width="6.140625" style="23" customWidth="1"/>
    <col min="8198" max="8198" width="9.42578125" style="23"/>
    <col min="8199" max="8201" width="11.5703125" style="23" customWidth="1"/>
    <col min="8202" max="8202" width="13.7109375" style="23" customWidth="1"/>
    <col min="8203" max="8203" width="15.85546875" style="23" customWidth="1"/>
    <col min="8204" max="8449" width="9.42578125" style="23"/>
    <col min="8450" max="8450" width="4.42578125" style="23" customWidth="1"/>
    <col min="8451" max="8451" width="2.7109375" style="23" customWidth="1"/>
    <col min="8452" max="8452" width="47.5703125" style="23" customWidth="1"/>
    <col min="8453" max="8453" width="6.140625" style="23" customWidth="1"/>
    <col min="8454" max="8454" width="9.42578125" style="23"/>
    <col min="8455" max="8457" width="11.5703125" style="23" customWidth="1"/>
    <col min="8458" max="8458" width="13.7109375" style="23" customWidth="1"/>
    <col min="8459" max="8459" width="15.85546875" style="23" customWidth="1"/>
    <col min="8460" max="8705" width="9.42578125" style="23"/>
    <col min="8706" max="8706" width="4.42578125" style="23" customWidth="1"/>
    <col min="8707" max="8707" width="2.7109375" style="23" customWidth="1"/>
    <col min="8708" max="8708" width="47.5703125" style="23" customWidth="1"/>
    <col min="8709" max="8709" width="6.140625" style="23" customWidth="1"/>
    <col min="8710" max="8710" width="9.42578125" style="23"/>
    <col min="8711" max="8713" width="11.5703125" style="23" customWidth="1"/>
    <col min="8714" max="8714" width="13.7109375" style="23" customWidth="1"/>
    <col min="8715" max="8715" width="15.85546875" style="23" customWidth="1"/>
    <col min="8716" max="8961" width="9.42578125" style="23"/>
    <col min="8962" max="8962" width="4.42578125" style="23" customWidth="1"/>
    <col min="8963" max="8963" width="2.7109375" style="23" customWidth="1"/>
    <col min="8964" max="8964" width="47.5703125" style="23" customWidth="1"/>
    <col min="8965" max="8965" width="6.140625" style="23" customWidth="1"/>
    <col min="8966" max="8966" width="9.42578125" style="23"/>
    <col min="8967" max="8969" width="11.5703125" style="23" customWidth="1"/>
    <col min="8970" max="8970" width="13.7109375" style="23" customWidth="1"/>
    <col min="8971" max="8971" width="15.85546875" style="23" customWidth="1"/>
    <col min="8972" max="9217" width="9.42578125" style="23"/>
    <col min="9218" max="9218" width="4.42578125" style="23" customWidth="1"/>
    <col min="9219" max="9219" width="2.7109375" style="23" customWidth="1"/>
    <col min="9220" max="9220" width="47.5703125" style="23" customWidth="1"/>
    <col min="9221" max="9221" width="6.140625" style="23" customWidth="1"/>
    <col min="9222" max="9222" width="9.42578125" style="23"/>
    <col min="9223" max="9225" width="11.5703125" style="23" customWidth="1"/>
    <col min="9226" max="9226" width="13.7109375" style="23" customWidth="1"/>
    <col min="9227" max="9227" width="15.85546875" style="23" customWidth="1"/>
    <col min="9228" max="9473" width="9.42578125" style="23"/>
    <col min="9474" max="9474" width="4.42578125" style="23" customWidth="1"/>
    <col min="9475" max="9475" width="2.7109375" style="23" customWidth="1"/>
    <col min="9476" max="9476" width="47.5703125" style="23" customWidth="1"/>
    <col min="9477" max="9477" width="6.140625" style="23" customWidth="1"/>
    <col min="9478" max="9478" width="9.42578125" style="23"/>
    <col min="9479" max="9481" width="11.5703125" style="23" customWidth="1"/>
    <col min="9482" max="9482" width="13.7109375" style="23" customWidth="1"/>
    <col min="9483" max="9483" width="15.85546875" style="23" customWidth="1"/>
    <col min="9484" max="9729" width="9.42578125" style="23"/>
    <col min="9730" max="9730" width="4.42578125" style="23" customWidth="1"/>
    <col min="9731" max="9731" width="2.7109375" style="23" customWidth="1"/>
    <col min="9732" max="9732" width="47.5703125" style="23" customWidth="1"/>
    <col min="9733" max="9733" width="6.140625" style="23" customWidth="1"/>
    <col min="9734" max="9734" width="9.42578125" style="23"/>
    <col min="9735" max="9737" width="11.5703125" style="23" customWidth="1"/>
    <col min="9738" max="9738" width="13.7109375" style="23" customWidth="1"/>
    <col min="9739" max="9739" width="15.85546875" style="23" customWidth="1"/>
    <col min="9740" max="9985" width="9.42578125" style="23"/>
    <col min="9986" max="9986" width="4.42578125" style="23" customWidth="1"/>
    <col min="9987" max="9987" width="2.7109375" style="23" customWidth="1"/>
    <col min="9988" max="9988" width="47.5703125" style="23" customWidth="1"/>
    <col min="9989" max="9989" width="6.140625" style="23" customWidth="1"/>
    <col min="9990" max="9990" width="9.42578125" style="23"/>
    <col min="9991" max="9993" width="11.5703125" style="23" customWidth="1"/>
    <col min="9994" max="9994" width="13.7109375" style="23" customWidth="1"/>
    <col min="9995" max="9995" width="15.85546875" style="23" customWidth="1"/>
    <col min="9996" max="10241" width="9.42578125" style="23"/>
    <col min="10242" max="10242" width="4.42578125" style="23" customWidth="1"/>
    <col min="10243" max="10243" width="2.7109375" style="23" customWidth="1"/>
    <col min="10244" max="10244" width="47.5703125" style="23" customWidth="1"/>
    <col min="10245" max="10245" width="6.140625" style="23" customWidth="1"/>
    <col min="10246" max="10246" width="9.42578125" style="23"/>
    <col min="10247" max="10249" width="11.5703125" style="23" customWidth="1"/>
    <col min="10250" max="10250" width="13.7109375" style="23" customWidth="1"/>
    <col min="10251" max="10251" width="15.85546875" style="23" customWidth="1"/>
    <col min="10252" max="10497" width="9.42578125" style="23"/>
    <col min="10498" max="10498" width="4.42578125" style="23" customWidth="1"/>
    <col min="10499" max="10499" width="2.7109375" style="23" customWidth="1"/>
    <col min="10500" max="10500" width="47.5703125" style="23" customWidth="1"/>
    <col min="10501" max="10501" width="6.140625" style="23" customWidth="1"/>
    <col min="10502" max="10502" width="9.42578125" style="23"/>
    <col min="10503" max="10505" width="11.5703125" style="23" customWidth="1"/>
    <col min="10506" max="10506" width="13.7109375" style="23" customWidth="1"/>
    <col min="10507" max="10507" width="15.85546875" style="23" customWidth="1"/>
    <col min="10508" max="10753" width="9.42578125" style="23"/>
    <col min="10754" max="10754" width="4.42578125" style="23" customWidth="1"/>
    <col min="10755" max="10755" width="2.7109375" style="23" customWidth="1"/>
    <col min="10756" max="10756" width="47.5703125" style="23" customWidth="1"/>
    <col min="10757" max="10757" width="6.140625" style="23" customWidth="1"/>
    <col min="10758" max="10758" width="9.42578125" style="23"/>
    <col min="10759" max="10761" width="11.5703125" style="23" customWidth="1"/>
    <col min="10762" max="10762" width="13.7109375" style="23" customWidth="1"/>
    <col min="10763" max="10763" width="15.85546875" style="23" customWidth="1"/>
    <col min="10764" max="11009" width="9.42578125" style="23"/>
    <col min="11010" max="11010" width="4.42578125" style="23" customWidth="1"/>
    <col min="11011" max="11011" width="2.7109375" style="23" customWidth="1"/>
    <col min="11012" max="11012" width="47.5703125" style="23" customWidth="1"/>
    <col min="11013" max="11013" width="6.140625" style="23" customWidth="1"/>
    <col min="11014" max="11014" width="9.42578125" style="23"/>
    <col min="11015" max="11017" width="11.5703125" style="23" customWidth="1"/>
    <col min="11018" max="11018" width="13.7109375" style="23" customWidth="1"/>
    <col min="11019" max="11019" width="15.85546875" style="23" customWidth="1"/>
    <col min="11020" max="11265" width="9.42578125" style="23"/>
    <col min="11266" max="11266" width="4.42578125" style="23" customWidth="1"/>
    <col min="11267" max="11267" width="2.7109375" style="23" customWidth="1"/>
    <col min="11268" max="11268" width="47.5703125" style="23" customWidth="1"/>
    <col min="11269" max="11269" width="6.140625" style="23" customWidth="1"/>
    <col min="11270" max="11270" width="9.42578125" style="23"/>
    <col min="11271" max="11273" width="11.5703125" style="23" customWidth="1"/>
    <col min="11274" max="11274" width="13.7109375" style="23" customWidth="1"/>
    <col min="11275" max="11275" width="15.85546875" style="23" customWidth="1"/>
    <col min="11276" max="11521" width="9.42578125" style="23"/>
    <col min="11522" max="11522" width="4.42578125" style="23" customWidth="1"/>
    <col min="11523" max="11523" width="2.7109375" style="23" customWidth="1"/>
    <col min="11524" max="11524" width="47.5703125" style="23" customWidth="1"/>
    <col min="11525" max="11525" width="6.140625" style="23" customWidth="1"/>
    <col min="11526" max="11526" width="9.42578125" style="23"/>
    <col min="11527" max="11529" width="11.5703125" style="23" customWidth="1"/>
    <col min="11530" max="11530" width="13.7109375" style="23" customWidth="1"/>
    <col min="11531" max="11531" width="15.85546875" style="23" customWidth="1"/>
    <col min="11532" max="11777" width="9.42578125" style="23"/>
    <col min="11778" max="11778" width="4.42578125" style="23" customWidth="1"/>
    <col min="11779" max="11779" width="2.7109375" style="23" customWidth="1"/>
    <col min="11780" max="11780" width="47.5703125" style="23" customWidth="1"/>
    <col min="11781" max="11781" width="6.140625" style="23" customWidth="1"/>
    <col min="11782" max="11782" width="9.42578125" style="23"/>
    <col min="11783" max="11785" width="11.5703125" style="23" customWidth="1"/>
    <col min="11786" max="11786" width="13.7109375" style="23" customWidth="1"/>
    <col min="11787" max="11787" width="15.85546875" style="23" customWidth="1"/>
    <col min="11788" max="12033" width="9.42578125" style="23"/>
    <col min="12034" max="12034" width="4.42578125" style="23" customWidth="1"/>
    <col min="12035" max="12035" width="2.7109375" style="23" customWidth="1"/>
    <col min="12036" max="12036" width="47.5703125" style="23" customWidth="1"/>
    <col min="12037" max="12037" width="6.140625" style="23" customWidth="1"/>
    <col min="12038" max="12038" width="9.42578125" style="23"/>
    <col min="12039" max="12041" width="11.5703125" style="23" customWidth="1"/>
    <col min="12042" max="12042" width="13.7109375" style="23" customWidth="1"/>
    <col min="12043" max="12043" width="15.85546875" style="23" customWidth="1"/>
    <col min="12044" max="12289" width="9.42578125" style="23"/>
    <col min="12290" max="12290" width="4.42578125" style="23" customWidth="1"/>
    <col min="12291" max="12291" width="2.7109375" style="23" customWidth="1"/>
    <col min="12292" max="12292" width="47.5703125" style="23" customWidth="1"/>
    <col min="12293" max="12293" width="6.140625" style="23" customWidth="1"/>
    <col min="12294" max="12294" width="9.42578125" style="23"/>
    <col min="12295" max="12297" width="11.5703125" style="23" customWidth="1"/>
    <col min="12298" max="12298" width="13.7109375" style="23" customWidth="1"/>
    <col min="12299" max="12299" width="15.85546875" style="23" customWidth="1"/>
    <col min="12300" max="12545" width="9.42578125" style="23"/>
    <col min="12546" max="12546" width="4.42578125" style="23" customWidth="1"/>
    <col min="12547" max="12547" width="2.7109375" style="23" customWidth="1"/>
    <col min="12548" max="12548" width="47.5703125" style="23" customWidth="1"/>
    <col min="12549" max="12549" width="6.140625" style="23" customWidth="1"/>
    <col min="12550" max="12550" width="9.42578125" style="23"/>
    <col min="12551" max="12553" width="11.5703125" style="23" customWidth="1"/>
    <col min="12554" max="12554" width="13.7109375" style="23" customWidth="1"/>
    <col min="12555" max="12555" width="15.85546875" style="23" customWidth="1"/>
    <col min="12556" max="12801" width="9.42578125" style="23"/>
    <col min="12802" max="12802" width="4.42578125" style="23" customWidth="1"/>
    <col min="12803" max="12803" width="2.7109375" style="23" customWidth="1"/>
    <col min="12804" max="12804" width="47.5703125" style="23" customWidth="1"/>
    <col min="12805" max="12805" width="6.140625" style="23" customWidth="1"/>
    <col min="12806" max="12806" width="9.42578125" style="23"/>
    <col min="12807" max="12809" width="11.5703125" style="23" customWidth="1"/>
    <col min="12810" max="12810" width="13.7109375" style="23" customWidth="1"/>
    <col min="12811" max="12811" width="15.85546875" style="23" customWidth="1"/>
    <col min="12812" max="13057" width="9.42578125" style="23"/>
    <col min="13058" max="13058" width="4.42578125" style="23" customWidth="1"/>
    <col min="13059" max="13059" width="2.7109375" style="23" customWidth="1"/>
    <col min="13060" max="13060" width="47.5703125" style="23" customWidth="1"/>
    <col min="13061" max="13061" width="6.140625" style="23" customWidth="1"/>
    <col min="13062" max="13062" width="9.42578125" style="23"/>
    <col min="13063" max="13065" width="11.5703125" style="23" customWidth="1"/>
    <col min="13066" max="13066" width="13.7109375" style="23" customWidth="1"/>
    <col min="13067" max="13067" width="15.85546875" style="23" customWidth="1"/>
    <col min="13068" max="13313" width="9.42578125" style="23"/>
    <col min="13314" max="13314" width="4.42578125" style="23" customWidth="1"/>
    <col min="13315" max="13315" width="2.7109375" style="23" customWidth="1"/>
    <col min="13316" max="13316" width="47.5703125" style="23" customWidth="1"/>
    <col min="13317" max="13317" width="6.140625" style="23" customWidth="1"/>
    <col min="13318" max="13318" width="9.42578125" style="23"/>
    <col min="13319" max="13321" width="11.5703125" style="23" customWidth="1"/>
    <col min="13322" max="13322" width="13.7109375" style="23" customWidth="1"/>
    <col min="13323" max="13323" width="15.85546875" style="23" customWidth="1"/>
    <col min="13324" max="13569" width="9.42578125" style="23"/>
    <col min="13570" max="13570" width="4.42578125" style="23" customWidth="1"/>
    <col min="13571" max="13571" width="2.7109375" style="23" customWidth="1"/>
    <col min="13572" max="13572" width="47.5703125" style="23" customWidth="1"/>
    <col min="13573" max="13573" width="6.140625" style="23" customWidth="1"/>
    <col min="13574" max="13574" width="9.42578125" style="23"/>
    <col min="13575" max="13577" width="11.5703125" style="23" customWidth="1"/>
    <col min="13578" max="13578" width="13.7109375" style="23" customWidth="1"/>
    <col min="13579" max="13579" width="15.85546875" style="23" customWidth="1"/>
    <col min="13580" max="13825" width="9.42578125" style="23"/>
    <col min="13826" max="13826" width="4.42578125" style="23" customWidth="1"/>
    <col min="13827" max="13827" width="2.7109375" style="23" customWidth="1"/>
    <col min="13828" max="13828" width="47.5703125" style="23" customWidth="1"/>
    <col min="13829" max="13829" width="6.140625" style="23" customWidth="1"/>
    <col min="13830" max="13830" width="9.42578125" style="23"/>
    <col min="13831" max="13833" width="11.5703125" style="23" customWidth="1"/>
    <col min="13834" max="13834" width="13.7109375" style="23" customWidth="1"/>
    <col min="13835" max="13835" width="15.85546875" style="23" customWidth="1"/>
    <col min="13836" max="14081" width="9.42578125" style="23"/>
    <col min="14082" max="14082" width="4.42578125" style="23" customWidth="1"/>
    <col min="14083" max="14083" width="2.7109375" style="23" customWidth="1"/>
    <col min="14084" max="14084" width="47.5703125" style="23" customWidth="1"/>
    <col min="14085" max="14085" width="6.140625" style="23" customWidth="1"/>
    <col min="14086" max="14086" width="9.42578125" style="23"/>
    <col min="14087" max="14089" width="11.5703125" style="23" customWidth="1"/>
    <col min="14090" max="14090" width="13.7109375" style="23" customWidth="1"/>
    <col min="14091" max="14091" width="15.85546875" style="23" customWidth="1"/>
    <col min="14092" max="14337" width="9.42578125" style="23"/>
    <col min="14338" max="14338" width="4.42578125" style="23" customWidth="1"/>
    <col min="14339" max="14339" width="2.7109375" style="23" customWidth="1"/>
    <col min="14340" max="14340" width="47.5703125" style="23" customWidth="1"/>
    <col min="14341" max="14341" width="6.140625" style="23" customWidth="1"/>
    <col min="14342" max="14342" width="9.42578125" style="23"/>
    <col min="14343" max="14345" width="11.5703125" style="23" customWidth="1"/>
    <col min="14346" max="14346" width="13.7109375" style="23" customWidth="1"/>
    <col min="14347" max="14347" width="15.85546875" style="23" customWidth="1"/>
    <col min="14348" max="14593" width="9.42578125" style="23"/>
    <col min="14594" max="14594" width="4.42578125" style="23" customWidth="1"/>
    <col min="14595" max="14595" width="2.7109375" style="23" customWidth="1"/>
    <col min="14596" max="14596" width="47.5703125" style="23" customWidth="1"/>
    <col min="14597" max="14597" width="6.140625" style="23" customWidth="1"/>
    <col min="14598" max="14598" width="9.42578125" style="23"/>
    <col min="14599" max="14601" width="11.5703125" style="23" customWidth="1"/>
    <col min="14602" max="14602" width="13.7109375" style="23" customWidth="1"/>
    <col min="14603" max="14603" width="15.85546875" style="23" customWidth="1"/>
    <col min="14604" max="14849" width="9.42578125" style="23"/>
    <col min="14850" max="14850" width="4.42578125" style="23" customWidth="1"/>
    <col min="14851" max="14851" width="2.7109375" style="23" customWidth="1"/>
    <col min="14852" max="14852" width="47.5703125" style="23" customWidth="1"/>
    <col min="14853" max="14853" width="6.140625" style="23" customWidth="1"/>
    <col min="14854" max="14854" width="9.42578125" style="23"/>
    <col min="14855" max="14857" width="11.5703125" style="23" customWidth="1"/>
    <col min="14858" max="14858" width="13.7109375" style="23" customWidth="1"/>
    <col min="14859" max="14859" width="15.85546875" style="23" customWidth="1"/>
    <col min="14860" max="15105" width="9.42578125" style="23"/>
    <col min="15106" max="15106" width="4.42578125" style="23" customWidth="1"/>
    <col min="15107" max="15107" width="2.7109375" style="23" customWidth="1"/>
    <col min="15108" max="15108" width="47.5703125" style="23" customWidth="1"/>
    <col min="15109" max="15109" width="6.140625" style="23" customWidth="1"/>
    <col min="15110" max="15110" width="9.42578125" style="23"/>
    <col min="15111" max="15113" width="11.5703125" style="23" customWidth="1"/>
    <col min="15114" max="15114" width="13.7109375" style="23" customWidth="1"/>
    <col min="15115" max="15115" width="15.85546875" style="23" customWidth="1"/>
    <col min="15116" max="15361" width="9.42578125" style="23"/>
    <col min="15362" max="15362" width="4.42578125" style="23" customWidth="1"/>
    <col min="15363" max="15363" width="2.7109375" style="23" customWidth="1"/>
    <col min="15364" max="15364" width="47.5703125" style="23" customWidth="1"/>
    <col min="15365" max="15365" width="6.140625" style="23" customWidth="1"/>
    <col min="15366" max="15366" width="9.42578125" style="23"/>
    <col min="15367" max="15369" width="11.5703125" style="23" customWidth="1"/>
    <col min="15370" max="15370" width="13.7109375" style="23" customWidth="1"/>
    <col min="15371" max="15371" width="15.85546875" style="23" customWidth="1"/>
    <col min="15372" max="15617" width="9.42578125" style="23"/>
    <col min="15618" max="15618" width="4.42578125" style="23" customWidth="1"/>
    <col min="15619" max="15619" width="2.7109375" style="23" customWidth="1"/>
    <col min="15620" max="15620" width="47.5703125" style="23" customWidth="1"/>
    <col min="15621" max="15621" width="6.140625" style="23" customWidth="1"/>
    <col min="15622" max="15622" width="9.42578125" style="23"/>
    <col min="15623" max="15625" width="11.5703125" style="23" customWidth="1"/>
    <col min="15626" max="15626" width="13.7109375" style="23" customWidth="1"/>
    <col min="15627" max="15627" width="15.85546875" style="23" customWidth="1"/>
    <col min="15628" max="15873" width="9.42578125" style="23"/>
    <col min="15874" max="15874" width="4.42578125" style="23" customWidth="1"/>
    <col min="15875" max="15875" width="2.7109375" style="23" customWidth="1"/>
    <col min="15876" max="15876" width="47.5703125" style="23" customWidth="1"/>
    <col min="15877" max="15877" width="6.140625" style="23" customWidth="1"/>
    <col min="15878" max="15878" width="9.42578125" style="23"/>
    <col min="15879" max="15881" width="11.5703125" style="23" customWidth="1"/>
    <col min="15882" max="15882" width="13.7109375" style="23" customWidth="1"/>
    <col min="15883" max="15883" width="15.85546875" style="23" customWidth="1"/>
    <col min="15884" max="16129" width="9.42578125" style="23"/>
    <col min="16130" max="16130" width="4.42578125" style="23" customWidth="1"/>
    <col min="16131" max="16131" width="2.7109375" style="23" customWidth="1"/>
    <col min="16132" max="16132" width="47.5703125" style="23" customWidth="1"/>
    <col min="16133" max="16133" width="6.140625" style="23" customWidth="1"/>
    <col min="16134" max="16134" width="9.42578125" style="23"/>
    <col min="16135" max="16137" width="11.5703125" style="23" customWidth="1"/>
    <col min="16138" max="16138" width="13.7109375" style="23" customWidth="1"/>
    <col min="16139" max="16139" width="15.85546875" style="23" customWidth="1"/>
    <col min="16140" max="16384" width="9.42578125" style="23"/>
  </cols>
  <sheetData>
    <row r="1" spans="1:13" ht="17.25" customHeight="1" x14ac:dyDescent="0.25">
      <c r="A1" s="296" t="s">
        <v>0</v>
      </c>
      <c r="B1" s="296"/>
      <c r="C1" s="296"/>
      <c r="D1" s="208"/>
      <c r="E1" s="208"/>
      <c r="F1" s="208"/>
      <c r="G1" s="208"/>
      <c r="H1" s="208"/>
      <c r="I1" s="153"/>
      <c r="J1" s="153"/>
      <c r="K1" s="209"/>
    </row>
    <row r="2" spans="1:13" ht="15.75" customHeight="1" x14ac:dyDescent="0.25">
      <c r="A2" s="297" t="s">
        <v>170</v>
      </c>
      <c r="B2" s="297"/>
      <c r="C2" s="297"/>
      <c r="D2" s="208"/>
      <c r="E2" s="208"/>
      <c r="F2" s="208"/>
      <c r="G2" s="208"/>
      <c r="H2" s="208"/>
    </row>
    <row r="3" spans="1:13" ht="6" customHeight="1" x14ac:dyDescent="0.25">
      <c r="A3" s="210"/>
      <c r="B3" s="210"/>
      <c r="C3" s="21"/>
      <c r="D3" s="208"/>
      <c r="E3" s="208"/>
      <c r="F3" s="208"/>
      <c r="G3" s="208"/>
      <c r="H3" s="208"/>
    </row>
    <row r="4" spans="1:13" ht="15.75" x14ac:dyDescent="0.25">
      <c r="A4" s="140" t="s">
        <v>32</v>
      </c>
      <c r="B4" s="140"/>
      <c r="C4" s="21"/>
      <c r="D4" s="208"/>
      <c r="E4" s="208"/>
      <c r="F4" s="208"/>
      <c r="G4" s="208"/>
      <c r="H4" s="208"/>
      <c r="K4" s="149" t="s">
        <v>33</v>
      </c>
    </row>
    <row r="5" spans="1:13" ht="15.75" x14ac:dyDescent="0.25">
      <c r="A5" s="150" t="s">
        <v>171</v>
      </c>
      <c r="B5" s="151"/>
      <c r="C5" s="210"/>
      <c r="D5" s="208"/>
      <c r="E5" s="208"/>
      <c r="F5" s="208"/>
      <c r="G5" s="208"/>
      <c r="H5" s="208"/>
      <c r="I5" s="211"/>
      <c r="J5" s="211"/>
      <c r="K5" s="209" t="s">
        <v>172</v>
      </c>
    </row>
    <row r="6" spans="1:13" ht="4.5" customHeight="1" thickBot="1" x14ac:dyDescent="0.3">
      <c r="A6" s="150"/>
      <c r="B6" s="210"/>
      <c r="C6" s="210" t="s">
        <v>173</v>
      </c>
      <c r="D6" s="208"/>
      <c r="E6" s="208"/>
      <c r="F6" s="208"/>
      <c r="G6" s="208"/>
      <c r="H6" s="208"/>
      <c r="I6" s="211"/>
      <c r="J6" s="211"/>
      <c r="K6" s="209"/>
    </row>
    <row r="7" spans="1:13" ht="15" customHeight="1" x14ac:dyDescent="0.2">
      <c r="A7" s="289" t="s">
        <v>1</v>
      </c>
      <c r="B7" s="289"/>
      <c r="C7" s="289" t="s">
        <v>137</v>
      </c>
      <c r="D7" s="289" t="s">
        <v>138</v>
      </c>
      <c r="E7" s="290" t="s">
        <v>3</v>
      </c>
      <c r="F7" s="290" t="s">
        <v>23</v>
      </c>
      <c r="G7" s="290" t="s">
        <v>139</v>
      </c>
      <c r="H7" s="290"/>
      <c r="I7" s="290" t="s">
        <v>140</v>
      </c>
      <c r="J7" s="290"/>
      <c r="K7" s="155" t="s">
        <v>141</v>
      </c>
      <c r="L7" s="291" t="s">
        <v>24</v>
      </c>
      <c r="M7" s="293" t="s">
        <v>25</v>
      </c>
    </row>
    <row r="8" spans="1:13" ht="15" customHeight="1" thickBot="1" x14ac:dyDescent="0.25">
      <c r="A8" s="289"/>
      <c r="B8" s="289"/>
      <c r="C8" s="289"/>
      <c r="D8" s="289"/>
      <c r="E8" s="290"/>
      <c r="F8" s="290"/>
      <c r="G8" s="156" t="s">
        <v>4</v>
      </c>
      <c r="H8" s="156" t="s">
        <v>5</v>
      </c>
      <c r="I8" s="156" t="s">
        <v>4</v>
      </c>
      <c r="J8" s="156" t="s">
        <v>5</v>
      </c>
      <c r="K8" s="156" t="s">
        <v>5</v>
      </c>
      <c r="L8" s="292"/>
      <c r="M8" s="294"/>
    </row>
    <row r="9" spans="1:13" x14ac:dyDescent="0.2">
      <c r="A9" s="17"/>
      <c r="B9" s="17"/>
      <c r="C9" s="212" t="s">
        <v>174</v>
      </c>
      <c r="D9" s="17"/>
      <c r="E9" s="17"/>
      <c r="F9" s="17"/>
      <c r="G9" s="17"/>
      <c r="H9" s="17"/>
      <c r="I9" s="6"/>
      <c r="J9" s="6"/>
      <c r="K9" s="6"/>
      <c r="L9" s="213"/>
      <c r="M9" s="214"/>
    </row>
    <row r="10" spans="1:13" s="217" customFormat="1" ht="54" customHeight="1" x14ac:dyDescent="0.2">
      <c r="A10" s="7"/>
      <c r="B10" s="7"/>
      <c r="C10" s="12" t="s">
        <v>175</v>
      </c>
      <c r="D10" s="3"/>
      <c r="E10" s="3"/>
      <c r="F10" s="3"/>
      <c r="G10" s="3"/>
      <c r="H10" s="3"/>
      <c r="I10" s="215"/>
      <c r="J10" s="215"/>
      <c r="K10" s="215"/>
      <c r="L10" s="216"/>
      <c r="M10" s="215"/>
    </row>
    <row r="11" spans="1:13" s="217" customFormat="1" ht="38.25" x14ac:dyDescent="0.2">
      <c r="A11" s="218">
        <v>1.1000000000000001</v>
      </c>
      <c r="B11" s="219"/>
      <c r="C11" s="12" t="s">
        <v>176</v>
      </c>
      <c r="D11" s="3"/>
      <c r="E11" s="3"/>
      <c r="F11" s="3"/>
      <c r="G11" s="3"/>
      <c r="H11" s="3"/>
      <c r="I11" s="215"/>
      <c r="J11" s="215"/>
      <c r="K11" s="215"/>
      <c r="L11" s="216"/>
      <c r="M11" s="215"/>
    </row>
    <row r="12" spans="1:13" s="217" customFormat="1" ht="15" customHeight="1" x14ac:dyDescent="0.2">
      <c r="A12" s="7"/>
      <c r="B12" s="219" t="s">
        <v>93</v>
      </c>
      <c r="C12" s="12" t="s">
        <v>177</v>
      </c>
      <c r="D12" s="220" t="str">
        <f>IF(C12="","",IF(E12="","",IF(E12&gt;1,"Nos.","No.")))</f>
        <v>Nos.</v>
      </c>
      <c r="E12" s="221">
        <v>5</v>
      </c>
      <c r="F12" s="221"/>
      <c r="G12" s="222">
        <v>77000</v>
      </c>
      <c r="H12" s="11">
        <f>G12*E12</f>
        <v>385000</v>
      </c>
      <c r="I12" s="11">
        <v>6000</v>
      </c>
      <c r="J12" s="11">
        <f>I12*E12</f>
        <v>30000</v>
      </c>
      <c r="K12" s="11">
        <f>J12+H12</f>
        <v>415000</v>
      </c>
      <c r="L12" s="216"/>
      <c r="M12" s="215"/>
    </row>
    <row r="13" spans="1:13" s="217" customFormat="1" ht="51" x14ac:dyDescent="0.2">
      <c r="A13" s="218">
        <f>A11+0.1</f>
        <v>1.2000000000000002</v>
      </c>
      <c r="B13" s="219"/>
      <c r="C13" s="16" t="s">
        <v>178</v>
      </c>
      <c r="D13" s="3"/>
      <c r="E13" s="3"/>
      <c r="F13" s="3"/>
      <c r="G13" s="3"/>
      <c r="H13" s="3"/>
      <c r="I13" s="215"/>
      <c r="J13" s="215"/>
      <c r="K13" s="215"/>
      <c r="L13" s="216"/>
      <c r="M13" s="215"/>
    </row>
    <row r="14" spans="1:13" s="217" customFormat="1" ht="15" customHeight="1" x14ac:dyDescent="0.2">
      <c r="A14" s="7"/>
      <c r="B14" s="219" t="s">
        <v>93</v>
      </c>
      <c r="C14" s="4" t="s">
        <v>177</v>
      </c>
      <c r="D14" s="220" t="str">
        <f>IF(C14="","",IF(E14="","",IF(E14&gt;1,"Nos.","No.")))</f>
        <v>No.</v>
      </c>
      <c r="E14" s="221">
        <v>1</v>
      </c>
      <c r="F14" s="221"/>
      <c r="G14" s="222">
        <v>85000</v>
      </c>
      <c r="H14" s="11">
        <f>G14*E14</f>
        <v>85000</v>
      </c>
      <c r="I14" s="11">
        <v>6000</v>
      </c>
      <c r="J14" s="11">
        <f t="shared" ref="J14:J32" si="0">I14*E14</f>
        <v>6000</v>
      </c>
      <c r="K14" s="11">
        <f t="shared" ref="K14:K32" si="1">J14+H14</f>
        <v>91000</v>
      </c>
      <c r="L14" s="216"/>
      <c r="M14" s="215"/>
    </row>
    <row r="15" spans="1:13" s="217" customFormat="1" ht="30.75" customHeight="1" x14ac:dyDescent="0.2">
      <c r="A15" s="218">
        <f>A13+0.1</f>
        <v>1.3000000000000003</v>
      </c>
      <c r="B15" s="223"/>
      <c r="C15" s="12" t="s">
        <v>179</v>
      </c>
      <c r="D15" s="220"/>
      <c r="E15" s="221"/>
      <c r="F15" s="221"/>
      <c r="G15" s="220"/>
      <c r="H15" s="220"/>
      <c r="I15" s="11"/>
      <c r="J15" s="11">
        <f t="shared" si="0"/>
        <v>0</v>
      </c>
      <c r="K15" s="11">
        <f t="shared" si="1"/>
        <v>0</v>
      </c>
      <c r="L15" s="216"/>
      <c r="M15" s="215"/>
    </row>
    <row r="16" spans="1:13" s="217" customFormat="1" ht="15" customHeight="1" x14ac:dyDescent="0.2">
      <c r="A16" s="224"/>
      <c r="B16" s="219" t="s">
        <v>93</v>
      </c>
      <c r="C16" s="215" t="s">
        <v>180</v>
      </c>
      <c r="D16" s="220" t="str">
        <f>IF(C16="","",IF(E16="","",IF(E16&gt;1,"Nos.","No.")))</f>
        <v>Nos.</v>
      </c>
      <c r="E16" s="221">
        <v>6</v>
      </c>
      <c r="F16" s="221"/>
      <c r="G16" s="222">
        <v>8900</v>
      </c>
      <c r="H16" s="11">
        <f>G16*E16</f>
        <v>53400</v>
      </c>
      <c r="I16" s="11">
        <v>2000</v>
      </c>
      <c r="J16" s="11">
        <f t="shared" si="0"/>
        <v>12000</v>
      </c>
      <c r="K16" s="11">
        <f t="shared" si="1"/>
        <v>65400</v>
      </c>
      <c r="L16" s="216"/>
      <c r="M16" s="215"/>
    </row>
    <row r="17" spans="1:13" s="217" customFormat="1" ht="24.95" customHeight="1" x14ac:dyDescent="0.2">
      <c r="A17" s="225">
        <f>A15+0.1</f>
        <v>1.4000000000000004</v>
      </c>
      <c r="B17" s="223"/>
      <c r="C17" s="12" t="s">
        <v>181</v>
      </c>
      <c r="D17" s="220"/>
      <c r="E17" s="221"/>
      <c r="F17" s="221"/>
      <c r="G17" s="220"/>
      <c r="H17" s="220"/>
      <c r="I17" s="11"/>
      <c r="J17" s="11">
        <f t="shared" si="0"/>
        <v>0</v>
      </c>
      <c r="K17" s="11">
        <f t="shared" si="1"/>
        <v>0</v>
      </c>
      <c r="L17" s="216"/>
      <c r="M17" s="215"/>
    </row>
    <row r="18" spans="1:13" s="217" customFormat="1" ht="15" customHeight="1" x14ac:dyDescent="0.2">
      <c r="A18" s="218"/>
      <c r="B18" s="226" t="s">
        <v>93</v>
      </c>
      <c r="C18" s="4" t="s">
        <v>182</v>
      </c>
      <c r="D18" s="220" t="str">
        <f>IF(C18="","",IF(E18="","",IF(E18&gt;1,"Nos.","No.")))</f>
        <v>Nos.</v>
      </c>
      <c r="E18" s="221">
        <v>5</v>
      </c>
      <c r="F18" s="221"/>
      <c r="G18" s="222">
        <v>35000</v>
      </c>
      <c r="H18" s="11">
        <f>G18*E18</f>
        <v>175000</v>
      </c>
      <c r="I18" s="11">
        <v>3000</v>
      </c>
      <c r="J18" s="11">
        <f t="shared" si="0"/>
        <v>15000</v>
      </c>
      <c r="K18" s="11">
        <f t="shared" si="1"/>
        <v>190000</v>
      </c>
      <c r="L18" s="216"/>
      <c r="M18" s="215"/>
    </row>
    <row r="19" spans="1:13" s="217" customFormat="1" ht="25.5" x14ac:dyDescent="0.2">
      <c r="A19" s="225">
        <f>A17+0.1</f>
        <v>1.5000000000000004</v>
      </c>
      <c r="B19" s="223"/>
      <c r="C19" s="12" t="s">
        <v>183</v>
      </c>
      <c r="D19" s="220"/>
      <c r="E19" s="221"/>
      <c r="F19" s="221"/>
      <c r="G19" s="220"/>
      <c r="H19" s="220"/>
      <c r="I19" s="11"/>
      <c r="J19" s="11">
        <f t="shared" si="0"/>
        <v>0</v>
      </c>
      <c r="K19" s="11">
        <f t="shared" si="1"/>
        <v>0</v>
      </c>
      <c r="L19" s="216"/>
      <c r="M19" s="215"/>
    </row>
    <row r="20" spans="1:13" s="217" customFormat="1" ht="15" customHeight="1" x14ac:dyDescent="0.2">
      <c r="A20" s="7"/>
      <c r="B20" s="227" t="s">
        <v>93</v>
      </c>
      <c r="C20" s="12" t="s">
        <v>182</v>
      </c>
      <c r="D20" s="220" t="str">
        <f>IF(C20="","",IF(E20="","",IF(E20&gt;1,"Nos.","No.")))</f>
        <v>Nos.</v>
      </c>
      <c r="E20" s="221">
        <v>5</v>
      </c>
      <c r="F20" s="221"/>
      <c r="G20" s="222">
        <v>38000</v>
      </c>
      <c r="H20" s="11">
        <f>G20*E20</f>
        <v>190000</v>
      </c>
      <c r="I20" s="11">
        <v>3000</v>
      </c>
      <c r="J20" s="11">
        <f t="shared" si="0"/>
        <v>15000</v>
      </c>
      <c r="K20" s="11">
        <f t="shared" si="1"/>
        <v>205000</v>
      </c>
      <c r="L20" s="216"/>
      <c r="M20" s="215"/>
    </row>
    <row r="21" spans="1:13" s="217" customFormat="1" ht="27" customHeight="1" x14ac:dyDescent="0.2">
      <c r="A21" s="225">
        <f>A19+0.1</f>
        <v>1.6000000000000005</v>
      </c>
      <c r="B21" s="227"/>
      <c r="C21" s="16" t="s">
        <v>184</v>
      </c>
      <c r="D21" s="220" t="str">
        <f>IF(C21="","",IF(E21="","",IF(E21&gt;1,"Nos.","No.")))</f>
        <v/>
      </c>
      <c r="E21" s="221"/>
      <c r="F21" s="221"/>
      <c r="G21" s="220"/>
      <c r="H21" s="220"/>
      <c r="I21" s="11"/>
      <c r="J21" s="11">
        <f t="shared" si="0"/>
        <v>0</v>
      </c>
      <c r="K21" s="11">
        <f t="shared" si="1"/>
        <v>0</v>
      </c>
      <c r="L21" s="216"/>
      <c r="M21" s="215"/>
    </row>
    <row r="22" spans="1:13" s="217" customFormat="1" ht="15" customHeight="1" x14ac:dyDescent="0.2">
      <c r="A22" s="228"/>
      <c r="B22" s="229" t="s">
        <v>93</v>
      </c>
      <c r="C22" s="4" t="s">
        <v>185</v>
      </c>
      <c r="D22" s="220" t="str">
        <f>IF(C22="","",IF(E22="","",IF(E22&gt;1,"Nos.","No.")))</f>
        <v>No.</v>
      </c>
      <c r="E22" s="221">
        <v>1</v>
      </c>
      <c r="F22" s="221"/>
      <c r="G22" s="222">
        <v>55000</v>
      </c>
      <c r="H22" s="11">
        <f>G22*E22</f>
        <v>55000</v>
      </c>
      <c r="I22" s="11">
        <v>7000</v>
      </c>
      <c r="J22" s="11">
        <f t="shared" si="0"/>
        <v>7000</v>
      </c>
      <c r="K22" s="11">
        <f t="shared" si="1"/>
        <v>62000</v>
      </c>
      <c r="L22" s="216"/>
      <c r="M22" s="215"/>
    </row>
    <row r="23" spans="1:13" s="217" customFormat="1" ht="25.5" x14ac:dyDescent="0.2">
      <c r="A23" s="225">
        <f>A21+0.1</f>
        <v>1.7000000000000006</v>
      </c>
      <c r="B23" s="227"/>
      <c r="C23" s="12" t="s">
        <v>186</v>
      </c>
      <c r="D23" s="220"/>
      <c r="E23" s="221"/>
      <c r="F23" s="221"/>
      <c r="G23" s="220"/>
      <c r="H23" s="220"/>
      <c r="I23" s="11"/>
      <c r="J23" s="11">
        <f t="shared" si="0"/>
        <v>0</v>
      </c>
      <c r="K23" s="11">
        <f t="shared" si="1"/>
        <v>0</v>
      </c>
      <c r="L23" s="216"/>
      <c r="M23" s="215"/>
    </row>
    <row r="24" spans="1:13" s="217" customFormat="1" ht="15" customHeight="1" x14ac:dyDescent="0.2">
      <c r="A24" s="224"/>
      <c r="B24" s="227" t="s">
        <v>93</v>
      </c>
      <c r="C24" s="12" t="s">
        <v>187</v>
      </c>
      <c r="D24" s="220" t="s">
        <v>21</v>
      </c>
      <c r="E24" s="221">
        <v>1</v>
      </c>
      <c r="F24" s="221"/>
      <c r="G24" s="222">
        <v>45000</v>
      </c>
      <c r="H24" s="11">
        <f>G24*E24</f>
        <v>45000</v>
      </c>
      <c r="I24" s="11">
        <v>3500</v>
      </c>
      <c r="J24" s="11">
        <f t="shared" si="0"/>
        <v>3500</v>
      </c>
      <c r="K24" s="11">
        <f t="shared" si="1"/>
        <v>48500</v>
      </c>
      <c r="L24" s="216"/>
      <c r="M24" s="215"/>
    </row>
    <row r="25" spans="1:13" s="217" customFormat="1" x14ac:dyDescent="0.2">
      <c r="A25" s="225">
        <f>A23+0.1</f>
        <v>1.8000000000000007</v>
      </c>
      <c r="B25" s="227"/>
      <c r="C25" s="12" t="s">
        <v>188</v>
      </c>
      <c r="D25" s="220"/>
      <c r="E25" s="221"/>
      <c r="F25" s="221"/>
      <c r="G25" s="220"/>
      <c r="H25" s="220"/>
      <c r="I25" s="11"/>
      <c r="J25" s="11">
        <f t="shared" si="0"/>
        <v>0</v>
      </c>
      <c r="K25" s="11">
        <f t="shared" si="1"/>
        <v>0</v>
      </c>
      <c r="L25" s="216"/>
      <c r="M25" s="215"/>
    </row>
    <row r="26" spans="1:13" s="217" customFormat="1" ht="15" customHeight="1" x14ac:dyDescent="0.2">
      <c r="A26" s="224"/>
      <c r="B26" s="227" t="s">
        <v>93</v>
      </c>
      <c r="C26" s="12" t="s">
        <v>189</v>
      </c>
      <c r="D26" s="220" t="s">
        <v>21</v>
      </c>
      <c r="E26" s="221">
        <v>3</v>
      </c>
      <c r="F26" s="221"/>
      <c r="G26" s="222">
        <v>1800</v>
      </c>
      <c r="H26" s="11">
        <f>G26*E26</f>
        <v>5400</v>
      </c>
      <c r="I26" s="11">
        <v>600</v>
      </c>
      <c r="J26" s="11">
        <f t="shared" si="0"/>
        <v>1800</v>
      </c>
      <c r="K26" s="11">
        <f t="shared" si="1"/>
        <v>7200</v>
      </c>
      <c r="L26" s="216"/>
      <c r="M26" s="215"/>
    </row>
    <row r="27" spans="1:13" s="217" customFormat="1" ht="15" customHeight="1" x14ac:dyDescent="0.2">
      <c r="A27" s="225">
        <f>A25+0.1</f>
        <v>1.9000000000000008</v>
      </c>
      <c r="B27" s="227"/>
      <c r="C27" s="16" t="s">
        <v>190</v>
      </c>
      <c r="D27" s="220"/>
      <c r="E27" s="221"/>
      <c r="F27" s="221"/>
      <c r="G27" s="220"/>
      <c r="H27" s="220"/>
      <c r="I27" s="11"/>
      <c r="J27" s="11">
        <f t="shared" si="0"/>
        <v>0</v>
      </c>
      <c r="K27" s="11">
        <f t="shared" si="1"/>
        <v>0</v>
      </c>
      <c r="L27" s="216"/>
      <c r="M27" s="215"/>
    </row>
    <row r="28" spans="1:13" s="217" customFormat="1" ht="15" customHeight="1" x14ac:dyDescent="0.2">
      <c r="A28" s="228"/>
      <c r="B28" s="230" t="s">
        <v>93</v>
      </c>
      <c r="C28" s="215" t="s">
        <v>191</v>
      </c>
      <c r="D28" s="220" t="str">
        <f>IF(C28="","",IF(E28="","",IF(E28&gt;1,"Nos.","No.")))</f>
        <v>Nos.</v>
      </c>
      <c r="E28" s="221">
        <v>5</v>
      </c>
      <c r="F28" s="221"/>
      <c r="G28" s="222">
        <v>3500</v>
      </c>
      <c r="H28" s="11">
        <f>G28*E28</f>
        <v>17500</v>
      </c>
      <c r="I28" s="11">
        <v>1000</v>
      </c>
      <c r="J28" s="11">
        <f t="shared" si="0"/>
        <v>5000</v>
      </c>
      <c r="K28" s="11">
        <f t="shared" si="1"/>
        <v>22500</v>
      </c>
      <c r="L28" s="216"/>
      <c r="M28" s="215"/>
    </row>
    <row r="29" spans="1:13" s="217" customFormat="1" ht="15" customHeight="1" x14ac:dyDescent="0.2">
      <c r="A29" s="224"/>
      <c r="B29" s="230" t="s">
        <v>119</v>
      </c>
      <c r="C29" s="215" t="s">
        <v>192</v>
      </c>
      <c r="D29" s="220" t="str">
        <f>IF(C29="","",IF(E29="","",IF(E29&gt;1,"Nos.","No.")))</f>
        <v>Nos.</v>
      </c>
      <c r="E29" s="221">
        <v>3</v>
      </c>
      <c r="F29" s="221"/>
      <c r="G29" s="222">
        <v>4500</v>
      </c>
      <c r="H29" s="11">
        <f>G29*E29</f>
        <v>13500</v>
      </c>
      <c r="I29" s="11">
        <v>1000</v>
      </c>
      <c r="J29" s="11">
        <f t="shared" si="0"/>
        <v>3000</v>
      </c>
      <c r="K29" s="11">
        <f t="shared" si="1"/>
        <v>16500</v>
      </c>
      <c r="L29" s="216"/>
      <c r="M29" s="215"/>
    </row>
    <row r="30" spans="1:13" s="217" customFormat="1" ht="15" customHeight="1" x14ac:dyDescent="0.2">
      <c r="A30" s="224"/>
      <c r="B30" s="231" t="s">
        <v>147</v>
      </c>
      <c r="C30" s="13" t="s">
        <v>193</v>
      </c>
      <c r="D30" s="3" t="str">
        <f>IF(C30="","",IF(E30="","",IF(E30&gt;1,"Nos.","No.")))</f>
        <v>Nos.</v>
      </c>
      <c r="E30" s="3">
        <v>6</v>
      </c>
      <c r="F30" s="3"/>
      <c r="G30" s="222">
        <v>4000</v>
      </c>
      <c r="H30" s="11">
        <f>G30*E30</f>
        <v>24000</v>
      </c>
      <c r="I30" s="11">
        <v>1000</v>
      </c>
      <c r="J30" s="11">
        <f t="shared" si="0"/>
        <v>6000</v>
      </c>
      <c r="K30" s="11">
        <f t="shared" si="1"/>
        <v>30000</v>
      </c>
      <c r="L30" s="216"/>
      <c r="M30" s="215"/>
    </row>
    <row r="31" spans="1:13" s="217" customFormat="1" ht="15" customHeight="1" x14ac:dyDescent="0.2">
      <c r="A31" s="224"/>
      <c r="B31" s="230" t="s">
        <v>149</v>
      </c>
      <c r="C31" s="215" t="s">
        <v>194</v>
      </c>
      <c r="D31" s="220" t="str">
        <f>IF(C31="","",IF(E31="","",IF(E31&gt;1,"Nos.","No.")))</f>
        <v>Nos.</v>
      </c>
      <c r="E31" s="221">
        <v>12</v>
      </c>
      <c r="F31" s="221"/>
      <c r="G31" s="222">
        <v>3500</v>
      </c>
      <c r="H31" s="11">
        <f>G31*E31</f>
        <v>42000</v>
      </c>
      <c r="I31" s="11">
        <v>700</v>
      </c>
      <c r="J31" s="11">
        <f t="shared" si="0"/>
        <v>8400</v>
      </c>
      <c r="K31" s="11">
        <f t="shared" si="1"/>
        <v>50400</v>
      </c>
      <c r="L31" s="216"/>
      <c r="M31" s="215"/>
    </row>
    <row r="32" spans="1:13" s="217" customFormat="1" ht="15" customHeight="1" x14ac:dyDescent="0.2">
      <c r="A32" s="224"/>
      <c r="B32" s="230" t="s">
        <v>151</v>
      </c>
      <c r="C32" s="215" t="s">
        <v>195</v>
      </c>
      <c r="D32" s="220" t="str">
        <f>IF(C32="","",IF(E32="","",IF(E32&gt;1,"Nos.","No.")))</f>
        <v>Nos.</v>
      </c>
      <c r="E32" s="221">
        <v>3</v>
      </c>
      <c r="F32" s="221"/>
      <c r="G32" s="222">
        <v>29000</v>
      </c>
      <c r="H32" s="11">
        <f>G32*E32</f>
        <v>87000</v>
      </c>
      <c r="I32" s="11">
        <v>3500</v>
      </c>
      <c r="J32" s="11">
        <f t="shared" si="0"/>
        <v>10500</v>
      </c>
      <c r="K32" s="11">
        <f t="shared" si="1"/>
        <v>97500</v>
      </c>
      <c r="L32" s="216"/>
      <c r="M32" s="215"/>
    </row>
    <row r="33" spans="1:13" ht="18" customHeight="1" x14ac:dyDescent="0.2">
      <c r="A33" s="232"/>
      <c r="B33" s="232"/>
      <c r="C33" s="233" t="s">
        <v>196</v>
      </c>
      <c r="D33" s="234"/>
      <c r="E33" s="235"/>
      <c r="F33" s="235"/>
      <c r="G33" s="235"/>
      <c r="H33" s="236"/>
      <c r="I33" s="236"/>
      <c r="J33" s="236"/>
      <c r="K33" s="236"/>
      <c r="L33" s="237"/>
      <c r="M33" s="6"/>
    </row>
    <row r="34" spans="1:13" ht="16.5" customHeight="1" x14ac:dyDescent="0.2">
      <c r="A34" s="238"/>
      <c r="B34" s="238"/>
      <c r="C34" s="239" t="s">
        <v>197</v>
      </c>
      <c r="D34" s="220"/>
      <c r="E34" s="220"/>
      <c r="F34" s="220"/>
      <c r="G34" s="220"/>
      <c r="H34" s="220"/>
      <c r="I34" s="240"/>
      <c r="J34" s="240"/>
      <c r="K34" s="240"/>
      <c r="L34" s="237"/>
      <c r="M34" s="6"/>
    </row>
    <row r="35" spans="1:13" ht="55.5" customHeight="1" x14ac:dyDescent="0.2">
      <c r="A35" s="3"/>
      <c r="B35" s="3"/>
      <c r="C35" s="12" t="s">
        <v>198</v>
      </c>
      <c r="D35" s="220"/>
      <c r="E35" s="220"/>
      <c r="F35" s="220"/>
      <c r="G35" s="220"/>
      <c r="H35" s="220"/>
      <c r="I35" s="240"/>
      <c r="J35" s="240"/>
      <c r="K35" s="240"/>
      <c r="L35" s="237"/>
      <c r="M35" s="6"/>
    </row>
    <row r="36" spans="1:13" ht="65.099999999999994" customHeight="1" x14ac:dyDescent="0.2">
      <c r="A36" s="7">
        <v>2.1</v>
      </c>
      <c r="B36" s="7"/>
      <c r="C36" s="12" t="s">
        <v>199</v>
      </c>
      <c r="D36" s="220"/>
      <c r="E36" s="220"/>
      <c r="F36" s="220"/>
      <c r="G36" s="220"/>
      <c r="H36" s="220"/>
      <c r="I36" s="240"/>
      <c r="J36" s="240"/>
      <c r="K36" s="240"/>
      <c r="L36" s="237"/>
      <c r="M36" s="6"/>
    </row>
    <row r="37" spans="1:13" ht="15" customHeight="1" x14ac:dyDescent="0.2">
      <c r="A37" s="7"/>
      <c r="B37" s="230" t="s">
        <v>93</v>
      </c>
      <c r="C37" s="13" t="s">
        <v>200</v>
      </c>
      <c r="D37" s="220" t="s">
        <v>30</v>
      </c>
      <c r="E37" s="221">
        <v>40</v>
      </c>
      <c r="F37" s="11"/>
      <c r="G37" s="11">
        <v>770</v>
      </c>
      <c r="H37" s="11">
        <f t="shared" ref="H37:H79" si="2">G37*E37</f>
        <v>30800</v>
      </c>
      <c r="I37" s="11">
        <v>199</v>
      </c>
      <c r="J37" s="11">
        <f t="shared" ref="J37:J79" si="3">I37*E37</f>
        <v>7960</v>
      </c>
      <c r="K37" s="11">
        <f t="shared" ref="K37:K79" si="4">J37+H37</f>
        <v>38760</v>
      </c>
      <c r="L37" s="237"/>
      <c r="M37" s="6"/>
    </row>
    <row r="38" spans="1:13" ht="15" customHeight="1" x14ac:dyDescent="0.2">
      <c r="A38" s="7"/>
      <c r="B38" s="230" t="s">
        <v>119</v>
      </c>
      <c r="C38" s="13" t="s">
        <v>201</v>
      </c>
      <c r="D38" s="220" t="s">
        <v>30</v>
      </c>
      <c r="E38" s="221">
        <v>10</v>
      </c>
      <c r="F38" s="11"/>
      <c r="G38" s="11">
        <v>1181</v>
      </c>
      <c r="H38" s="11">
        <f t="shared" si="2"/>
        <v>11810</v>
      </c>
      <c r="I38" s="11">
        <v>260</v>
      </c>
      <c r="J38" s="11">
        <f t="shared" si="3"/>
        <v>2600</v>
      </c>
      <c r="K38" s="11">
        <f t="shared" si="4"/>
        <v>14410</v>
      </c>
      <c r="L38" s="237"/>
      <c r="M38" s="6"/>
    </row>
    <row r="39" spans="1:13" ht="15" customHeight="1" x14ac:dyDescent="0.2">
      <c r="A39" s="7"/>
      <c r="B39" s="230" t="s">
        <v>147</v>
      </c>
      <c r="C39" s="13" t="s">
        <v>202</v>
      </c>
      <c r="D39" s="220" t="s">
        <v>30</v>
      </c>
      <c r="E39" s="221">
        <v>6</v>
      </c>
      <c r="F39" s="11"/>
      <c r="G39" s="11">
        <v>1900</v>
      </c>
      <c r="H39" s="11">
        <f t="shared" si="2"/>
        <v>11400</v>
      </c>
      <c r="I39" s="11">
        <v>280</v>
      </c>
      <c r="J39" s="11">
        <f t="shared" si="3"/>
        <v>1680</v>
      </c>
      <c r="K39" s="11">
        <f t="shared" si="4"/>
        <v>13080</v>
      </c>
      <c r="L39" s="237"/>
      <c r="M39" s="6"/>
    </row>
    <row r="40" spans="1:13" ht="15" customHeight="1" x14ac:dyDescent="0.2">
      <c r="A40" s="7"/>
      <c r="B40" s="230" t="s">
        <v>149</v>
      </c>
      <c r="C40" s="13" t="s">
        <v>203</v>
      </c>
      <c r="D40" s="220" t="s">
        <v>30</v>
      </c>
      <c r="E40" s="221">
        <v>6</v>
      </c>
      <c r="F40" s="11"/>
      <c r="G40" s="11">
        <v>2800</v>
      </c>
      <c r="H40" s="11">
        <f t="shared" si="2"/>
        <v>16800</v>
      </c>
      <c r="I40" s="11">
        <v>300</v>
      </c>
      <c r="J40" s="11">
        <f t="shared" si="3"/>
        <v>1800</v>
      </c>
      <c r="K40" s="11">
        <f t="shared" si="4"/>
        <v>18600</v>
      </c>
      <c r="L40" s="237"/>
      <c r="M40" s="6"/>
    </row>
    <row r="41" spans="1:13" ht="15" customHeight="1" x14ac:dyDescent="0.2">
      <c r="A41" s="7"/>
      <c r="B41" s="230" t="s">
        <v>151</v>
      </c>
      <c r="C41" s="13" t="s">
        <v>204</v>
      </c>
      <c r="D41" s="220" t="s">
        <v>30</v>
      </c>
      <c r="E41" s="221">
        <v>10</v>
      </c>
      <c r="F41" s="11"/>
      <c r="G41" s="11">
        <v>4500</v>
      </c>
      <c r="H41" s="11">
        <f t="shared" si="2"/>
        <v>45000</v>
      </c>
      <c r="I41" s="11">
        <v>310</v>
      </c>
      <c r="J41" s="11">
        <f t="shared" si="3"/>
        <v>3100</v>
      </c>
      <c r="K41" s="11">
        <f t="shared" si="4"/>
        <v>48100</v>
      </c>
      <c r="L41" s="237"/>
      <c r="M41" s="6"/>
    </row>
    <row r="42" spans="1:13" ht="15" customHeight="1" x14ac:dyDescent="0.2">
      <c r="A42" s="7"/>
      <c r="B42" s="230" t="s">
        <v>153</v>
      </c>
      <c r="C42" s="13" t="s">
        <v>205</v>
      </c>
      <c r="D42" s="220" t="s">
        <v>30</v>
      </c>
      <c r="E42" s="221">
        <v>1</v>
      </c>
      <c r="F42" s="11"/>
      <c r="G42" s="11">
        <v>6500</v>
      </c>
      <c r="H42" s="11">
        <f t="shared" si="2"/>
        <v>6500</v>
      </c>
      <c r="I42" s="11">
        <v>360</v>
      </c>
      <c r="J42" s="11">
        <f t="shared" si="3"/>
        <v>360</v>
      </c>
      <c r="K42" s="11">
        <f t="shared" si="4"/>
        <v>6860</v>
      </c>
      <c r="L42" s="237"/>
      <c r="M42" s="6"/>
    </row>
    <row r="43" spans="1:13" ht="30" customHeight="1" x14ac:dyDescent="0.2">
      <c r="A43" s="7">
        <f>A36+0.1</f>
        <v>2.2000000000000002</v>
      </c>
      <c r="B43" s="7"/>
      <c r="C43" s="12" t="s">
        <v>253</v>
      </c>
      <c r="D43" s="3"/>
      <c r="E43" s="241"/>
      <c r="F43" s="11"/>
      <c r="G43" s="11"/>
      <c r="H43" s="11">
        <f t="shared" si="2"/>
        <v>0</v>
      </c>
      <c r="I43" s="11"/>
      <c r="J43" s="11">
        <f t="shared" si="3"/>
        <v>0</v>
      </c>
      <c r="K43" s="11">
        <f t="shared" si="4"/>
        <v>0</v>
      </c>
      <c r="L43" s="237"/>
      <c r="M43" s="6"/>
    </row>
    <row r="44" spans="1:13" ht="15" customHeight="1" x14ac:dyDescent="0.2">
      <c r="A44" s="242"/>
      <c r="B44" s="242" t="s">
        <v>93</v>
      </c>
      <c r="C44" s="13" t="s">
        <v>206</v>
      </c>
      <c r="D44" s="220" t="s">
        <v>30</v>
      </c>
      <c r="E44" s="243">
        <v>25</v>
      </c>
      <c r="F44" s="11"/>
      <c r="G44" s="11">
        <v>910</v>
      </c>
      <c r="H44" s="11">
        <f t="shared" si="2"/>
        <v>22750</v>
      </c>
      <c r="I44" s="11">
        <v>109</v>
      </c>
      <c r="J44" s="11">
        <f t="shared" si="3"/>
        <v>2725</v>
      </c>
      <c r="K44" s="11">
        <f t="shared" si="4"/>
        <v>25475</v>
      </c>
      <c r="L44" s="237"/>
      <c r="M44" s="6"/>
    </row>
    <row r="45" spans="1:13" ht="15" customHeight="1" x14ac:dyDescent="0.2">
      <c r="A45" s="242"/>
      <c r="B45" s="242" t="s">
        <v>119</v>
      </c>
      <c r="C45" s="13" t="s">
        <v>201</v>
      </c>
      <c r="D45" s="220" t="s">
        <v>30</v>
      </c>
      <c r="E45" s="243">
        <v>10</v>
      </c>
      <c r="F45" s="11"/>
      <c r="G45" s="11">
        <v>1700</v>
      </c>
      <c r="H45" s="11">
        <f t="shared" si="2"/>
        <v>17000</v>
      </c>
      <c r="I45" s="11">
        <v>260</v>
      </c>
      <c r="J45" s="11">
        <f t="shared" si="3"/>
        <v>2600</v>
      </c>
      <c r="K45" s="11">
        <f t="shared" si="4"/>
        <v>19600</v>
      </c>
      <c r="L45" s="237"/>
      <c r="M45" s="6"/>
    </row>
    <row r="46" spans="1:13" ht="15" customHeight="1" x14ac:dyDescent="0.2">
      <c r="A46" s="7"/>
      <c r="B46" s="230" t="s">
        <v>147</v>
      </c>
      <c r="C46" s="13" t="s">
        <v>202</v>
      </c>
      <c r="D46" s="220" t="s">
        <v>30</v>
      </c>
      <c r="E46" s="221">
        <v>6</v>
      </c>
      <c r="F46" s="11"/>
      <c r="G46" s="11">
        <v>2500</v>
      </c>
      <c r="H46" s="11">
        <f t="shared" si="2"/>
        <v>15000</v>
      </c>
      <c r="I46" s="11">
        <v>280</v>
      </c>
      <c r="J46" s="11">
        <f t="shared" si="3"/>
        <v>1680</v>
      </c>
      <c r="K46" s="11">
        <f t="shared" si="4"/>
        <v>16680</v>
      </c>
      <c r="L46" s="237"/>
      <c r="M46" s="6"/>
    </row>
    <row r="47" spans="1:13" ht="15" customHeight="1" x14ac:dyDescent="0.2">
      <c r="A47" s="7"/>
      <c r="B47" s="230" t="s">
        <v>149</v>
      </c>
      <c r="C47" s="13" t="s">
        <v>203</v>
      </c>
      <c r="D47" s="220" t="s">
        <v>30</v>
      </c>
      <c r="E47" s="221">
        <v>4</v>
      </c>
      <c r="F47" s="11"/>
      <c r="G47" s="11">
        <v>3800</v>
      </c>
      <c r="H47" s="11">
        <f t="shared" si="2"/>
        <v>15200</v>
      </c>
      <c r="I47" s="11">
        <v>310</v>
      </c>
      <c r="J47" s="11">
        <f t="shared" si="3"/>
        <v>1240</v>
      </c>
      <c r="K47" s="11">
        <f t="shared" si="4"/>
        <v>16440</v>
      </c>
      <c r="L47" s="237"/>
      <c r="M47" s="6"/>
    </row>
    <row r="48" spans="1:13" ht="27" customHeight="1" x14ac:dyDescent="0.2">
      <c r="A48" s="7">
        <f>A43+0.1</f>
        <v>2.3000000000000003</v>
      </c>
      <c r="B48" s="218"/>
      <c r="C48" s="4" t="s">
        <v>207</v>
      </c>
      <c r="D48" s="8"/>
      <c r="E48" s="8"/>
      <c r="F48" s="8"/>
      <c r="G48" s="8"/>
      <c r="H48" s="11">
        <f t="shared" si="2"/>
        <v>0</v>
      </c>
      <c r="I48" s="11"/>
      <c r="J48" s="11">
        <f t="shared" si="3"/>
        <v>0</v>
      </c>
      <c r="K48" s="11">
        <f t="shared" si="4"/>
        <v>0</v>
      </c>
      <c r="L48" s="237"/>
      <c r="M48" s="6"/>
    </row>
    <row r="49" spans="1:13" ht="15" customHeight="1" x14ac:dyDescent="0.2">
      <c r="A49" s="242"/>
      <c r="B49" s="242" t="s">
        <v>93</v>
      </c>
      <c r="C49" s="13" t="s">
        <v>208</v>
      </c>
      <c r="D49" s="3" t="s">
        <v>30</v>
      </c>
      <c r="E49" s="243">
        <v>20</v>
      </c>
      <c r="F49" s="11"/>
      <c r="G49" s="11">
        <v>310</v>
      </c>
      <c r="H49" s="11">
        <f t="shared" si="2"/>
        <v>6200</v>
      </c>
      <c r="I49" s="11">
        <v>180</v>
      </c>
      <c r="J49" s="11">
        <f t="shared" si="3"/>
        <v>3600</v>
      </c>
      <c r="K49" s="11">
        <f t="shared" si="4"/>
        <v>9800</v>
      </c>
      <c r="L49" s="237"/>
      <c r="M49" s="6"/>
    </row>
    <row r="50" spans="1:13" ht="15" customHeight="1" x14ac:dyDescent="0.2">
      <c r="A50" s="242"/>
      <c r="B50" s="242" t="s">
        <v>119</v>
      </c>
      <c r="C50" s="13" t="s">
        <v>209</v>
      </c>
      <c r="D50" s="3" t="s">
        <v>30</v>
      </c>
      <c r="E50" s="243">
        <v>10</v>
      </c>
      <c r="F50" s="11"/>
      <c r="G50" s="11">
        <v>360</v>
      </c>
      <c r="H50" s="11">
        <f t="shared" si="2"/>
        <v>3600</v>
      </c>
      <c r="I50" s="11">
        <v>180</v>
      </c>
      <c r="J50" s="11">
        <f t="shared" si="3"/>
        <v>1800</v>
      </c>
      <c r="K50" s="11">
        <f t="shared" si="4"/>
        <v>5400</v>
      </c>
      <c r="L50" s="237"/>
      <c r="M50" s="6"/>
    </row>
    <row r="51" spans="1:13" ht="15" customHeight="1" x14ac:dyDescent="0.2">
      <c r="A51" s="7"/>
      <c r="B51" s="230" t="s">
        <v>147</v>
      </c>
      <c r="C51" s="13" t="s">
        <v>202</v>
      </c>
      <c r="D51" s="3" t="s">
        <v>30</v>
      </c>
      <c r="E51" s="221">
        <v>6</v>
      </c>
      <c r="F51" s="11"/>
      <c r="G51" s="11">
        <v>490</v>
      </c>
      <c r="H51" s="11">
        <f t="shared" si="2"/>
        <v>2940</v>
      </c>
      <c r="I51" s="11">
        <v>180</v>
      </c>
      <c r="J51" s="11">
        <f t="shared" si="3"/>
        <v>1080</v>
      </c>
      <c r="K51" s="11">
        <f t="shared" si="4"/>
        <v>4020</v>
      </c>
      <c r="L51" s="237"/>
      <c r="M51" s="6"/>
    </row>
    <row r="52" spans="1:13" ht="15" customHeight="1" x14ac:dyDescent="0.2">
      <c r="A52" s="7"/>
      <c r="B52" s="230" t="s">
        <v>149</v>
      </c>
      <c r="C52" s="13" t="s">
        <v>203</v>
      </c>
      <c r="D52" s="3" t="s">
        <v>30</v>
      </c>
      <c r="E52" s="221">
        <v>4</v>
      </c>
      <c r="F52" s="11"/>
      <c r="G52" s="11">
        <v>570</v>
      </c>
      <c r="H52" s="11">
        <f t="shared" si="2"/>
        <v>2280</v>
      </c>
      <c r="I52" s="11">
        <v>190</v>
      </c>
      <c r="J52" s="11">
        <f t="shared" si="3"/>
        <v>760</v>
      </c>
      <c r="K52" s="11">
        <f t="shared" si="4"/>
        <v>3040</v>
      </c>
      <c r="L52" s="237"/>
      <c r="M52" s="6"/>
    </row>
    <row r="53" spans="1:13" ht="15" customHeight="1" x14ac:dyDescent="0.2">
      <c r="A53" s="7">
        <f>A48+0.1</f>
        <v>2.4000000000000004</v>
      </c>
      <c r="B53" s="7"/>
      <c r="C53" s="244" t="s">
        <v>210</v>
      </c>
      <c r="D53" s="245"/>
      <c r="E53" s="246"/>
      <c r="F53" s="11"/>
      <c r="G53" s="11"/>
      <c r="H53" s="11">
        <f t="shared" si="2"/>
        <v>0</v>
      </c>
      <c r="I53" s="11"/>
      <c r="J53" s="11">
        <f t="shared" si="3"/>
        <v>0</v>
      </c>
      <c r="K53" s="11">
        <f t="shared" si="4"/>
        <v>0</v>
      </c>
      <c r="L53" s="237"/>
      <c r="M53" s="6"/>
    </row>
    <row r="54" spans="1:13" ht="15" customHeight="1" x14ac:dyDescent="0.2">
      <c r="A54" s="7"/>
      <c r="B54" s="230" t="s">
        <v>93</v>
      </c>
      <c r="C54" s="244" t="s">
        <v>211</v>
      </c>
      <c r="D54" s="245" t="str">
        <f>IF(C54="","",IF(E54="","",IF(E54&gt;1,"Nos.","No.")))</f>
        <v>Nos.</v>
      </c>
      <c r="E54" s="246">
        <v>2</v>
      </c>
      <c r="F54" s="11"/>
      <c r="G54" s="11">
        <v>7700</v>
      </c>
      <c r="H54" s="11">
        <f t="shared" si="2"/>
        <v>15400</v>
      </c>
      <c r="I54" s="11">
        <v>700</v>
      </c>
      <c r="J54" s="11">
        <f t="shared" si="3"/>
        <v>1400</v>
      </c>
      <c r="K54" s="11">
        <f t="shared" si="4"/>
        <v>16800</v>
      </c>
      <c r="L54" s="237"/>
      <c r="M54" s="6"/>
    </row>
    <row r="55" spans="1:13" ht="15" customHeight="1" x14ac:dyDescent="0.2">
      <c r="A55" s="7"/>
      <c r="B55" s="230" t="s">
        <v>119</v>
      </c>
      <c r="C55" s="244" t="s">
        <v>212</v>
      </c>
      <c r="D55" s="245" t="str">
        <f>IF(C55="","",IF(E55="","",IF(E55&gt;1,"Nos.","No.")))</f>
        <v>No.</v>
      </c>
      <c r="E55" s="246">
        <v>1</v>
      </c>
      <c r="F55" s="11"/>
      <c r="G55" s="11">
        <v>18000</v>
      </c>
      <c r="H55" s="11">
        <f t="shared" si="2"/>
        <v>18000</v>
      </c>
      <c r="I55" s="11">
        <v>2000</v>
      </c>
      <c r="J55" s="11">
        <f t="shared" si="3"/>
        <v>2000</v>
      </c>
      <c r="K55" s="11">
        <f t="shared" si="4"/>
        <v>20000</v>
      </c>
      <c r="L55" s="237"/>
      <c r="M55" s="6"/>
    </row>
    <row r="56" spans="1:13" ht="15" customHeight="1" x14ac:dyDescent="0.2">
      <c r="A56" s="218">
        <f>A53+0.1</f>
        <v>2.5000000000000004</v>
      </c>
      <c r="B56" s="219"/>
      <c r="C56" s="12" t="s">
        <v>213</v>
      </c>
      <c r="D56" s="245"/>
      <c r="E56" s="246"/>
      <c r="F56" s="11"/>
      <c r="G56" s="11"/>
      <c r="H56" s="11">
        <f t="shared" si="2"/>
        <v>0</v>
      </c>
      <c r="I56" s="11"/>
      <c r="J56" s="11">
        <f t="shared" si="3"/>
        <v>0</v>
      </c>
      <c r="K56" s="11">
        <f t="shared" si="4"/>
        <v>0</v>
      </c>
      <c r="L56" s="237"/>
      <c r="M56" s="6"/>
    </row>
    <row r="57" spans="1:13" ht="15" customHeight="1" x14ac:dyDescent="0.2">
      <c r="A57" s="7"/>
      <c r="B57" s="219" t="s">
        <v>93</v>
      </c>
      <c r="C57" s="4" t="s">
        <v>214</v>
      </c>
      <c r="D57" s="245" t="str">
        <f>IF(C57="","",IF(E57="","",IF(E57&gt;1,"Nos.","No.")))</f>
        <v>Nos.</v>
      </c>
      <c r="E57" s="246">
        <v>2</v>
      </c>
      <c r="F57" s="11"/>
      <c r="G57" s="11">
        <v>5500</v>
      </c>
      <c r="H57" s="11">
        <f t="shared" si="2"/>
        <v>11000</v>
      </c>
      <c r="I57" s="11">
        <v>700</v>
      </c>
      <c r="J57" s="11">
        <f t="shared" si="3"/>
        <v>1400</v>
      </c>
      <c r="K57" s="11">
        <f t="shared" si="4"/>
        <v>12400</v>
      </c>
      <c r="L57" s="237"/>
      <c r="M57" s="6"/>
    </row>
    <row r="58" spans="1:13" ht="39" customHeight="1" x14ac:dyDescent="0.2">
      <c r="A58" s="218">
        <f>A56+0.1</f>
        <v>2.6000000000000005</v>
      </c>
      <c r="B58" s="224"/>
      <c r="C58" s="12" t="s">
        <v>215</v>
      </c>
      <c r="D58" s="3"/>
      <c r="E58" s="3"/>
      <c r="F58" s="3"/>
      <c r="G58" s="3"/>
      <c r="H58" s="11">
        <f t="shared" si="2"/>
        <v>0</v>
      </c>
      <c r="I58" s="11"/>
      <c r="J58" s="11">
        <f t="shared" si="3"/>
        <v>0</v>
      </c>
      <c r="K58" s="11">
        <f t="shared" si="4"/>
        <v>0</v>
      </c>
      <c r="L58" s="247"/>
      <c r="M58" s="6"/>
    </row>
    <row r="59" spans="1:13" x14ac:dyDescent="0.2">
      <c r="A59" s="218"/>
      <c r="B59" s="219" t="s">
        <v>93</v>
      </c>
      <c r="C59" s="12" t="s">
        <v>216</v>
      </c>
      <c r="D59" s="3" t="s">
        <v>21</v>
      </c>
      <c r="E59" s="248">
        <v>1</v>
      </c>
      <c r="F59" s="11"/>
      <c r="G59" s="11">
        <v>135000</v>
      </c>
      <c r="H59" s="11">
        <f t="shared" si="2"/>
        <v>135000</v>
      </c>
      <c r="I59" s="11">
        <v>15000</v>
      </c>
      <c r="J59" s="11">
        <f t="shared" si="3"/>
        <v>15000</v>
      </c>
      <c r="K59" s="11">
        <f t="shared" si="4"/>
        <v>150000</v>
      </c>
      <c r="L59" s="247"/>
      <c r="M59" s="6"/>
    </row>
    <row r="60" spans="1:13" ht="18" customHeight="1" x14ac:dyDescent="0.2">
      <c r="A60" s="232"/>
      <c r="B60" s="232"/>
      <c r="C60" s="233" t="s">
        <v>196</v>
      </c>
      <c r="D60" s="249"/>
      <c r="E60" s="250"/>
      <c r="F60" s="250"/>
      <c r="G60" s="250"/>
      <c r="H60" s="11">
        <f t="shared" si="2"/>
        <v>0</v>
      </c>
      <c r="I60" s="235"/>
      <c r="J60" s="11">
        <f t="shared" si="3"/>
        <v>0</v>
      </c>
      <c r="K60" s="11">
        <f t="shared" si="4"/>
        <v>0</v>
      </c>
      <c r="L60" s="237"/>
      <c r="M60" s="6"/>
    </row>
    <row r="61" spans="1:13" ht="28.5" customHeight="1" x14ac:dyDescent="0.2">
      <c r="A61" s="3"/>
      <c r="B61" s="3"/>
      <c r="C61" s="251" t="s">
        <v>217</v>
      </c>
      <c r="D61" s="220"/>
      <c r="E61" s="220"/>
      <c r="F61" s="220"/>
      <c r="G61" s="220"/>
      <c r="H61" s="11">
        <f t="shared" si="2"/>
        <v>0</v>
      </c>
      <c r="I61" s="220"/>
      <c r="J61" s="11">
        <f t="shared" si="3"/>
        <v>0</v>
      </c>
      <c r="K61" s="11">
        <f t="shared" si="4"/>
        <v>0</v>
      </c>
      <c r="L61" s="237"/>
      <c r="M61" s="6"/>
    </row>
    <row r="62" spans="1:13" ht="66.75" customHeight="1" x14ac:dyDescent="0.2">
      <c r="A62" s="3"/>
      <c r="B62" s="3"/>
      <c r="C62" s="16" t="s">
        <v>218</v>
      </c>
      <c r="D62" s="220"/>
      <c r="E62" s="220"/>
      <c r="F62" s="220"/>
      <c r="G62" s="220"/>
      <c r="H62" s="11">
        <f t="shared" si="2"/>
        <v>0</v>
      </c>
      <c r="I62" s="220"/>
      <c r="J62" s="11">
        <f t="shared" si="3"/>
        <v>0</v>
      </c>
      <c r="K62" s="11">
        <f t="shared" si="4"/>
        <v>0</v>
      </c>
      <c r="L62" s="237"/>
      <c r="M62" s="6"/>
    </row>
    <row r="63" spans="1:13" ht="63.75" x14ac:dyDescent="0.2">
      <c r="A63" s="7">
        <v>3.1</v>
      </c>
      <c r="B63" s="7"/>
      <c r="C63" s="16" t="s">
        <v>219</v>
      </c>
      <c r="D63" s="220"/>
      <c r="E63" s="220"/>
      <c r="F63" s="220"/>
      <c r="G63" s="220"/>
      <c r="H63" s="11">
        <f t="shared" si="2"/>
        <v>0</v>
      </c>
      <c r="I63" s="220"/>
      <c r="J63" s="11">
        <f t="shared" si="3"/>
        <v>0</v>
      </c>
      <c r="K63" s="11">
        <f t="shared" si="4"/>
        <v>0</v>
      </c>
      <c r="L63" s="237"/>
      <c r="M63" s="6"/>
    </row>
    <row r="64" spans="1:13" ht="15" customHeight="1" x14ac:dyDescent="0.2">
      <c r="A64" s="7"/>
      <c r="B64" s="230" t="s">
        <v>93</v>
      </c>
      <c r="C64" s="244" t="s">
        <v>220</v>
      </c>
      <c r="D64" s="220" t="s">
        <v>30</v>
      </c>
      <c r="E64" s="221">
        <v>25</v>
      </c>
      <c r="F64" s="11"/>
      <c r="G64" s="11">
        <v>1560</v>
      </c>
      <c r="H64" s="11">
        <f t="shared" si="2"/>
        <v>39000</v>
      </c>
      <c r="I64" s="11">
        <v>310</v>
      </c>
      <c r="J64" s="11">
        <f t="shared" si="3"/>
        <v>7750</v>
      </c>
      <c r="K64" s="11">
        <f t="shared" si="4"/>
        <v>46750</v>
      </c>
      <c r="L64" s="237"/>
      <c r="M64" s="6"/>
    </row>
    <row r="65" spans="1:13" ht="15" customHeight="1" x14ac:dyDescent="0.2">
      <c r="A65" s="7"/>
      <c r="B65" s="230" t="s">
        <v>119</v>
      </c>
      <c r="C65" s="244" t="s">
        <v>221</v>
      </c>
      <c r="D65" s="220" t="s">
        <v>30</v>
      </c>
      <c r="E65" s="221">
        <v>30</v>
      </c>
      <c r="F65" s="11"/>
      <c r="G65" s="11">
        <v>3360</v>
      </c>
      <c r="H65" s="11">
        <f t="shared" si="2"/>
        <v>100800</v>
      </c>
      <c r="I65" s="11">
        <v>340</v>
      </c>
      <c r="J65" s="11">
        <f t="shared" si="3"/>
        <v>10200</v>
      </c>
      <c r="K65" s="11">
        <f t="shared" si="4"/>
        <v>111000</v>
      </c>
      <c r="L65" s="237"/>
      <c r="M65" s="6"/>
    </row>
    <row r="66" spans="1:13" ht="15" customHeight="1" x14ac:dyDescent="0.2">
      <c r="A66" s="7"/>
      <c r="B66" s="230" t="s">
        <v>147</v>
      </c>
      <c r="C66" s="244" t="s">
        <v>222</v>
      </c>
      <c r="D66" s="220" t="s">
        <v>30</v>
      </c>
      <c r="E66" s="221">
        <v>30</v>
      </c>
      <c r="F66" s="11"/>
      <c r="G66" s="11">
        <v>5600</v>
      </c>
      <c r="H66" s="11">
        <f t="shared" si="2"/>
        <v>168000</v>
      </c>
      <c r="I66" s="11">
        <v>360</v>
      </c>
      <c r="J66" s="11">
        <f t="shared" si="3"/>
        <v>10800</v>
      </c>
      <c r="K66" s="11">
        <f t="shared" si="4"/>
        <v>178800</v>
      </c>
      <c r="L66" s="237"/>
      <c r="M66" s="6"/>
    </row>
    <row r="67" spans="1:13" ht="28.5" customHeight="1" x14ac:dyDescent="0.2">
      <c r="A67" s="7">
        <f>A63+0.1</f>
        <v>3.2</v>
      </c>
      <c r="B67" s="7"/>
      <c r="C67" s="252" t="s">
        <v>223</v>
      </c>
      <c r="D67" s="220"/>
      <c r="E67" s="221"/>
      <c r="F67" s="11"/>
      <c r="G67" s="11"/>
      <c r="H67" s="11">
        <f t="shared" si="2"/>
        <v>0</v>
      </c>
      <c r="I67" s="11"/>
      <c r="J67" s="11">
        <f t="shared" si="3"/>
        <v>0</v>
      </c>
      <c r="K67" s="11">
        <f t="shared" si="4"/>
        <v>0</v>
      </c>
      <c r="L67" s="237"/>
      <c r="M67" s="6"/>
    </row>
    <row r="68" spans="1:13" s="53" customFormat="1" ht="15" customHeight="1" x14ac:dyDescent="0.2">
      <c r="A68" s="8"/>
      <c r="B68" s="231" t="s">
        <v>93</v>
      </c>
      <c r="C68" s="253" t="s">
        <v>224</v>
      </c>
      <c r="D68" s="220" t="str">
        <f>IF(C68="","",IF(E68="","",IF(E68&gt;1,"Nos.","No.")))</f>
        <v>Nos.</v>
      </c>
      <c r="E68" s="221">
        <v>10</v>
      </c>
      <c r="F68" s="11"/>
      <c r="G68" s="11">
        <v>4500</v>
      </c>
      <c r="H68" s="11">
        <f t="shared" si="2"/>
        <v>45000</v>
      </c>
      <c r="I68" s="11">
        <v>1000</v>
      </c>
      <c r="J68" s="11">
        <f t="shared" si="3"/>
        <v>10000</v>
      </c>
      <c r="K68" s="11">
        <f t="shared" si="4"/>
        <v>55000</v>
      </c>
      <c r="L68" s="254"/>
      <c r="M68" s="10"/>
    </row>
    <row r="69" spans="1:13" ht="15" customHeight="1" x14ac:dyDescent="0.2">
      <c r="A69" s="7">
        <f>A67+0.1</f>
        <v>3.3000000000000003</v>
      </c>
      <c r="B69" s="219"/>
      <c r="C69" s="255" t="s">
        <v>225</v>
      </c>
      <c r="D69" s="220"/>
      <c r="E69" s="221"/>
      <c r="F69" s="11"/>
      <c r="G69" s="11"/>
      <c r="H69" s="11">
        <f t="shared" si="2"/>
        <v>0</v>
      </c>
      <c r="I69" s="11"/>
      <c r="J69" s="11">
        <f t="shared" si="3"/>
        <v>0</v>
      </c>
      <c r="K69" s="11">
        <f t="shared" si="4"/>
        <v>0</v>
      </c>
      <c r="L69" s="237"/>
      <c r="M69" s="6"/>
    </row>
    <row r="70" spans="1:13" ht="15" customHeight="1" x14ac:dyDescent="0.2">
      <c r="A70" s="7"/>
      <c r="B70" s="230" t="s">
        <v>93</v>
      </c>
      <c r="C70" s="244" t="s">
        <v>226</v>
      </c>
      <c r="D70" s="220" t="s">
        <v>21</v>
      </c>
      <c r="E70" s="221">
        <v>3</v>
      </c>
      <c r="F70" s="11"/>
      <c r="G70" s="11">
        <v>6500</v>
      </c>
      <c r="H70" s="11">
        <f t="shared" si="2"/>
        <v>19500</v>
      </c>
      <c r="I70" s="11">
        <v>1000</v>
      </c>
      <c r="J70" s="11">
        <f t="shared" si="3"/>
        <v>3000</v>
      </c>
      <c r="K70" s="11">
        <f t="shared" si="4"/>
        <v>22500</v>
      </c>
      <c r="L70" s="237"/>
      <c r="M70" s="6"/>
    </row>
    <row r="71" spans="1:13" ht="15" customHeight="1" x14ac:dyDescent="0.2">
      <c r="A71" s="7"/>
      <c r="B71" s="230" t="s">
        <v>119</v>
      </c>
      <c r="C71" s="244" t="s">
        <v>227</v>
      </c>
      <c r="D71" s="220" t="s">
        <v>21</v>
      </c>
      <c r="E71" s="221">
        <v>3</v>
      </c>
      <c r="F71" s="11"/>
      <c r="G71" s="11">
        <v>8500</v>
      </c>
      <c r="H71" s="11">
        <f t="shared" si="2"/>
        <v>25500</v>
      </c>
      <c r="I71" s="11">
        <v>1000</v>
      </c>
      <c r="J71" s="11">
        <f t="shared" si="3"/>
        <v>3000</v>
      </c>
      <c r="K71" s="11">
        <f t="shared" si="4"/>
        <v>28500</v>
      </c>
      <c r="L71" s="237"/>
      <c r="M71" s="6"/>
    </row>
    <row r="72" spans="1:13" ht="27.75" customHeight="1" x14ac:dyDescent="0.2">
      <c r="A72" s="7">
        <f>A69+0.1</f>
        <v>3.4000000000000004</v>
      </c>
      <c r="B72" s="219"/>
      <c r="C72" s="12" t="s">
        <v>228</v>
      </c>
      <c r="D72" s="220"/>
      <c r="E72" s="221"/>
      <c r="F72" s="11"/>
      <c r="G72" s="11"/>
      <c r="H72" s="11">
        <f t="shared" si="2"/>
        <v>0</v>
      </c>
      <c r="I72" s="11"/>
      <c r="J72" s="11">
        <f t="shared" si="3"/>
        <v>0</v>
      </c>
      <c r="K72" s="11">
        <f t="shared" si="4"/>
        <v>0</v>
      </c>
      <c r="L72" s="237"/>
      <c r="M72" s="6"/>
    </row>
    <row r="73" spans="1:13" ht="15" customHeight="1" x14ac:dyDescent="0.2">
      <c r="A73" s="7"/>
      <c r="B73" s="230" t="s">
        <v>93</v>
      </c>
      <c r="C73" s="244" t="s">
        <v>229</v>
      </c>
      <c r="D73" s="220" t="str">
        <f>IF(C73="","",IF(E73="","",IF(E73&gt;1,"Nos.","No.")))</f>
        <v>No.</v>
      </c>
      <c r="E73" s="221">
        <v>1</v>
      </c>
      <c r="F73" s="11"/>
      <c r="G73" s="11">
        <v>1800</v>
      </c>
      <c r="H73" s="11">
        <f t="shared" si="2"/>
        <v>1800</v>
      </c>
      <c r="I73" s="11">
        <v>7000</v>
      </c>
      <c r="J73" s="11">
        <f t="shared" si="3"/>
        <v>7000</v>
      </c>
      <c r="K73" s="11">
        <f t="shared" si="4"/>
        <v>8800</v>
      </c>
      <c r="L73" s="237"/>
      <c r="M73" s="6"/>
    </row>
    <row r="74" spans="1:13" ht="15" customHeight="1" x14ac:dyDescent="0.2">
      <c r="A74" s="7"/>
      <c r="B74" s="230" t="s">
        <v>119</v>
      </c>
      <c r="C74" s="244" t="s">
        <v>230</v>
      </c>
      <c r="D74" s="220" t="str">
        <f>IF(C74="","",IF(E74="","",IF(E74&gt;1,"Nos.","No.")))</f>
        <v>No.</v>
      </c>
      <c r="E74" s="221">
        <v>1</v>
      </c>
      <c r="F74" s="11"/>
      <c r="G74" s="11">
        <v>2500</v>
      </c>
      <c r="H74" s="11">
        <f t="shared" si="2"/>
        <v>2500</v>
      </c>
      <c r="I74" s="11">
        <v>1000</v>
      </c>
      <c r="J74" s="11">
        <f t="shared" si="3"/>
        <v>1000</v>
      </c>
      <c r="K74" s="11">
        <f t="shared" si="4"/>
        <v>3500</v>
      </c>
      <c r="L74" s="237"/>
      <c r="M74" s="6"/>
    </row>
    <row r="75" spans="1:13" ht="18" customHeight="1" x14ac:dyDescent="0.2">
      <c r="A75" s="7"/>
      <c r="B75" s="7"/>
      <c r="C75" s="233" t="s">
        <v>196</v>
      </c>
      <c r="D75" s="249"/>
      <c r="E75" s="249"/>
      <c r="F75" s="249"/>
      <c r="G75" s="249"/>
      <c r="H75" s="11">
        <f t="shared" si="2"/>
        <v>0</v>
      </c>
      <c r="I75" s="234"/>
      <c r="J75" s="11">
        <f t="shared" si="3"/>
        <v>0</v>
      </c>
      <c r="K75" s="11">
        <f t="shared" si="4"/>
        <v>0</v>
      </c>
      <c r="L75" s="237"/>
      <c r="M75" s="6"/>
    </row>
    <row r="76" spans="1:13" ht="17.25" customHeight="1" x14ac:dyDescent="0.2">
      <c r="A76" s="7"/>
      <c r="B76" s="7"/>
      <c r="C76" s="256" t="s">
        <v>231</v>
      </c>
      <c r="D76" s="220"/>
      <c r="E76" s="220"/>
      <c r="F76" s="220"/>
      <c r="G76" s="220"/>
      <c r="H76" s="11">
        <f t="shared" si="2"/>
        <v>0</v>
      </c>
      <c r="I76" s="220"/>
      <c r="J76" s="11">
        <f t="shared" si="3"/>
        <v>0</v>
      </c>
      <c r="K76" s="11">
        <f t="shared" si="4"/>
        <v>0</v>
      </c>
      <c r="L76" s="237"/>
      <c r="M76" s="6"/>
    </row>
    <row r="77" spans="1:13" ht="42.75" customHeight="1" x14ac:dyDescent="0.2">
      <c r="A77" s="7"/>
      <c r="B77" s="7"/>
      <c r="C77" s="14" t="s">
        <v>232</v>
      </c>
      <c r="D77" s="220"/>
      <c r="E77" s="220"/>
      <c r="F77" s="220"/>
      <c r="G77" s="220"/>
      <c r="H77" s="11">
        <f t="shared" si="2"/>
        <v>0</v>
      </c>
      <c r="I77" s="220"/>
      <c r="J77" s="11">
        <f t="shared" si="3"/>
        <v>0</v>
      </c>
      <c r="K77" s="11">
        <f t="shared" si="4"/>
        <v>0</v>
      </c>
      <c r="L77" s="237"/>
      <c r="M77" s="6"/>
    </row>
    <row r="78" spans="1:13" ht="42" customHeight="1" x14ac:dyDescent="0.2">
      <c r="A78" s="7">
        <f>4.1</f>
        <v>4.0999999999999996</v>
      </c>
      <c r="B78" s="7"/>
      <c r="C78" s="16" t="s">
        <v>233</v>
      </c>
      <c r="D78" s="220" t="s">
        <v>102</v>
      </c>
      <c r="E78" s="221">
        <v>1</v>
      </c>
      <c r="F78" s="11"/>
      <c r="G78" s="11">
        <v>20000</v>
      </c>
      <c r="H78" s="11">
        <f t="shared" si="2"/>
        <v>20000</v>
      </c>
      <c r="I78" s="11">
        <v>20000</v>
      </c>
      <c r="J78" s="11">
        <f t="shared" si="3"/>
        <v>20000</v>
      </c>
      <c r="K78" s="11">
        <f t="shared" si="4"/>
        <v>40000</v>
      </c>
      <c r="L78" s="237"/>
      <c r="M78" s="6"/>
    </row>
    <row r="79" spans="1:13" ht="27" customHeight="1" x14ac:dyDescent="0.2">
      <c r="A79" s="7">
        <f>A78+0.1</f>
        <v>4.1999999999999993</v>
      </c>
      <c r="B79" s="7"/>
      <c r="C79" s="16" t="s">
        <v>234</v>
      </c>
      <c r="D79" s="220" t="s">
        <v>102</v>
      </c>
      <c r="E79" s="221">
        <v>1</v>
      </c>
      <c r="F79" s="11"/>
      <c r="G79" s="11">
        <v>25000</v>
      </c>
      <c r="H79" s="11">
        <f t="shared" si="2"/>
        <v>25000</v>
      </c>
      <c r="I79" s="11">
        <v>10000</v>
      </c>
      <c r="J79" s="11">
        <f t="shared" si="3"/>
        <v>10000</v>
      </c>
      <c r="K79" s="11">
        <f t="shared" si="4"/>
        <v>35000</v>
      </c>
      <c r="L79" s="237"/>
      <c r="M79" s="6"/>
    </row>
    <row r="80" spans="1:13" ht="18" customHeight="1" x14ac:dyDescent="0.2">
      <c r="A80" s="295"/>
      <c r="B80" s="295"/>
      <c r="C80" s="233" t="s">
        <v>196</v>
      </c>
      <c r="D80" s="249"/>
      <c r="E80" s="249"/>
      <c r="F80" s="249"/>
      <c r="G80" s="234"/>
      <c r="H80" s="236"/>
      <c r="I80" s="236"/>
      <c r="J80" s="236"/>
      <c r="K80" s="236"/>
      <c r="L80" s="237"/>
      <c r="M80" s="6"/>
    </row>
    <row r="81" spans="1:13" x14ac:dyDescent="0.2">
      <c r="A81" s="244"/>
      <c r="B81" s="244"/>
      <c r="C81" s="6"/>
      <c r="D81" s="3"/>
      <c r="E81" s="3"/>
      <c r="F81" s="3"/>
      <c r="G81" s="3"/>
      <c r="H81" s="3"/>
      <c r="I81" s="6"/>
      <c r="J81" s="6"/>
      <c r="K81" s="6"/>
      <c r="L81" s="237"/>
      <c r="M81" s="6"/>
    </row>
    <row r="82" spans="1:13" ht="20.100000000000001" customHeight="1" x14ac:dyDescent="0.2">
      <c r="A82" s="3"/>
      <c r="B82" s="3"/>
      <c r="C82" s="257" t="s">
        <v>235</v>
      </c>
      <c r="D82" s="257"/>
      <c r="E82" s="258"/>
      <c r="F82" s="258"/>
      <c r="G82" s="259"/>
      <c r="H82" s="260"/>
      <c r="I82" s="259"/>
      <c r="J82" s="260"/>
      <c r="K82" s="260">
        <f>SUM(K11:K81)</f>
        <v>2270315</v>
      </c>
      <c r="L82" s="237"/>
      <c r="M82" s="6"/>
    </row>
    <row r="84" spans="1:13" ht="47.25" x14ac:dyDescent="0.2">
      <c r="A84" s="55" t="s">
        <v>17</v>
      </c>
      <c r="B84" s="56"/>
      <c r="C84" s="57"/>
      <c r="D84" s="57"/>
      <c r="E84" s="56"/>
      <c r="F84" s="56"/>
      <c r="G84" s="58"/>
    </row>
    <row r="85" spans="1:13" ht="15.75" x14ac:dyDescent="0.2">
      <c r="A85" s="59" t="s">
        <v>6</v>
      </c>
      <c r="B85" s="56"/>
      <c r="C85" s="57"/>
      <c r="D85" s="57"/>
      <c r="E85" s="56"/>
      <c r="F85" s="56"/>
      <c r="G85" s="58"/>
    </row>
    <row r="86" spans="1:13" ht="15.75" x14ac:dyDescent="0.2">
      <c r="A86" s="59" t="s">
        <v>7</v>
      </c>
      <c r="B86" s="56"/>
      <c r="C86" s="57"/>
      <c r="D86" s="57"/>
      <c r="E86" s="56"/>
      <c r="F86" s="56"/>
      <c r="G86" s="58"/>
    </row>
    <row r="87" spans="1:13" ht="15.75" x14ac:dyDescent="0.2">
      <c r="A87" s="274" t="s">
        <v>8</v>
      </c>
      <c r="B87" s="274"/>
      <c r="C87" s="274"/>
      <c r="D87" s="274"/>
      <c r="E87" s="274"/>
      <c r="F87" s="274"/>
      <c r="G87" s="274"/>
    </row>
    <row r="88" spans="1:13" ht="15.75" x14ac:dyDescent="0.2">
      <c r="A88" s="270" t="s">
        <v>26</v>
      </c>
      <c r="B88" s="270"/>
      <c r="C88" s="270"/>
      <c r="D88" s="270"/>
      <c r="E88" s="270"/>
      <c r="F88" s="60"/>
      <c r="G88" s="61"/>
    </row>
    <row r="89" spans="1:13" ht="15.75" x14ac:dyDescent="0.2">
      <c r="A89" s="270" t="s">
        <v>27</v>
      </c>
      <c r="B89" s="270"/>
      <c r="C89" s="270"/>
      <c r="D89" s="270"/>
      <c r="E89" s="270"/>
      <c r="F89" s="60"/>
      <c r="G89" s="61"/>
    </row>
  </sheetData>
  <mergeCells count="15">
    <mergeCell ref="A87:G87"/>
    <mergeCell ref="A88:E88"/>
    <mergeCell ref="A89:E89"/>
    <mergeCell ref="F7:F8"/>
    <mergeCell ref="A1:C1"/>
    <mergeCell ref="A2:C2"/>
    <mergeCell ref="A7:B8"/>
    <mergeCell ref="C7:C8"/>
    <mergeCell ref="D7:D8"/>
    <mergeCell ref="E7:E8"/>
    <mergeCell ref="L7:L8"/>
    <mergeCell ref="M7:M8"/>
    <mergeCell ref="G7:H7"/>
    <mergeCell ref="I7:J7"/>
    <mergeCell ref="A80:B80"/>
  </mergeCells>
  <printOptions horizontalCentered="1"/>
  <pageMargins left="0.5" right="0.5" top="0.4" bottom="0.4" header="0.33" footer="0.23"/>
  <pageSetup paperSize="9" scale="95" orientation="landscape" r:id="rId1"/>
  <headerFooter alignWithMargins="0">
    <oddFooter>&amp;L&amp;8SEM Engineers&amp;R&amp;8Page &amp;P of &amp;N</oddFooter>
  </headerFooter>
  <rowBreaks count="2" manualBreakCount="2">
    <brk id="26" max="10" man="1"/>
    <brk id="47"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7" ma:contentTypeDescription="Create a new document." ma:contentTypeScope="" ma:versionID="b93a116c216cc035aabd324865caeb8d">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917e61886d5161be230e7a99e354caee"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25D393-DC91-4B80-8D6B-20049F3954BD}">
  <ds:schemaRefs>
    <ds:schemaRef ds:uri="http://www.w3.org/2000/xmlns/"/>
    <ds:schemaRef ds:uri="http://www.w3.org/2001/XMLSchema"/>
  </ds:schemaRefs>
</ds:datastoreItem>
</file>

<file path=customXml/itemProps2.xml><?xml version="1.0" encoding="utf-8"?>
<ds:datastoreItem xmlns:ds="http://schemas.openxmlformats.org/officeDocument/2006/customXml" ds:itemID="{0CE4CAE7-EB70-47A8-8D69-5169D3D02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3FADFD-E78A-44F0-B5C4-F8CC76712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GRAND SUMMARY</vt:lpstr>
      <vt:lpstr>HVAC BOQ</vt:lpstr>
      <vt:lpstr>FSS - BOQ</vt:lpstr>
      <vt:lpstr>Plumbing BOQ</vt:lpstr>
      <vt:lpstr>'FSS - BOQ'!Print_Area</vt:lpstr>
      <vt:lpstr>'GRAND SUMMARY'!Print_Area</vt:lpstr>
      <vt:lpstr>'HVAC BOQ'!Print_Area</vt:lpstr>
      <vt:lpstr>'Plumbing BOQ'!Print_Area</vt:lpstr>
      <vt:lpstr>'FSS - BOQ'!Print_Titles</vt:lpstr>
      <vt:lpstr>'HVAC BOQ'!Print_Titles</vt:lpstr>
      <vt:lpstr>'Plumbing BOQ'!Print_Titles</vt:lpstr>
    </vt:vector>
  </TitlesOfParts>
  <Company>ICON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Shafi</dc:creator>
  <cp:lastModifiedBy>Rehan Aslam</cp:lastModifiedBy>
  <cp:lastPrinted>2022-09-14T06:05:12Z</cp:lastPrinted>
  <dcterms:created xsi:type="dcterms:W3CDTF">2009-01-02T20:16:08Z</dcterms:created>
  <dcterms:modified xsi:type="dcterms:W3CDTF">2022-09-14T06:13:02Z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{EC25D393-DC91-4B80-8D6B-20049F3954BD}</vt:lpwstr>
  </property>
</Properties>
</file>