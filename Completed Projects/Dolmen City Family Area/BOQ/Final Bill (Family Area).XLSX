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Completed Projects\Dolmen City Family Area\BOQ\"/>
    </mc:Choice>
  </mc:AlternateContent>
  <xr:revisionPtr revIDLastSave="0" documentId="13_ncr:1_{FD6AADF5-8D69-493E-A4E4-88A02A1F4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Fire!$A$1:$K$87</definedName>
    <definedName name="_xlnm.Print_Area" localSheetId="1">HVAC!$A$1:$M$84</definedName>
    <definedName name="_xlnm.Print_Area" localSheetId="3">Plumbing!$A$1:$L$95</definedName>
    <definedName name="_xlnm.Print_Area" localSheetId="0">SUMM!$A$1:$F$17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Fire!$1:$8</definedName>
    <definedName name="_xlnm.Print_Titles" localSheetId="1">HVAC!$1:$7</definedName>
    <definedName name="_xlnm.Print_Titles" localSheetId="3">Plumbing!$1:$8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E17" i="32" l="1"/>
  <c r="J93" i="35" l="1"/>
  <c r="J92" i="35"/>
  <c r="J91" i="35"/>
  <c r="J90" i="35"/>
  <c r="J89" i="35"/>
  <c r="J86" i="35"/>
  <c r="J85" i="35"/>
  <c r="J84" i="35"/>
  <c r="J83" i="35"/>
  <c r="J82" i="35"/>
  <c r="J81" i="35"/>
  <c r="J80" i="35"/>
  <c r="J79" i="35"/>
  <c r="J78" i="35"/>
  <c r="J75" i="35"/>
  <c r="J74" i="35"/>
  <c r="J73" i="35"/>
  <c r="J71" i="35"/>
  <c r="J69" i="35"/>
  <c r="J66" i="35" l="1"/>
  <c r="J65" i="35"/>
  <c r="K65" i="35" s="1"/>
  <c r="J64" i="35"/>
  <c r="J62" i="35"/>
  <c r="J61" i="35"/>
  <c r="K61" i="35" s="1"/>
  <c r="J60" i="35"/>
  <c r="J59" i="35"/>
  <c r="K59" i="35" s="1"/>
  <c r="J58" i="35"/>
  <c r="K58" i="35" s="1"/>
  <c r="J54" i="35"/>
  <c r="K54" i="35" s="1"/>
  <c r="J52" i="35"/>
  <c r="J51" i="35"/>
  <c r="J50" i="35"/>
  <c r="J49" i="35"/>
  <c r="K49" i="35" s="1"/>
  <c r="J48" i="35"/>
  <c r="J46" i="35"/>
  <c r="K46" i="35" s="1"/>
  <c r="J44" i="35"/>
  <c r="J43" i="35"/>
  <c r="K43" i="35" s="1"/>
  <c r="J42" i="35"/>
  <c r="J40" i="35"/>
  <c r="K40" i="35" s="1"/>
  <c r="J37" i="35"/>
  <c r="J36" i="35"/>
  <c r="J35" i="35"/>
  <c r="J31" i="35"/>
  <c r="K31" i="35" s="1"/>
  <c r="J30" i="35"/>
  <c r="K30" i="35" s="1"/>
  <c r="J29" i="35"/>
  <c r="J28" i="35"/>
  <c r="K28" i="35" s="1"/>
  <c r="J27" i="35"/>
  <c r="J26" i="35"/>
  <c r="K26" i="35" s="1"/>
  <c r="J24" i="35"/>
  <c r="K24" i="35" s="1"/>
  <c r="J22" i="35"/>
  <c r="J21" i="35"/>
  <c r="J20" i="35"/>
  <c r="J19" i="35"/>
  <c r="J16" i="35"/>
  <c r="J15" i="35"/>
  <c r="J14" i="35"/>
  <c r="K14" i="35" s="1"/>
  <c r="J13" i="35"/>
  <c r="K13" i="35" s="1"/>
  <c r="J12" i="35"/>
  <c r="K12" i="35" s="1"/>
  <c r="J11" i="35"/>
  <c r="I86" i="36"/>
  <c r="I85" i="36"/>
  <c r="J85" i="36" s="1"/>
  <c r="I84" i="36"/>
  <c r="I83" i="36"/>
  <c r="J83" i="36" s="1"/>
  <c r="I82" i="36"/>
  <c r="J82" i="36" s="1"/>
  <c r="K82" i="36" s="1"/>
  <c r="I81" i="36"/>
  <c r="I78" i="36"/>
  <c r="J78" i="36" s="1"/>
  <c r="I75" i="36"/>
  <c r="J75" i="36" s="1"/>
  <c r="I74" i="36"/>
  <c r="I73" i="36"/>
  <c r="J73" i="36" s="1"/>
  <c r="I72" i="36"/>
  <c r="J72" i="36" s="1"/>
  <c r="I71" i="36"/>
  <c r="J71" i="36" s="1"/>
  <c r="I70" i="36"/>
  <c r="I69" i="36"/>
  <c r="I68" i="36"/>
  <c r="J68" i="36" s="1"/>
  <c r="I67" i="36"/>
  <c r="J67" i="36" s="1"/>
  <c r="K67" i="36" s="1"/>
  <c r="I66" i="36"/>
  <c r="I65" i="36"/>
  <c r="J65" i="36" s="1"/>
  <c r="K65" i="36" s="1"/>
  <c r="I64" i="36"/>
  <c r="I60" i="36"/>
  <c r="J60" i="36" s="1"/>
  <c r="I57" i="36"/>
  <c r="J57" i="36" s="1"/>
  <c r="I56" i="36"/>
  <c r="J56" i="36" s="1"/>
  <c r="I55" i="36"/>
  <c r="J55" i="36" s="1"/>
  <c r="I54" i="36"/>
  <c r="I52" i="36"/>
  <c r="J52" i="36" s="1"/>
  <c r="K52" i="36" s="1"/>
  <c r="I51" i="36"/>
  <c r="J51" i="36" s="1"/>
  <c r="I50" i="36"/>
  <c r="I49" i="36"/>
  <c r="J49" i="36" s="1"/>
  <c r="I48" i="36"/>
  <c r="I46" i="36"/>
  <c r="I45" i="36"/>
  <c r="I44" i="36"/>
  <c r="I43" i="36"/>
  <c r="I42" i="36"/>
  <c r="I40" i="36"/>
  <c r="I39" i="36"/>
  <c r="I38" i="36"/>
  <c r="J38" i="36" s="1"/>
  <c r="I37" i="36"/>
  <c r="J37" i="36" s="1"/>
  <c r="K37" i="36" s="1"/>
  <c r="I36" i="36"/>
  <c r="I32" i="36"/>
  <c r="J32" i="36" s="1"/>
  <c r="I31" i="36"/>
  <c r="J31" i="36" s="1"/>
  <c r="I30" i="36"/>
  <c r="I29" i="36"/>
  <c r="I27" i="36"/>
  <c r="J27" i="36" s="1"/>
  <c r="I26" i="36"/>
  <c r="J26" i="36" s="1"/>
  <c r="K26" i="36" s="1"/>
  <c r="I25" i="36"/>
  <c r="J25" i="36" s="1"/>
  <c r="K25" i="36" s="1"/>
  <c r="I24" i="36"/>
  <c r="I23" i="36"/>
  <c r="I22" i="36"/>
  <c r="J22" i="36" s="1"/>
  <c r="K22" i="36" s="1"/>
  <c r="I18" i="36"/>
  <c r="I15" i="36"/>
  <c r="J15" i="36" s="1"/>
  <c r="I12" i="36"/>
  <c r="I11" i="36"/>
  <c r="J11" i="36" s="1"/>
  <c r="I10" i="36"/>
  <c r="J10" i="36" s="1"/>
  <c r="K29" i="33"/>
  <c r="K83" i="33"/>
  <c r="K82" i="33"/>
  <c r="K81" i="33"/>
  <c r="K80" i="33"/>
  <c r="K77" i="33"/>
  <c r="K76" i="33"/>
  <c r="K73" i="33"/>
  <c r="K72" i="33"/>
  <c r="K71" i="33"/>
  <c r="K68" i="33"/>
  <c r="K65" i="33"/>
  <c r="K64" i="33"/>
  <c r="K63" i="33"/>
  <c r="K62" i="33"/>
  <c r="K59" i="33"/>
  <c r="K58" i="33"/>
  <c r="K55" i="33"/>
  <c r="K53" i="33"/>
  <c r="K52" i="33"/>
  <c r="K51" i="33"/>
  <c r="K50" i="33"/>
  <c r="K49" i="33"/>
  <c r="K48" i="33"/>
  <c r="K47" i="33"/>
  <c r="K46" i="33"/>
  <c r="K44" i="33"/>
  <c r="K43" i="33"/>
  <c r="K42" i="33"/>
  <c r="K40" i="33"/>
  <c r="K39" i="33"/>
  <c r="K38" i="33"/>
  <c r="K37" i="33"/>
  <c r="K36" i="33"/>
  <c r="K35" i="33"/>
  <c r="K34" i="33"/>
  <c r="K30" i="33"/>
  <c r="K26" i="33"/>
  <c r="K25" i="33"/>
  <c r="K22" i="33"/>
  <c r="K21" i="33"/>
  <c r="K19" i="33"/>
  <c r="K18" i="33"/>
  <c r="K17" i="33"/>
  <c r="K16" i="33"/>
  <c r="K15" i="33"/>
  <c r="K12" i="33"/>
  <c r="K11" i="33"/>
  <c r="K10" i="33"/>
  <c r="K93" i="35"/>
  <c r="I93" i="35"/>
  <c r="K92" i="35"/>
  <c r="L92" i="35" s="1"/>
  <c r="I92" i="35"/>
  <c r="K91" i="35"/>
  <c r="I91" i="35"/>
  <c r="K90" i="35"/>
  <c r="I90" i="35"/>
  <c r="K89" i="35"/>
  <c r="I89" i="35"/>
  <c r="L89" i="35" s="1"/>
  <c r="K86" i="35"/>
  <c r="I86" i="35"/>
  <c r="K85" i="35"/>
  <c r="I85" i="35"/>
  <c r="K84" i="35"/>
  <c r="I84" i="35"/>
  <c r="K83" i="35"/>
  <c r="I83" i="35"/>
  <c r="K82" i="35"/>
  <c r="I82" i="35"/>
  <c r="K81" i="35"/>
  <c r="I81" i="35"/>
  <c r="K80" i="35"/>
  <c r="L80" i="35" s="1"/>
  <c r="I80" i="35"/>
  <c r="K79" i="35"/>
  <c r="I79" i="35"/>
  <c r="K78" i="35"/>
  <c r="I78" i="35"/>
  <c r="K75" i="35"/>
  <c r="I75" i="35"/>
  <c r="K74" i="35"/>
  <c r="I74" i="35"/>
  <c r="K73" i="35"/>
  <c r="I73" i="35"/>
  <c r="K71" i="35"/>
  <c r="I71" i="35"/>
  <c r="K69" i="35"/>
  <c r="I69" i="35"/>
  <c r="K66" i="35"/>
  <c r="I66" i="35"/>
  <c r="I65" i="35"/>
  <c r="I61" i="35"/>
  <c r="I59" i="35"/>
  <c r="I58" i="35"/>
  <c r="I54" i="35"/>
  <c r="K52" i="35"/>
  <c r="L52" i="35" s="1"/>
  <c r="I52" i="35"/>
  <c r="K51" i="35"/>
  <c r="I51" i="35"/>
  <c r="I49" i="35"/>
  <c r="I46" i="35"/>
  <c r="I43" i="35"/>
  <c r="I40" i="35"/>
  <c r="K36" i="35"/>
  <c r="I36" i="35"/>
  <c r="I31" i="35"/>
  <c r="I30" i="35"/>
  <c r="K29" i="35"/>
  <c r="I29" i="35"/>
  <c r="I28" i="35"/>
  <c r="K27" i="35"/>
  <c r="I27" i="35"/>
  <c r="I26" i="35"/>
  <c r="I24" i="35"/>
  <c r="K22" i="35"/>
  <c r="L22" i="35" s="1"/>
  <c r="I22" i="35"/>
  <c r="K21" i="35"/>
  <c r="I21" i="35"/>
  <c r="K16" i="35"/>
  <c r="I16" i="35"/>
  <c r="K15" i="35"/>
  <c r="I15" i="35"/>
  <c r="I14" i="35"/>
  <c r="I13" i="35"/>
  <c r="I12" i="35"/>
  <c r="I11" i="35"/>
  <c r="L11" i="35" s="1"/>
  <c r="J86" i="36"/>
  <c r="H86" i="36"/>
  <c r="H85" i="36"/>
  <c r="J84" i="36"/>
  <c r="H84" i="36"/>
  <c r="H83" i="36"/>
  <c r="H82" i="36"/>
  <c r="J81" i="36"/>
  <c r="H81" i="36"/>
  <c r="H78" i="36"/>
  <c r="H75" i="36"/>
  <c r="J74" i="36"/>
  <c r="H74" i="36"/>
  <c r="H73" i="36"/>
  <c r="H72" i="36"/>
  <c r="H71" i="36"/>
  <c r="J70" i="36"/>
  <c r="K70" i="36" s="1"/>
  <c r="H70" i="36"/>
  <c r="J69" i="36"/>
  <c r="H69" i="36"/>
  <c r="H68" i="36"/>
  <c r="H67" i="36"/>
  <c r="J66" i="36"/>
  <c r="H66" i="36"/>
  <c r="H65" i="36"/>
  <c r="J64" i="36"/>
  <c r="H64" i="36"/>
  <c r="H60" i="36"/>
  <c r="H57" i="36"/>
  <c r="H56" i="36"/>
  <c r="H55" i="36"/>
  <c r="J54" i="36"/>
  <c r="K54" i="36" s="1"/>
  <c r="H54" i="36"/>
  <c r="H52" i="36"/>
  <c r="H51" i="36"/>
  <c r="J50" i="36"/>
  <c r="H50" i="36"/>
  <c r="H49" i="36"/>
  <c r="J48" i="36"/>
  <c r="K48" i="36" s="1"/>
  <c r="H48" i="36"/>
  <c r="J46" i="36"/>
  <c r="H46" i="36"/>
  <c r="J45" i="36"/>
  <c r="K45" i="36" s="1"/>
  <c r="H45" i="36"/>
  <c r="J44" i="36"/>
  <c r="H44" i="36"/>
  <c r="J43" i="36"/>
  <c r="K43" i="36" s="1"/>
  <c r="H43" i="36"/>
  <c r="J42" i="36"/>
  <c r="H42" i="36"/>
  <c r="J40" i="36"/>
  <c r="K40" i="36" s="1"/>
  <c r="H40" i="36"/>
  <c r="J39" i="36"/>
  <c r="H39" i="36"/>
  <c r="H38" i="36"/>
  <c r="H37" i="36"/>
  <c r="J36" i="36"/>
  <c r="H36" i="36"/>
  <c r="H32" i="36"/>
  <c r="H31" i="36"/>
  <c r="J30" i="36"/>
  <c r="H30" i="36"/>
  <c r="J29" i="36"/>
  <c r="H29" i="36"/>
  <c r="H27" i="36"/>
  <c r="H26" i="36"/>
  <c r="H25" i="36"/>
  <c r="J24" i="36"/>
  <c r="H24" i="36"/>
  <c r="J23" i="36"/>
  <c r="H23" i="36"/>
  <c r="H22" i="36"/>
  <c r="J18" i="36"/>
  <c r="K18" i="36" s="1"/>
  <c r="K19" i="36" s="1"/>
  <c r="H18" i="36"/>
  <c r="H15" i="36"/>
  <c r="J12" i="36"/>
  <c r="H12" i="36"/>
  <c r="H11" i="36"/>
  <c r="H10" i="36"/>
  <c r="L85" i="35" l="1"/>
  <c r="L79" i="35"/>
  <c r="L81" i="35"/>
  <c r="L83" i="35"/>
  <c r="L74" i="35"/>
  <c r="L14" i="35"/>
  <c r="L15" i="35"/>
  <c r="L54" i="35"/>
  <c r="K23" i="36"/>
  <c r="K30" i="36"/>
  <c r="K36" i="36"/>
  <c r="K66" i="36"/>
  <c r="K81" i="36"/>
  <c r="K84" i="36"/>
  <c r="K38" i="36"/>
  <c r="K39" i="36"/>
  <c r="K42" i="36"/>
  <c r="K44" i="36"/>
  <c r="K46" i="36"/>
  <c r="K64" i="36"/>
  <c r="K69" i="36"/>
  <c r="K27" i="36"/>
  <c r="K49" i="36"/>
  <c r="K24" i="36"/>
  <c r="K29" i="36"/>
  <c r="K50" i="36"/>
  <c r="K55" i="36"/>
  <c r="K68" i="36"/>
  <c r="K78" i="36"/>
  <c r="K79" i="36" s="1"/>
  <c r="K51" i="36"/>
  <c r="L91" i="35"/>
  <c r="L84" i="35"/>
  <c r="L82" i="35"/>
  <c r="L75" i="35"/>
  <c r="L65" i="35"/>
  <c r="L49" i="35"/>
  <c r="L46" i="35"/>
  <c r="L30" i="35"/>
  <c r="L31" i="35"/>
  <c r="L16" i="35"/>
  <c r="L12" i="35"/>
  <c r="L13" i="35"/>
  <c r="K86" i="36"/>
  <c r="K85" i="36"/>
  <c r="K87" i="36" s="1"/>
  <c r="K83" i="36"/>
  <c r="K74" i="36"/>
  <c r="K71" i="36"/>
  <c r="K75" i="36"/>
  <c r="K32" i="36"/>
  <c r="L73" i="35"/>
  <c r="L71" i="35"/>
  <c r="L69" i="35"/>
  <c r="L66" i="35"/>
  <c r="L61" i="35"/>
  <c r="L59" i="35"/>
  <c r="L58" i="35"/>
  <c r="L36" i="35"/>
  <c r="L29" i="35"/>
  <c r="L21" i="35"/>
  <c r="L93" i="35"/>
  <c r="L86" i="35"/>
  <c r="L78" i="35"/>
  <c r="L90" i="35"/>
  <c r="L51" i="35"/>
  <c r="L43" i="35"/>
  <c r="L40" i="35"/>
  <c r="L27" i="35"/>
  <c r="L26" i="35"/>
  <c r="L24" i="35"/>
  <c r="L28" i="35"/>
  <c r="K73" i="36"/>
  <c r="K72" i="36"/>
  <c r="K76" i="36" s="1"/>
  <c r="K56" i="36"/>
  <c r="K60" i="36"/>
  <c r="K61" i="36" s="1"/>
  <c r="K57" i="36"/>
  <c r="K31" i="36"/>
  <c r="K15" i="36"/>
  <c r="K16" i="36" s="1"/>
  <c r="K10" i="36"/>
  <c r="K33" i="36"/>
  <c r="K12" i="36"/>
  <c r="K11" i="36"/>
  <c r="L83" i="33"/>
  <c r="J83" i="33"/>
  <c r="L82" i="33"/>
  <c r="J82" i="33"/>
  <c r="L81" i="33"/>
  <c r="J81" i="33"/>
  <c r="L80" i="33"/>
  <c r="J80" i="33"/>
  <c r="L77" i="33"/>
  <c r="J77" i="33"/>
  <c r="L76" i="33"/>
  <c r="J76" i="33"/>
  <c r="L73" i="33"/>
  <c r="J73" i="33"/>
  <c r="L72" i="33"/>
  <c r="J72" i="33"/>
  <c r="L71" i="33"/>
  <c r="J71" i="33"/>
  <c r="L68" i="33"/>
  <c r="J68" i="33"/>
  <c r="L65" i="33"/>
  <c r="J65" i="33"/>
  <c r="L64" i="33"/>
  <c r="M64" i="33" s="1"/>
  <c r="J64" i="33"/>
  <c r="L63" i="33"/>
  <c r="J63" i="33"/>
  <c r="L62" i="33"/>
  <c r="J62" i="33"/>
  <c r="L59" i="33"/>
  <c r="J59" i="33"/>
  <c r="L58" i="33"/>
  <c r="J58" i="33"/>
  <c r="L55" i="33"/>
  <c r="J55" i="33"/>
  <c r="L53" i="33"/>
  <c r="J53" i="33"/>
  <c r="L52" i="33"/>
  <c r="J52" i="33"/>
  <c r="L51" i="33"/>
  <c r="J51" i="33"/>
  <c r="L50" i="33"/>
  <c r="J50" i="33"/>
  <c r="L49" i="33"/>
  <c r="J49" i="33"/>
  <c r="L48" i="33"/>
  <c r="J48" i="33"/>
  <c r="L47" i="33"/>
  <c r="J47" i="33"/>
  <c r="L46" i="33"/>
  <c r="J46" i="33"/>
  <c r="L44" i="33"/>
  <c r="J44" i="33"/>
  <c r="L43" i="33"/>
  <c r="J43" i="33"/>
  <c r="L42" i="33"/>
  <c r="J42" i="33"/>
  <c r="L40" i="33"/>
  <c r="J40" i="33"/>
  <c r="L39" i="33"/>
  <c r="J39" i="33"/>
  <c r="L38" i="33"/>
  <c r="J38" i="33"/>
  <c r="L37" i="33"/>
  <c r="J37" i="33"/>
  <c r="L36" i="33"/>
  <c r="J36" i="33"/>
  <c r="L35" i="33"/>
  <c r="J35" i="33"/>
  <c r="L34" i="33"/>
  <c r="J34" i="33"/>
  <c r="L30" i="33"/>
  <c r="J30" i="33"/>
  <c r="L29" i="33"/>
  <c r="J29" i="33"/>
  <c r="L26" i="33"/>
  <c r="M26" i="33" s="1"/>
  <c r="J26" i="33"/>
  <c r="L25" i="33"/>
  <c r="J25" i="33"/>
  <c r="L22" i="33"/>
  <c r="J22" i="33"/>
  <c r="L21" i="33"/>
  <c r="J21" i="33"/>
  <c r="L19" i="33"/>
  <c r="M19" i="33" s="1"/>
  <c r="J19" i="33"/>
  <c r="L18" i="33"/>
  <c r="J18" i="33"/>
  <c r="L17" i="33"/>
  <c r="J17" i="33"/>
  <c r="L16" i="33"/>
  <c r="J16" i="33"/>
  <c r="L15" i="33"/>
  <c r="J15" i="33"/>
  <c r="L12" i="33"/>
  <c r="J12" i="33"/>
  <c r="L11" i="33"/>
  <c r="J11" i="33"/>
  <c r="L10" i="33"/>
  <c r="M71" i="33" l="1"/>
  <c r="L87" i="35"/>
  <c r="K58" i="36"/>
  <c r="M53" i="33"/>
  <c r="M51" i="33"/>
  <c r="M47" i="33"/>
  <c r="M68" i="33"/>
  <c r="M76" i="33"/>
  <c r="M40" i="33"/>
  <c r="M46" i="33"/>
  <c r="M48" i="33"/>
  <c r="M50" i="33"/>
  <c r="M52" i="33"/>
  <c r="M72" i="33"/>
  <c r="M83" i="33"/>
  <c r="L94" i="35"/>
  <c r="M49" i="33"/>
  <c r="M43" i="33"/>
  <c r="M39" i="33"/>
  <c r="M22" i="33"/>
  <c r="M11" i="33"/>
  <c r="L76" i="35"/>
  <c r="L55" i="35"/>
  <c r="L32" i="35"/>
  <c r="M82" i="33"/>
  <c r="M81" i="33"/>
  <c r="M80" i="33"/>
  <c r="M77" i="33"/>
  <c r="M73" i="33"/>
  <c r="M65" i="33"/>
  <c r="M63" i="33"/>
  <c r="M62" i="33"/>
  <c r="M59" i="33"/>
  <c r="M58" i="33"/>
  <c r="M55" i="33"/>
  <c r="M44" i="33"/>
  <c r="M42" i="33"/>
  <c r="M38" i="33"/>
  <c r="M37" i="33"/>
  <c r="M36" i="33"/>
  <c r="M35" i="33"/>
  <c r="M34" i="33"/>
  <c r="M30" i="33"/>
  <c r="M29" i="33"/>
  <c r="M25" i="33"/>
  <c r="M27" i="33" s="1"/>
  <c r="M21" i="33"/>
  <c r="M18" i="33"/>
  <c r="M17" i="33"/>
  <c r="M16" i="33"/>
  <c r="M15" i="33"/>
  <c r="M12" i="33"/>
  <c r="K13" i="36"/>
  <c r="K88" i="36" s="1"/>
  <c r="E9" i="32" s="1"/>
  <c r="J10" i="33"/>
  <c r="M10" i="33" s="1"/>
  <c r="M69" i="33"/>
  <c r="M78" i="33"/>
  <c r="M60" i="33" l="1"/>
  <c r="M74" i="33"/>
  <c r="L95" i="35"/>
  <c r="E11" i="32" s="1"/>
  <c r="M84" i="33"/>
  <c r="M66" i="33"/>
  <c r="M56" i="33"/>
  <c r="M31" i="33"/>
  <c r="M23" i="33"/>
  <c r="M13" i="33"/>
  <c r="C73" i="36"/>
  <c r="C72" i="36"/>
  <c r="C71" i="36"/>
  <c r="C15" i="36"/>
  <c r="D50" i="35"/>
  <c r="D49" i="35"/>
  <c r="D43" i="35"/>
  <c r="M85" i="33" l="1"/>
  <c r="E7" i="32" s="1"/>
  <c r="I55" i="35"/>
  <c r="G76" i="35"/>
  <c r="I87" i="35"/>
  <c r="G32" i="35"/>
  <c r="G87" i="35"/>
  <c r="I76" i="35"/>
  <c r="I94" i="35"/>
  <c r="I32" i="35"/>
  <c r="K55" i="35" l="1"/>
  <c r="K32" i="35"/>
  <c r="I95" i="35"/>
  <c r="K94" i="35"/>
  <c r="K87" i="35"/>
  <c r="G55" i="35"/>
  <c r="K76" i="35"/>
  <c r="K95" i="35" l="1"/>
  <c r="E29" i="33" l="1"/>
  <c r="E30" i="33"/>
</calcChain>
</file>

<file path=xl/sharedStrings.xml><?xml version="1.0" encoding="utf-8"?>
<sst xmlns="http://schemas.openxmlformats.org/spreadsheetml/2006/main" count="662" uniqueCount="279">
  <si>
    <t>UNIT</t>
  </si>
  <si>
    <t>ITEM NO.</t>
  </si>
  <si>
    <t>DESCRIPTION</t>
  </si>
  <si>
    <t>MISCELLANEOUS</t>
  </si>
  <si>
    <t>BILL OF QUANTITIES</t>
  </si>
  <si>
    <t>AMOUNT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</si>
  <si>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</si>
  <si>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</si>
  <si>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</si>
  <si>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</si>
  <si>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</si>
  <si>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</si>
  <si>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</si>
  <si>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</si>
  <si>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</si>
  <si>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</si>
  <si>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</si>
  <si>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</si>
  <si>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</si>
  <si>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</si>
  <si>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</si>
  <si>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</si>
  <si>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</si>
  <si>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</si>
  <si>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</si>
  <si>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</si>
  <si>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</si>
  <si>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</si>
  <si>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</si>
  <si>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</si>
  <si>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</si>
  <si>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</si>
  <si>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</si>
  <si>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</si>
  <si>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</si>
  <si>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</si>
  <si>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</si>
  <si>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</si>
  <si>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</si>
  <si>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</si>
  <si>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</si>
  <si>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</si>
  <si>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</si>
  <si>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</si>
  <si>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</si>
  <si>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</si>
  <si>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</si>
  <si>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</si>
  <si>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</si>
  <si>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</si>
  <si>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</si>
  <si>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</si>
  <si>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</si>
  <si>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</si>
  <si>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</si>
  <si>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</si>
  <si>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</si>
  <si>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</si>
  <si>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</si>
  <si>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</si>
  <si>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</si>
  <si>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</si>
  <si>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</si>
  <si>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</si>
  <si>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</si>
  <si>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</si>
  <si>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</si>
  <si>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</si>
  <si>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</si>
  <si>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</si>
  <si>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</si>
  <si>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</si>
  <si>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</si>
  <si>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</si>
  <si>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</si>
  <si>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</si>
  <si>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</si>
  <si>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</si>
  <si>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</si>
  <si>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</si>
  <si>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</si>
  <si>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</si>
  <si>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</si>
  <si>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</si>
  <si>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</si>
  <si>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</si>
  <si>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</si>
  <si>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</si>
  <si>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</si>
  <si>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</si>
  <si>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</si>
  <si>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</si>
  <si>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</si>
  <si>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</si>
  <si>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</si>
  <si>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</si>
  <si>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</si>
  <si>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</si>
  <si>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</si>
  <si>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</si>
  <si>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</si>
  <si>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</si>
  <si>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</si>
  <si>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</si>
  <si>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</si>
  <si>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</si>
  <si>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</si>
  <si>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</si>
  <si>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</si>
  <si>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</si>
  <si>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</si>
  <si>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</si>
  <si>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</si>
  <si>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</si>
  <si>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</si>
  <si>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</si>
  <si>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</si>
  <si>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</si>
  <si>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</si>
  <si>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</si>
  <si>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</si>
  <si>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</si>
  <si>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</si>
  <si>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</si>
  <si>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</si>
  <si>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</si>
  <si>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</si>
  <si>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</si>
  <si>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</si>
  <si>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</si>
  <si>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</si>
  <si>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</si>
  <si>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</si>
  <si>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</si>
  <si>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</si>
  <si>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</si>
  <si>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</si>
  <si>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</si>
  <si>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</si>
  <si>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</si>
  <si>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</si>
  <si>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</si>
  <si>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</si>
  <si>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</si>
  <si>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</si>
  <si>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</si>
  <si>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</si>
  <si>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</si>
  <si>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</si>
  <si>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</si>
  <si>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</si>
  <si>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</si>
  <si>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</si>
  <si>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</si>
  <si>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</si>
  <si>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</si>
  <si>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</si>
  <si>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</si>
  <si>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</si>
  <si>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</si>
  <si>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</si>
  <si>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</si>
  <si>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</si>
  <si>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</si>
  <si>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</si>
  <si>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</si>
  <si>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</si>
  <si>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</si>
  <si>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</si>
  <si>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</si>
  <si>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</si>
  <si>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</si>
  <si>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</si>
  <si>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</si>
  <si>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</si>
  <si>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</si>
  <si>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</si>
  <si>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</si>
  <si>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</si>
  <si>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</si>
  <si>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</si>
  <si>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</si>
  <si>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</si>
  <si>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</si>
  <si>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</si>
  <si>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</si>
  <si>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</si>
  <si>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</si>
  <si>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</si>
  <si>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</si>
  <si>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</si>
  <si>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</si>
  <si>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</si>
  <si>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</si>
  <si>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</si>
  <si>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</si>
  <si>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</si>
  <si>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</si>
  <si>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</si>
  <si>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</si>
  <si>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</si>
  <si>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</si>
  <si>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</si>
  <si>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</si>
  <si>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</si>
  <si>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</si>
  <si>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</si>
  <si>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</si>
  <si>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</si>
  <si>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</si>
  <si>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</si>
  <si>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</si>
  <si>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</si>
  <si>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</si>
  <si>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</si>
  <si>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</si>
  <si>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</si>
  <si>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</si>
  <si>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</si>
  <si>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</si>
  <si>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</si>
  <si>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</si>
  <si>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</si>
  <si>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</si>
  <si>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</si>
  <si>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</si>
  <si>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</si>
  <si>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</si>
  <si>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</si>
  <si>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</si>
  <si>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</si>
  <si>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</si>
  <si>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</si>
  <si>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</si>
  <si>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</si>
  <si>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</si>
  <si>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</si>
  <si>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</si>
  <si>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</si>
  <si>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</si>
  <si>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</si>
  <si>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</si>
  <si>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</si>
  <si>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</si>
  <si>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</si>
  <si>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</si>
  <si>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</si>
  <si>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</si>
  <si>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</si>
  <si>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</si>
  <si>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</si>
  <si>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</si>
  <si>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</si>
  <si>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</si>
  <si>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</si>
  <si>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</si>
  <si>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</si>
  <si>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</si>
  <si>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</si>
  <si>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</si>
  <si>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</si>
  <si>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</si>
  <si>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</si>
  <si>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</si>
  <si>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t xml:space="preserve">HVAC </t>
  </si>
  <si>
    <t>Fire Fighting</t>
  </si>
  <si>
    <t>Plumbing</t>
  </si>
  <si>
    <t>Material</t>
  </si>
  <si>
    <t>Labour</t>
  </si>
  <si>
    <t>Total Amount</t>
  </si>
  <si>
    <t>Amount</t>
  </si>
  <si>
    <t>Qty</t>
  </si>
  <si>
    <t>MATERIAL RATE</t>
  </si>
  <si>
    <t>LABOUR RATE</t>
  </si>
  <si>
    <t>Billed Qty</t>
  </si>
  <si>
    <r>
      <rPr>
        <b/>
        <sz val="11"/>
        <rFont val="Arial"/>
        <family val="2"/>
      </rPr>
      <t>SUMMARY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COST</t>
    </r>
  </si>
  <si>
    <t>Variation for Fire Pipe</t>
  </si>
  <si>
    <t>FINAL BILL</t>
  </si>
  <si>
    <t>Variation for Access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</si>
</sst>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  <numFmt numFmtId="169" formatCode="#,##0.0"/>
    <numFmt numFmtId="170" formatCode="#,##0.0;[Red]\-#,##0.0"/>
  </numFmts>
  <fonts count="6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50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6" fontId="27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4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412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0" xfId="33" applyFont="1" applyAlignment="1">
      <alignment vertical="center"/>
    </xf>
    <xf numFmtId="166" fontId="12" fillId="0" borderId="3" xfId="7" applyNumberFormat="1" applyFont="1" applyBorder="1" applyAlignment="1">
      <alignment horizontal="center" vertical="center"/>
    </xf>
    <xf numFmtId="0" fontId="12" fillId="0" borderId="11" xfId="7" applyFont="1" applyBorder="1" applyAlignment="1">
      <alignment vertical="center"/>
    </xf>
    <xf numFmtId="0" fontId="13" fillId="0" borderId="11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5" fillId="0" borderId="7" xfId="34" applyFont="1" applyFill="1" applyBorder="1" applyAlignment="1">
      <alignment horizontal="right" vertical="center"/>
    </xf>
    <xf numFmtId="3" fontId="15" fillId="0" borderId="21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0" fillId="0" borderId="14" xfId="9" applyNumberFormat="1" applyFont="1" applyBorder="1" applyAlignment="1">
      <alignment horizontal="left"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4" fillId="0" borderId="14" xfId="14" applyFont="1" applyBorder="1" applyAlignment="1">
      <alignment horizontal="center" vertical="center"/>
    </xf>
    <xf numFmtId="0" fontId="13" fillId="0" borderId="14" xfId="14" applyFont="1" applyBorder="1" applyAlignment="1">
      <alignment horizontal="right" vertical="center"/>
    </xf>
    <xf numFmtId="38" fontId="13" fillId="0" borderId="14" xfId="1" applyNumberFormat="1" applyFont="1" applyFill="1" applyBorder="1" applyAlignment="1">
      <alignment horizontal="right" vertical="center"/>
    </xf>
    <xf numFmtId="3" fontId="13" fillId="0" borderId="14" xfId="34" applyNumberFormat="1" applyFont="1" applyFill="1" applyBorder="1" applyAlignment="1">
      <alignment horizontal="right" vertical="center"/>
    </xf>
    <xf numFmtId="168" fontId="14" fillId="0" borderId="3" xfId="11" applyFont="1" applyBorder="1" applyAlignment="1">
      <alignment horizontal="center" vertical="center"/>
    </xf>
    <xf numFmtId="0" fontId="14" fillId="0" borderId="11" xfId="7" applyFont="1" applyBorder="1" applyAlignment="1">
      <alignment horizontal="left" vertical="center"/>
    </xf>
    <xf numFmtId="0" fontId="13" fillId="0" borderId="11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168" fontId="14" fillId="0" borderId="3" xfId="11" applyFont="1" applyBorder="1" applyAlignment="1">
      <alignment horizontal="center" vertical="center" wrapText="1"/>
    </xf>
    <xf numFmtId="0" fontId="13" fillId="0" borderId="33" xfId="7" applyFont="1" applyBorder="1" applyAlignment="1">
      <alignment horizontal="left" vertical="center"/>
    </xf>
    <xf numFmtId="0" fontId="14" fillId="0" borderId="23" xfId="14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4" fillId="0" borderId="33" xfId="7" applyFont="1" applyBorder="1" applyAlignment="1">
      <alignment horizontal="left" vertical="center"/>
    </xf>
    <xf numFmtId="0" fontId="13" fillId="0" borderId="23" xfId="14" applyFont="1" applyBorder="1" applyAlignment="1">
      <alignment horizontal="center" vertical="center"/>
    </xf>
    <xf numFmtId="168" fontId="14" fillId="0" borderId="16" xfId="11" applyFont="1" applyBorder="1" applyAlignment="1">
      <alignment horizontal="center" vertical="center" wrapText="1"/>
    </xf>
    <xf numFmtId="0" fontId="13" fillId="0" borderId="35" xfId="14" applyFont="1" applyBorder="1" applyAlignment="1">
      <alignment horizontal="center" vertical="center"/>
    </xf>
    <xf numFmtId="0" fontId="16" fillId="0" borderId="11" xfId="7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3" fontId="13" fillId="0" borderId="15" xfId="34" applyNumberFormat="1" applyFont="1" applyFill="1" applyBorder="1" applyAlignment="1">
      <alignment horizontal="right" vertical="center"/>
    </xf>
    <xf numFmtId="0" fontId="14" fillId="0" borderId="36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19" fillId="0" borderId="14" xfId="7" applyFont="1" applyBorder="1" applyAlignment="1">
      <alignment horizontal="left" vertical="center"/>
    </xf>
    <xf numFmtId="38" fontId="14" fillId="0" borderId="14" xfId="34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0" borderId="14" xfId="9" applyNumberFormat="1" applyFont="1" applyBorder="1" applyAlignment="1">
      <alignment horizontal="left" vertical="center"/>
    </xf>
    <xf numFmtId="168" fontId="13" fillId="0" borderId="3" xfId="11" applyFont="1" applyBorder="1" applyAlignment="1">
      <alignment horizontal="center" vertical="center"/>
    </xf>
    <xf numFmtId="0" fontId="13" fillId="0" borderId="33" xfId="7" applyFont="1" applyBorder="1" applyAlignment="1">
      <alignment vertical="center"/>
    </xf>
    <xf numFmtId="38" fontId="15" fillId="0" borderId="27" xfId="34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4" fillId="0" borderId="20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31" xfId="7" applyFont="1" applyBorder="1" applyAlignment="1">
      <alignment horizontal="left" vertical="center"/>
    </xf>
    <xf numFmtId="3" fontId="14" fillId="0" borderId="14" xfId="14" applyNumberFormat="1" applyFont="1" applyBorder="1" applyAlignment="1">
      <alignment horizontal="right" vertical="center"/>
    </xf>
    <xf numFmtId="3" fontId="14" fillId="0" borderId="14" xfId="34" applyNumberFormat="1" applyFont="1" applyFill="1" applyBorder="1" applyAlignment="1">
      <alignment horizontal="right" vertical="center"/>
    </xf>
    <xf numFmtId="0" fontId="13" fillId="0" borderId="38" xfId="14" applyFont="1" applyBorder="1" applyAlignment="1">
      <alignment horizontal="right" vertical="center"/>
    </xf>
    <xf numFmtId="0" fontId="13" fillId="0" borderId="14" xfId="14" applyFont="1" applyBorder="1" applyAlignment="1">
      <alignment horizontal="center" vertical="center"/>
    </xf>
    <xf numFmtId="168" fontId="13" fillId="0" borderId="3" xfId="11" applyFont="1" applyBorder="1" applyAlignment="1">
      <alignment horizontal="center" vertical="center" wrapText="1"/>
    </xf>
    <xf numFmtId="0" fontId="14" fillId="0" borderId="17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0" fontId="14" fillId="0" borderId="35" xfId="14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168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23" xfId="14" applyNumberFormat="1" applyFont="1" applyBorder="1" applyAlignment="1">
      <alignment horizontal="center" vertical="center"/>
    </xf>
    <xf numFmtId="166" fontId="12" fillId="0" borderId="41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4" fillId="2" borderId="11" xfId="7" quotePrefix="1" applyFont="1" applyFill="1" applyBorder="1" applyAlignment="1">
      <alignment horizontal="left" vertical="center"/>
    </xf>
    <xf numFmtId="0" fontId="14" fillId="2" borderId="11" xfId="7" applyFont="1" applyFill="1" applyBorder="1" applyAlignment="1">
      <alignment vertical="center"/>
    </xf>
    <xf numFmtId="0" fontId="13" fillId="2" borderId="11" xfId="7" applyFont="1" applyFill="1" applyBorder="1" applyAlignment="1">
      <alignment vertical="center"/>
    </xf>
    <xf numFmtId="168" fontId="16" fillId="0" borderId="3" xfId="11" applyFont="1" applyBorder="1" applyAlignment="1">
      <alignment horizontal="center" vertical="center"/>
    </xf>
    <xf numFmtId="0" fontId="16" fillId="0" borderId="11" xfId="7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14" xfId="14" quotePrefix="1" applyFont="1" applyBorder="1" applyAlignment="1">
      <alignment horizontal="center" vertical="center"/>
    </xf>
    <xf numFmtId="38" fontId="13" fillId="0" borderId="15" xfId="1" applyNumberFormat="1" applyFont="1" applyFill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0" xfId="7" applyFont="1" applyBorder="1" applyAlignment="1">
      <alignment horizontal="right" vertical="center"/>
    </xf>
    <xf numFmtId="0" fontId="14" fillId="2" borderId="6" xfId="14" applyFont="1" applyFill="1" applyBorder="1" applyAlignment="1">
      <alignment horizontal="center" vertical="center"/>
    </xf>
    <xf numFmtId="0" fontId="13" fillId="2" borderId="6" xfId="14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2" borderId="17" xfId="7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2" borderId="43" xfId="14" applyFont="1" applyFill="1" applyBorder="1" applyAlignment="1">
      <alignment horizontal="center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166" fontId="13" fillId="0" borderId="23" xfId="14" applyNumberFormat="1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5" fillId="0" borderId="28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6" fillId="2" borderId="0" xfId="40" applyFont="1" applyFill="1" applyAlignment="1">
      <alignment horizontal="center" vertical="center"/>
    </xf>
    <xf numFmtId="0" fontId="26" fillId="2" borderId="0" xfId="40" applyFont="1" applyFill="1" applyAlignment="1">
      <alignment vertical="center"/>
    </xf>
    <xf numFmtId="38" fontId="26" fillId="2" borderId="0" xfId="1" applyNumberFormat="1" applyFont="1" applyFill="1" applyAlignment="1">
      <alignment vertical="center"/>
    </xf>
    <xf numFmtId="0" fontId="18" fillId="0" borderId="0" xfId="40" applyFont="1" applyAlignment="1">
      <alignment vertical="center"/>
    </xf>
    <xf numFmtId="166" fontId="28" fillId="0" borderId="54" xfId="41" applyFont="1" applyBorder="1" applyAlignment="1">
      <alignment horizontal="center" vertical="center"/>
    </xf>
    <xf numFmtId="166" fontId="28" fillId="0" borderId="57" xfId="41" applyFont="1" applyBorder="1" applyAlignment="1">
      <alignment horizontal="left" vertical="center"/>
    </xf>
    <xf numFmtId="0" fontId="18" fillId="0" borderId="58" xfId="40" applyFont="1" applyBorder="1" applyAlignment="1">
      <alignment horizontal="center" vertical="center"/>
    </xf>
    <xf numFmtId="0" fontId="18" fillId="0" borderId="58" xfId="40" applyFont="1" applyBorder="1" applyAlignment="1">
      <alignment vertical="center"/>
    </xf>
    <xf numFmtId="38" fontId="18" fillId="0" borderId="58" xfId="1" applyNumberFormat="1" applyFont="1" applyFill="1" applyBorder="1" applyAlignment="1">
      <alignment horizontal="right" vertical="center"/>
    </xf>
    <xf numFmtId="38" fontId="18" fillId="0" borderId="47" xfId="1" applyNumberFormat="1" applyFont="1" applyFill="1" applyBorder="1" applyAlignment="1">
      <alignment horizontal="right" vertical="center"/>
    </xf>
    <xf numFmtId="0" fontId="16" fillId="0" borderId="54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6" fontId="13" fillId="0" borderId="46" xfId="41" applyFont="1" applyBorder="1" applyAlignment="1">
      <alignment horizontal="center" vertical="center"/>
    </xf>
    <xf numFmtId="0" fontId="14" fillId="0" borderId="59" xfId="8" applyFont="1" applyBorder="1" applyAlignment="1">
      <alignment horizontal="left" vertical="center"/>
    </xf>
    <xf numFmtId="0" fontId="13" fillId="0" borderId="56" xfId="42" applyFont="1" applyBorder="1" applyAlignment="1">
      <alignment horizontal="center" vertical="center"/>
    </xf>
    <xf numFmtId="1" fontId="13" fillId="0" borderId="60" xfId="42" applyNumberFormat="1" applyFont="1" applyBorder="1" applyAlignment="1">
      <alignment horizontal="center" vertical="center"/>
    </xf>
    <xf numFmtId="0" fontId="13" fillId="0" borderId="57" xfId="42" applyFont="1" applyBorder="1" applyAlignment="1">
      <alignment horizontal="center" vertical="center"/>
    </xf>
    <xf numFmtId="3" fontId="13" fillId="0" borderId="54" xfId="1" applyNumberFormat="1" applyFont="1" applyFill="1" applyBorder="1" applyAlignment="1">
      <alignment horizontal="right" vertical="center"/>
    </xf>
    <xf numFmtId="3" fontId="13" fillId="0" borderId="55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55" xfId="1" applyNumberFormat="1" applyFont="1" applyFill="1" applyBorder="1" applyAlignment="1">
      <alignment horizontal="right" vertical="center"/>
    </xf>
    <xf numFmtId="0" fontId="13" fillId="0" borderId="59" xfId="8" applyFont="1" applyBorder="1" applyAlignment="1">
      <alignment horizontal="left" vertical="center"/>
    </xf>
    <xf numFmtId="166" fontId="16" fillId="0" borderId="54" xfId="41" applyFont="1" applyBorder="1" applyAlignment="1">
      <alignment horizontal="center" vertical="center"/>
    </xf>
    <xf numFmtId="0" fontId="16" fillId="0" borderId="57" xfId="8" applyFont="1" applyBorder="1" applyAlignment="1">
      <alignment horizontal="left" vertical="center"/>
    </xf>
    <xf numFmtId="0" fontId="13" fillId="0" borderId="58" xfId="40" applyFont="1" applyBorder="1" applyAlignment="1">
      <alignment horizontal="center" vertical="center"/>
    </xf>
    <xf numFmtId="0" fontId="13" fillId="0" borderId="58" xfId="40" applyFont="1" applyBorder="1" applyAlignment="1">
      <alignment vertical="center"/>
    </xf>
    <xf numFmtId="38" fontId="13" fillId="0" borderId="58" xfId="1" applyNumberFormat="1" applyFont="1" applyFill="1" applyBorder="1" applyAlignment="1">
      <alignment horizontal="right" vertical="center"/>
    </xf>
    <xf numFmtId="38" fontId="13" fillId="0" borderId="47" xfId="1" applyNumberFormat="1" applyFont="1" applyFill="1" applyBorder="1" applyAlignment="1">
      <alignment horizontal="right" vertical="center"/>
    </xf>
    <xf numFmtId="0" fontId="29" fillId="0" borderId="56" xfId="42" applyFont="1" applyBorder="1" applyAlignment="1">
      <alignment horizontal="center" vertical="center"/>
    </xf>
    <xf numFmtId="1" fontId="29" fillId="0" borderId="60" xfId="42" applyNumberFormat="1" applyFont="1" applyBorder="1" applyAlignment="1">
      <alignment horizontal="center" vertical="center"/>
    </xf>
    <xf numFmtId="0" fontId="29" fillId="0" borderId="57" xfId="42" applyFont="1" applyBorder="1" applyAlignment="1">
      <alignment horizontal="center" vertical="center"/>
    </xf>
    <xf numFmtId="0" fontId="30" fillId="0" borderId="0" xfId="40" applyFont="1" applyAlignment="1">
      <alignment vertical="center"/>
    </xf>
    <xf numFmtId="0" fontId="13" fillId="0" borderId="58" xfId="40" applyFont="1" applyBorder="1" applyAlignment="1">
      <alignment horizontal="left" vertical="center"/>
    </xf>
    <xf numFmtId="0" fontId="13" fillId="0" borderId="58" xfId="40" applyFont="1" applyBorder="1" applyAlignment="1">
      <alignment horizontal="right" vertical="center"/>
    </xf>
    <xf numFmtId="3" fontId="13" fillId="0" borderId="47" xfId="40" applyNumberFormat="1" applyFont="1" applyBorder="1" applyAlignment="1">
      <alignment horizontal="right" vertical="center"/>
    </xf>
    <xf numFmtId="38" fontId="13" fillId="0" borderId="56" xfId="43" applyFont="1" applyFill="1" applyBorder="1" applyAlignment="1">
      <alignment vertical="center"/>
    </xf>
    <xf numFmtId="38" fontId="13" fillId="0" borderId="56" xfId="43" applyFont="1" applyFill="1" applyBorder="1" applyAlignment="1">
      <alignment horizontal="center" vertical="center"/>
    </xf>
    <xf numFmtId="169" fontId="13" fillId="0" borderId="46" xfId="8" applyNumberFormat="1" applyFont="1" applyBorder="1" applyAlignment="1">
      <alignment horizontal="center" vertical="center"/>
    </xf>
    <xf numFmtId="0" fontId="13" fillId="0" borderId="60" xfId="42" applyFont="1" applyBorder="1" applyAlignment="1">
      <alignment horizontal="center" vertical="center"/>
    </xf>
    <xf numFmtId="166" fontId="13" fillId="0" borderId="46" xfId="15" applyNumberFormat="1" applyFont="1" applyBorder="1">
      <alignment horizontal="center" vertical="center" wrapText="1"/>
    </xf>
    <xf numFmtId="3" fontId="14" fillId="0" borderId="60" xfId="40" applyNumberFormat="1" applyFont="1" applyBorder="1" applyAlignment="1">
      <alignment horizontal="center" vertical="center"/>
    </xf>
    <xf numFmtId="3" fontId="13" fillId="0" borderId="57" xfId="42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7" xfId="1" applyNumberFormat="1" applyFont="1" applyFill="1" applyBorder="1" applyAlignment="1">
      <alignment vertical="center"/>
    </xf>
    <xf numFmtId="38" fontId="16" fillId="0" borderId="51" xfId="1" applyNumberFormat="1" applyFont="1" applyFill="1" applyBorder="1" applyAlignment="1">
      <alignment vertical="center"/>
    </xf>
    <xf numFmtId="0" fontId="31" fillId="0" borderId="58" xfId="40" applyFont="1" applyBorder="1" applyAlignment="1">
      <alignment horizontal="center" vertical="center"/>
    </xf>
    <xf numFmtId="0" fontId="31" fillId="0" borderId="58" xfId="40" applyFont="1" applyBorder="1" applyAlignment="1">
      <alignment vertical="center"/>
    </xf>
    <xf numFmtId="0" fontId="31" fillId="0" borderId="58" xfId="40" applyFont="1" applyBorder="1" applyAlignment="1">
      <alignment horizontal="right" vertical="center"/>
    </xf>
    <xf numFmtId="38" fontId="31" fillId="0" borderId="58" xfId="1" applyNumberFormat="1" applyFont="1" applyFill="1" applyBorder="1" applyAlignment="1">
      <alignment horizontal="right" vertical="center"/>
    </xf>
    <xf numFmtId="38" fontId="32" fillId="0" borderId="61" xfId="1" applyNumberFormat="1" applyFont="1" applyFill="1" applyBorder="1" applyAlignment="1">
      <alignment horizontal="right" vertical="center"/>
    </xf>
    <xf numFmtId="0" fontId="33" fillId="0" borderId="0" xfId="40" applyFont="1" applyAlignment="1">
      <alignment vertical="center"/>
    </xf>
    <xf numFmtId="169" fontId="16" fillId="0" borderId="54" xfId="8" applyNumberFormat="1" applyFont="1" applyBorder="1" applyAlignment="1">
      <alignment horizontal="center" vertical="center"/>
    </xf>
    <xf numFmtId="4" fontId="16" fillId="0" borderId="57" xfId="8" applyNumberFormat="1" applyFont="1" applyBorder="1" applyAlignment="1">
      <alignment horizontal="left" vertical="center"/>
    </xf>
    <xf numFmtId="0" fontId="29" fillId="0" borderId="58" xfId="40" applyFont="1" applyBorder="1" applyAlignment="1">
      <alignment horizontal="center" vertical="center"/>
    </xf>
    <xf numFmtId="0" fontId="29" fillId="0" borderId="58" xfId="40" applyFont="1" applyBorder="1" applyAlignment="1">
      <alignment vertical="center"/>
    </xf>
    <xf numFmtId="38" fontId="29" fillId="0" borderId="58" xfId="1" applyNumberFormat="1" applyFont="1" applyFill="1" applyBorder="1" applyAlignment="1">
      <alignment horizontal="right" vertical="center"/>
    </xf>
    <xf numFmtId="38" fontId="29" fillId="0" borderId="47" xfId="1" applyNumberFormat="1" applyFont="1" applyFill="1" applyBorder="1" applyAlignment="1">
      <alignment horizontal="right" vertical="center"/>
    </xf>
    <xf numFmtId="0" fontId="34" fillId="0" borderId="0" xfId="40" applyFont="1" applyAlignment="1">
      <alignment vertical="center"/>
    </xf>
    <xf numFmtId="0" fontId="29" fillId="0" borderId="60" xfId="42" applyFont="1" applyBorder="1" applyAlignment="1">
      <alignment horizontal="center" vertical="center"/>
    </xf>
    <xf numFmtId="0" fontId="29" fillId="0" borderId="58" xfId="8" applyFont="1" applyBorder="1" applyAlignment="1">
      <alignment vertical="center"/>
    </xf>
    <xf numFmtId="0" fontId="29" fillId="0" borderId="58" xfId="42" applyFont="1" applyBorder="1" applyAlignment="1">
      <alignment horizontal="center" vertical="center"/>
    </xf>
    <xf numFmtId="4" fontId="16" fillId="0" borderId="54" xfId="8" applyNumberFormat="1" applyFont="1" applyBorder="1" applyAlignment="1">
      <alignment horizontal="center" vertical="center"/>
    </xf>
    <xf numFmtId="0" fontId="16" fillId="4" borderId="57" xfId="8" applyFont="1" applyFill="1" applyBorder="1" applyAlignment="1">
      <alignment horizontal="left" vertical="center"/>
    </xf>
    <xf numFmtId="0" fontId="29" fillId="0" borderId="58" xfId="40" applyFont="1" applyBorder="1" applyAlignment="1">
      <alignment horizontal="right" vertical="center"/>
    </xf>
    <xf numFmtId="38" fontId="29" fillId="0" borderId="47" xfId="1" applyNumberFormat="1" applyFont="1" applyFill="1" applyBorder="1" applyAlignment="1">
      <alignment vertical="center"/>
    </xf>
    <xf numFmtId="169" fontId="35" fillId="0" borderId="54" xfId="8" applyNumberFormat="1" applyFont="1" applyBorder="1" applyAlignment="1">
      <alignment horizontal="center" vertical="center"/>
    </xf>
    <xf numFmtId="4" fontId="35" fillId="0" borderId="57" xfId="8" applyNumberFormat="1" applyFont="1" applyBorder="1" applyAlignment="1">
      <alignment horizontal="left" vertical="center"/>
    </xf>
    <xf numFmtId="4" fontId="36" fillId="0" borderId="58" xfId="8" applyNumberFormat="1" applyFont="1" applyBorder="1" applyAlignment="1">
      <alignment vertical="center"/>
    </xf>
    <xf numFmtId="38" fontId="36" fillId="0" borderId="58" xfId="1" applyNumberFormat="1" applyFont="1" applyFill="1" applyBorder="1" applyAlignment="1">
      <alignment vertical="center"/>
    </xf>
    <xf numFmtId="38" fontId="36" fillId="0" borderId="47" xfId="1" applyNumberFormat="1" applyFont="1" applyFill="1" applyBorder="1" applyAlignment="1">
      <alignment vertical="center"/>
    </xf>
    <xf numFmtId="0" fontId="37" fillId="0" borderId="0" xfId="40" applyFont="1" applyAlignment="1">
      <alignment horizontal="left" vertical="center"/>
    </xf>
    <xf numFmtId="166" fontId="38" fillId="0" borderId="46" xfId="41" applyFont="1" applyBorder="1" applyAlignment="1">
      <alignment horizontal="center" vertical="center"/>
    </xf>
    <xf numFmtId="0" fontId="39" fillId="0" borderId="56" xfId="42" applyFont="1" applyBorder="1" applyAlignment="1">
      <alignment horizontal="center" vertical="center"/>
    </xf>
    <xf numFmtId="0" fontId="39" fillId="0" borderId="60" xfId="42" applyFont="1" applyBorder="1" applyAlignment="1">
      <alignment horizontal="center" vertical="center"/>
    </xf>
    <xf numFmtId="0" fontId="37" fillId="0" borderId="0" xfId="40" applyFont="1" applyAlignment="1">
      <alignment vertical="center"/>
    </xf>
    <xf numFmtId="0" fontId="40" fillId="0" borderId="0" xfId="40" applyFont="1" applyAlignment="1">
      <alignment vertical="center"/>
    </xf>
    <xf numFmtId="169" fontId="29" fillId="0" borderId="46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57" xfId="43" applyFont="1" applyFill="1" applyBorder="1" applyAlignment="1">
      <alignment vertical="center"/>
    </xf>
    <xf numFmtId="4" fontId="13" fillId="0" borderId="58" xfId="40" applyNumberFormat="1" applyFont="1" applyBorder="1" applyAlignment="1">
      <alignment horizontal="left" vertical="center"/>
    </xf>
    <xf numFmtId="4" fontId="13" fillId="0" borderId="58" xfId="40" applyNumberFormat="1" applyFont="1" applyBorder="1" applyAlignment="1">
      <alignment horizontal="center" vertical="center"/>
    </xf>
    <xf numFmtId="4" fontId="13" fillId="0" borderId="58" xfId="40" applyNumberFormat="1" applyFont="1" applyBorder="1" applyAlignment="1">
      <alignment vertical="center"/>
    </xf>
    <xf numFmtId="4" fontId="13" fillId="0" borderId="54" xfId="8" applyNumberFormat="1" applyFont="1" applyBorder="1" applyAlignment="1">
      <alignment horizontal="center" vertical="center"/>
    </xf>
    <xf numFmtId="38" fontId="13" fillId="0" borderId="58" xfId="43" applyFont="1" applyFill="1" applyBorder="1" applyAlignment="1">
      <alignment vertical="center"/>
    </xf>
    <xf numFmtId="3" fontId="13" fillId="0" borderId="60" xfId="42" applyNumberFormat="1" applyFont="1" applyBorder="1" applyAlignment="1">
      <alignment horizontal="center" vertical="center"/>
    </xf>
    <xf numFmtId="4" fontId="13" fillId="0" borderId="60" xfId="42" applyNumberFormat="1" applyFont="1" applyBorder="1" applyAlignment="1">
      <alignment horizontal="center" vertical="center"/>
    </xf>
    <xf numFmtId="169" fontId="13" fillId="0" borderId="54" xfId="8" applyNumberFormat="1" applyFont="1" applyBorder="1" applyAlignment="1">
      <alignment horizontal="center" vertical="center"/>
    </xf>
    <xf numFmtId="168" fontId="12" fillId="0" borderId="62" xfId="1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41" fillId="0" borderId="14" xfId="8" applyFont="1" applyBorder="1" applyAlignment="1">
      <alignment horizontal="left" vertical="center"/>
    </xf>
    <xf numFmtId="0" fontId="41" fillId="0" borderId="14" xfId="42" applyFont="1" applyBorder="1" applyAlignment="1">
      <alignment horizontal="center" vertical="center"/>
    </xf>
    <xf numFmtId="0" fontId="13" fillId="0" borderId="14" xfId="42" applyFont="1" applyBorder="1" applyAlignment="1">
      <alignment horizontal="center" vertical="center"/>
    </xf>
    <xf numFmtId="38" fontId="13" fillId="0" borderId="63" xfId="1" applyNumberFormat="1" applyFont="1" applyFill="1" applyBorder="1" applyAlignment="1">
      <alignment horizontal="right" vertical="center"/>
    </xf>
    <xf numFmtId="168" fontId="13" fillId="0" borderId="62" xfId="11" applyFont="1" applyBorder="1" applyAlignment="1">
      <alignment horizontal="center" vertical="center" wrapText="1"/>
    </xf>
    <xf numFmtId="0" fontId="13" fillId="0" borderId="23" xfId="42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/>
    </xf>
    <xf numFmtId="0" fontId="13" fillId="0" borderId="33" xfId="8" applyFont="1" applyBorder="1" applyAlignment="1">
      <alignment horizontal="left" vertical="center"/>
    </xf>
    <xf numFmtId="0" fontId="13" fillId="0" borderId="58" xfId="42" applyFont="1" applyBorder="1" applyAlignment="1">
      <alignment horizontal="center" vertical="center"/>
    </xf>
    <xf numFmtId="0" fontId="13" fillId="0" borderId="55" xfId="42" applyFont="1" applyBorder="1" applyAlignment="1">
      <alignment horizontal="center" vertical="center"/>
    </xf>
    <xf numFmtId="166" fontId="28" fillId="0" borderId="49" xfId="41" applyFont="1" applyBorder="1" applyAlignment="1">
      <alignment horizontal="center" vertical="center"/>
    </xf>
    <xf numFmtId="166" fontId="28" fillId="0" borderId="52" xfId="41" applyFont="1" applyBorder="1" applyAlignment="1">
      <alignment horizontal="left" vertical="center"/>
    </xf>
    <xf numFmtId="0" fontId="18" fillId="0" borderId="1" xfId="40" applyFont="1" applyBorder="1" applyAlignment="1">
      <alignment horizontal="center" vertical="center"/>
    </xf>
    <xf numFmtId="0" fontId="18" fillId="0" borderId="1" xfId="40" applyFont="1" applyBorder="1" applyAlignment="1">
      <alignment vertical="center"/>
    </xf>
    <xf numFmtId="38" fontId="18" fillId="0" borderId="1" xfId="1" applyNumberFormat="1" applyFont="1" applyFill="1" applyBorder="1" applyAlignment="1">
      <alignment horizontal="right" vertical="center"/>
    </xf>
    <xf numFmtId="168" fontId="13" fillId="0" borderId="64" xfId="11" applyFont="1" applyBorder="1" applyAlignment="1" applyProtection="1">
      <alignment horizontal="center" vertical="center"/>
      <protection locked="0"/>
    </xf>
    <xf numFmtId="0" fontId="13" fillId="0" borderId="57" xfId="8" applyFont="1" applyBorder="1" applyAlignment="1">
      <alignment vertical="center"/>
    </xf>
    <xf numFmtId="0" fontId="13" fillId="0" borderId="56" xfId="8" applyFont="1" applyBorder="1" applyAlignment="1">
      <alignment vertical="center"/>
    </xf>
    <xf numFmtId="38" fontId="16" fillId="0" borderId="68" xfId="1" applyNumberFormat="1" applyFont="1" applyFill="1" applyBorder="1" applyAlignment="1">
      <alignment vertical="center"/>
    </xf>
    <xf numFmtId="38" fontId="16" fillId="0" borderId="69" xfId="1" applyNumberFormat="1" applyFont="1" applyFill="1" applyBorder="1" applyAlignment="1">
      <alignment vertical="center"/>
    </xf>
    <xf numFmtId="0" fontId="42" fillId="0" borderId="0" xfId="40" applyFont="1" applyAlignment="1">
      <alignment horizontal="center" vertical="center"/>
    </xf>
    <xf numFmtId="0" fontId="42" fillId="0" borderId="0" xfId="40" applyFont="1" applyAlignment="1">
      <alignment vertical="center"/>
    </xf>
    <xf numFmtId="0" fontId="42" fillId="0" borderId="0" xfId="40" applyFont="1" applyAlignment="1">
      <alignment horizontal="centerContinuous" vertical="center"/>
    </xf>
    <xf numFmtId="38" fontId="42" fillId="0" borderId="0" xfId="1" applyNumberFormat="1" applyFont="1" applyAlignment="1">
      <alignment horizontal="right" vertical="center"/>
    </xf>
    <xf numFmtId="38" fontId="42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2" fillId="0" borderId="14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70" xfId="1" applyNumberFormat="1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vertical="center"/>
    </xf>
    <xf numFmtId="0" fontId="15" fillId="0" borderId="18" xfId="8" applyFont="1" applyBorder="1" applyAlignment="1">
      <alignment vertical="center"/>
    </xf>
    <xf numFmtId="0" fontId="12" fillId="0" borderId="11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38" fontId="43" fillId="0" borderId="14" xfId="1" applyNumberFormat="1" applyFont="1" applyFill="1" applyBorder="1" applyAlignment="1">
      <alignment horizontal="right" vertical="center"/>
    </xf>
    <xf numFmtId="38" fontId="43" fillId="0" borderId="18" xfId="1" applyNumberFormat="1" applyFont="1" applyFill="1" applyBorder="1" applyAlignment="1">
      <alignment horizontal="right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4" xfId="8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168" fontId="16" fillId="0" borderId="3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38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right" vertical="center"/>
    </xf>
    <xf numFmtId="38" fontId="13" fillId="0" borderId="6" xfId="0" applyNumberFormat="1" applyFont="1" applyBorder="1" applyAlignment="1">
      <alignment horizontal="center" vertical="center"/>
    </xf>
    <xf numFmtId="38" fontId="13" fillId="0" borderId="6" xfId="1" applyNumberFormat="1" applyFont="1" applyFill="1" applyBorder="1" applyAlignment="1">
      <alignment horizontal="center" vertical="center"/>
    </xf>
    <xf numFmtId="0" fontId="16" fillId="0" borderId="11" xfId="8" applyFont="1" applyBorder="1" applyAlignment="1">
      <alignment horizontal="left" vertical="center"/>
    </xf>
    <xf numFmtId="3" fontId="16" fillId="0" borderId="14" xfId="14" applyNumberFormat="1" applyFont="1" applyBorder="1" applyAlignment="1">
      <alignment horizontal="center" vertical="center"/>
    </xf>
    <xf numFmtId="0" fontId="16" fillId="0" borderId="14" xfId="14" applyFont="1" applyBorder="1" applyAlignment="1">
      <alignment horizontal="center" vertical="center"/>
    </xf>
    <xf numFmtId="38" fontId="16" fillId="0" borderId="14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6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38" fontId="3" fillId="0" borderId="14" xfId="1" applyNumberFormat="1" applyFont="1" applyBorder="1" applyAlignment="1">
      <alignment vertical="center"/>
    </xf>
    <xf numFmtId="38" fontId="3" fillId="0" borderId="18" xfId="1" applyNumberFormat="1" applyFont="1" applyBorder="1" applyAlignment="1">
      <alignment vertical="center"/>
    </xf>
    <xf numFmtId="0" fontId="43" fillId="0" borderId="14" xfId="0" quotePrefix="1" applyFont="1" applyBorder="1" applyAlignment="1">
      <alignment horizontal="center" vertical="center"/>
    </xf>
    <xf numFmtId="0" fontId="43" fillId="0" borderId="14" xfId="0" applyFont="1" applyBorder="1" applyAlignment="1">
      <alignment horizontal="centerContinuous" vertical="center"/>
    </xf>
    <xf numFmtId="0" fontId="16" fillId="0" borderId="11" xfId="0" applyFont="1" applyBorder="1" applyAlignment="1">
      <alignment vertical="center"/>
    </xf>
    <xf numFmtId="38" fontId="16" fillId="0" borderId="14" xfId="1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38" fontId="15" fillId="0" borderId="14" xfId="1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168" fontId="13" fillId="0" borderId="16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38" fontId="15" fillId="0" borderId="12" xfId="1" applyNumberFormat="1" applyFont="1" applyBorder="1" applyAlignment="1">
      <alignment vertical="center"/>
    </xf>
    <xf numFmtId="0" fontId="15" fillId="0" borderId="12" xfId="8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Continuous" vertical="center"/>
    </xf>
    <xf numFmtId="38" fontId="43" fillId="0" borderId="0" xfId="1" applyNumberFormat="1" applyFont="1" applyBorder="1" applyAlignment="1">
      <alignment horizontal="right" vertical="center"/>
    </xf>
    <xf numFmtId="38" fontId="43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0" fontId="46" fillId="0" borderId="71" xfId="44" applyFont="1" applyBorder="1" applyAlignment="1">
      <alignment horizontal="left" wrapText="1"/>
    </xf>
    <xf numFmtId="1" fontId="46" fillId="0" borderId="71" xfId="44" applyNumberFormat="1" applyFont="1" applyBorder="1" applyAlignment="1">
      <alignment horizontal="center" vertical="center" shrinkToFit="1"/>
    </xf>
    <xf numFmtId="167" fontId="46" fillId="0" borderId="71" xfId="45" applyNumberFormat="1" applyFont="1" applyFill="1" applyBorder="1" applyAlignment="1">
      <alignment horizontal="left" wrapText="1"/>
    </xf>
    <xf numFmtId="167" fontId="46" fillId="0" borderId="71" xfId="45" applyNumberFormat="1" applyFont="1" applyFill="1" applyBorder="1" applyAlignment="1">
      <alignment horizontal="left" vertical="center" wrapText="1"/>
    </xf>
    <xf numFmtId="167" fontId="50" fillId="0" borderId="0" xfId="45" applyNumberFormat="1" applyFont="1" applyFill="1" applyBorder="1" applyAlignment="1">
      <alignment horizontal="right" vertical="center"/>
    </xf>
    <xf numFmtId="167" fontId="50" fillId="0" borderId="0" xfId="45" applyNumberFormat="1" applyFont="1" applyFill="1" applyBorder="1" applyAlignment="1">
      <alignment horizontal="right" vertical="center" wrapText="1"/>
    </xf>
    <xf numFmtId="0" fontId="46" fillId="0" borderId="73" xfId="44" applyFont="1" applyBorder="1" applyAlignment="1">
      <alignment horizontal="left" wrapText="1"/>
    </xf>
    <xf numFmtId="0" fontId="46" fillId="0" borderId="74" xfId="44" applyFont="1" applyBorder="1" applyAlignment="1">
      <alignment horizontal="left" wrapText="1"/>
    </xf>
    <xf numFmtId="167" fontId="46" fillId="0" borderId="73" xfId="45" applyNumberFormat="1" applyFont="1" applyFill="1" applyBorder="1" applyAlignment="1">
      <alignment horizontal="left" wrapText="1"/>
    </xf>
    <xf numFmtId="0" fontId="4" fillId="0" borderId="72" xfId="44" applyFont="1" applyBorder="1" applyAlignment="1">
      <alignment vertical="center" wrapText="1"/>
    </xf>
    <xf numFmtId="0" fontId="46" fillId="0" borderId="72" xfId="44" applyFont="1" applyBorder="1" applyAlignment="1">
      <alignment horizontal="left" wrapText="1"/>
    </xf>
    <xf numFmtId="0" fontId="4" fillId="0" borderId="0" xfId="44" applyFont="1" applyAlignment="1">
      <alignment horizontal="left" vertical="center" wrapText="1"/>
    </xf>
    <xf numFmtId="3" fontId="4" fillId="0" borderId="72" xfId="44" applyNumberFormat="1" applyFont="1" applyBorder="1" applyAlignment="1">
      <alignment vertical="center" wrapText="1"/>
    </xf>
    <xf numFmtId="38" fontId="4" fillId="0" borderId="72" xfId="44" applyNumberFormat="1" applyFont="1" applyBorder="1" applyAlignment="1">
      <alignment vertical="center" wrapText="1"/>
    </xf>
    <xf numFmtId="0" fontId="53" fillId="0" borderId="0" xfId="0" applyFont="1" applyAlignment="1">
      <alignment vertical="center"/>
    </xf>
    <xf numFmtId="38" fontId="15" fillId="0" borderId="7" xfId="8" applyNumberFormat="1" applyFont="1" applyBorder="1" applyAlignment="1">
      <alignment vertical="center"/>
    </xf>
    <xf numFmtId="164" fontId="15" fillId="0" borderId="7" xfId="8" applyNumberFormat="1" applyFont="1" applyBorder="1" applyAlignment="1">
      <alignment vertical="center"/>
    </xf>
    <xf numFmtId="167" fontId="46" fillId="0" borderId="0" xfId="45" applyNumberFormat="1" applyFont="1" applyFill="1" applyBorder="1" applyAlignment="1">
      <alignment horizontal="left" wrapText="1"/>
    </xf>
    <xf numFmtId="167" fontId="46" fillId="0" borderId="0" xfId="45" applyNumberFormat="1" applyFont="1" applyFill="1" applyBorder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167" fontId="49" fillId="0" borderId="0" xfId="45" applyNumberFormat="1" applyFont="1" applyFill="1" applyBorder="1" applyAlignment="1">
      <alignment horizontal="center" vertical="center" wrapText="1"/>
    </xf>
    <xf numFmtId="167" fontId="47" fillId="0" borderId="0" xfId="45" applyNumberFormat="1" applyFont="1" applyFill="1" applyBorder="1" applyAlignment="1">
      <alignment horizontal="left" vertical="center" wrapText="1"/>
    </xf>
    <xf numFmtId="10" fontId="8" fillId="0" borderId="0" xfId="48" applyNumberFormat="1" applyFont="1" applyAlignment="1">
      <alignment vertical="center"/>
    </xf>
    <xf numFmtId="0" fontId="56" fillId="0" borderId="0" xfId="49" applyFont="1" applyAlignment="1">
      <alignment vertical="center"/>
    </xf>
    <xf numFmtId="0" fontId="9" fillId="0" borderId="0" xfId="0" applyFont="1" applyAlignment="1">
      <alignment horizontal="centerContinuous" vertical="center"/>
    </xf>
    <xf numFmtId="168" fontId="24" fillId="0" borderId="75" xfId="9" quotePrefix="1" applyNumberFormat="1" applyFont="1" applyBorder="1" applyAlignment="1">
      <alignment horizontal="center" vertical="center"/>
    </xf>
    <xf numFmtId="0" fontId="24" fillId="0" borderId="20" xfId="9" applyNumberFormat="1" applyFont="1" applyBorder="1" applyAlignment="1">
      <alignment horizontal="left" vertical="center"/>
    </xf>
    <xf numFmtId="0" fontId="20" fillId="0" borderId="18" xfId="9" applyNumberFormat="1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18" fillId="7" borderId="60" xfId="15" applyFont="1" applyFill="1" applyBorder="1">
      <alignment horizontal="center" vertical="center" wrapText="1"/>
    </xf>
    <xf numFmtId="40" fontId="13" fillId="0" borderId="3" xfId="1" applyFont="1" applyBorder="1" applyAlignment="1">
      <alignment horizontal="right" vertical="center"/>
    </xf>
    <xf numFmtId="38" fontId="15" fillId="0" borderId="76" xfId="1" applyNumberFormat="1" applyFont="1" applyBorder="1" applyAlignment="1">
      <alignment vertical="center"/>
    </xf>
    <xf numFmtId="0" fontId="57" fillId="5" borderId="60" xfId="44" applyFont="1" applyFill="1" applyBorder="1" applyAlignment="1">
      <alignment horizontal="center" vertical="center" wrapText="1"/>
    </xf>
    <xf numFmtId="0" fontId="58" fillId="5" borderId="60" xfId="44" applyFont="1" applyFill="1" applyBorder="1" applyAlignment="1">
      <alignment horizontal="center" vertical="center" wrapText="1"/>
    </xf>
    <xf numFmtId="167" fontId="57" fillId="5" borderId="60" xfId="45" applyNumberFormat="1" applyFont="1" applyFill="1" applyBorder="1" applyAlignment="1">
      <alignment horizontal="center" vertical="center" wrapText="1"/>
    </xf>
    <xf numFmtId="170" fontId="13" fillId="0" borderId="3" xfId="1" applyNumberFormat="1" applyFont="1" applyBorder="1" applyAlignment="1">
      <alignment horizontal="right" vertical="center"/>
    </xf>
    <xf numFmtId="167" fontId="8" fillId="0" borderId="0" xfId="0" applyNumberFormat="1" applyFont="1" applyAlignment="1">
      <alignment vertical="center"/>
    </xf>
    <xf numFmtId="0" fontId="47" fillId="0" borderId="0" xfId="44" applyFont="1" applyAlignment="1">
      <alignment horizontal="left" vertical="center" wrapText="1"/>
    </xf>
    <xf numFmtId="0" fontId="4" fillId="0" borderId="0" xfId="44" applyFont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0" fontId="47" fillId="0" borderId="0" xfId="44" applyFont="1" applyAlignment="1">
      <alignment horizontal="center" vertical="center" wrapText="1"/>
    </xf>
    <xf numFmtId="38" fontId="15" fillId="0" borderId="25" xfId="34" applyFont="1" applyFill="1" applyBorder="1" applyAlignment="1">
      <alignment horizontal="right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37" xfId="34" applyFont="1" applyFill="1" applyBorder="1" applyAlignment="1">
      <alignment horizontal="right" vertical="center"/>
    </xf>
    <xf numFmtId="38" fontId="15" fillId="0" borderId="13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15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38" fontId="15" fillId="0" borderId="39" xfId="34" applyFont="1" applyFill="1" applyBorder="1" applyAlignment="1">
      <alignment horizontal="right" vertical="center"/>
    </xf>
    <xf numFmtId="0" fontId="18" fillId="7" borderId="60" xfId="15" applyFont="1" applyFill="1" applyBorder="1">
      <alignment horizontal="center" vertical="center" wrapText="1"/>
    </xf>
    <xf numFmtId="0" fontId="18" fillId="7" borderId="60" xfId="15" applyFont="1" applyFill="1" applyBorder="1" applyAlignment="1">
      <alignment horizontal="center" vertical="center"/>
    </xf>
    <xf numFmtId="0" fontId="9" fillId="7" borderId="60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9" fillId="7" borderId="5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18" fillId="7" borderId="9" xfId="15" applyFont="1" applyFill="1" applyBorder="1">
      <alignment horizontal="center" vertical="center" wrapText="1"/>
    </xf>
    <xf numFmtId="0" fontId="18" fillId="7" borderId="53" xfId="15" applyFont="1" applyFill="1" applyBorder="1">
      <alignment horizontal="center" vertical="center" wrapText="1"/>
    </xf>
    <xf numFmtId="0" fontId="18" fillId="7" borderId="9" xfId="15" applyFont="1" applyFill="1" applyBorder="1" applyAlignment="1">
      <alignment horizontal="center" vertical="center"/>
    </xf>
    <xf numFmtId="0" fontId="18" fillId="7" borderId="53" xfId="15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13" xfId="8" applyFont="1" applyBorder="1" applyAlignment="1">
      <alignment horizontal="right" vertical="center"/>
    </xf>
    <xf numFmtId="0" fontId="15" fillId="0" borderId="14" xfId="8" applyFont="1" applyBorder="1" applyAlignment="1">
      <alignment horizontal="right" vertical="center"/>
    </xf>
    <xf numFmtId="0" fontId="15" fillId="0" borderId="25" xfId="8" applyFont="1" applyBorder="1" applyAlignment="1">
      <alignment horizontal="right" vertical="center"/>
    </xf>
    <xf numFmtId="0" fontId="15" fillId="0" borderId="26" xfId="8" applyFont="1" applyBorder="1" applyAlignment="1">
      <alignment horizontal="right" vertical="center"/>
    </xf>
    <xf numFmtId="0" fontId="18" fillId="7" borderId="8" xfId="15" applyFont="1" applyFill="1" applyBorder="1" applyAlignment="1">
      <alignment horizontal="center" vertical="center"/>
    </xf>
    <xf numFmtId="0" fontId="18" fillId="7" borderId="32" xfId="15" applyFont="1" applyFill="1" applyBorder="1" applyAlignment="1">
      <alignment horizontal="center" vertical="center"/>
    </xf>
    <xf numFmtId="0" fontId="18" fillId="7" borderId="32" xfId="15" applyFont="1" applyFill="1" applyBorder="1">
      <alignment horizontal="center" vertical="center" wrapText="1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0" fontId="16" fillId="0" borderId="65" xfId="40" applyFont="1" applyBorder="1" applyAlignment="1">
      <alignment horizontal="right" vertical="center"/>
    </xf>
    <xf numFmtId="0" fontId="16" fillId="0" borderId="66" xfId="40" applyFont="1" applyBorder="1" applyAlignment="1">
      <alignment horizontal="right" vertical="center"/>
    </xf>
    <xf numFmtId="0" fontId="16" fillId="0" borderId="67" xfId="40" applyFont="1" applyBorder="1" applyAlignment="1">
      <alignment horizontal="right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33" xfId="8" applyFont="1" applyBorder="1" applyAlignment="1">
      <alignment horizontal="left" vertical="center" wrapText="1"/>
    </xf>
    <xf numFmtId="4" fontId="16" fillId="0" borderId="57" xfId="8" applyNumberFormat="1" applyFont="1" applyBorder="1" applyAlignment="1">
      <alignment horizontal="left" vertical="center" wrapText="1"/>
    </xf>
    <xf numFmtId="4" fontId="16" fillId="0" borderId="58" xfId="8" applyNumberFormat="1" applyFont="1" applyBorder="1" applyAlignment="1">
      <alignment horizontal="left" vertical="center" wrapText="1"/>
    </xf>
    <xf numFmtId="4" fontId="16" fillId="0" borderId="47" xfId="8" applyNumberFormat="1" applyFont="1" applyBorder="1" applyAlignment="1">
      <alignment horizontal="left" vertical="center" wrapText="1"/>
    </xf>
    <xf numFmtId="0" fontId="13" fillId="0" borderId="57" xfId="8" applyFont="1" applyBorder="1" applyAlignment="1">
      <alignment horizontal="left" vertical="center" wrapText="1"/>
    </xf>
    <xf numFmtId="0" fontId="13" fillId="0" borderId="56" xfId="8" applyFont="1" applyBorder="1" applyAlignment="1">
      <alignment horizontal="left" vertical="center" wrapText="1"/>
    </xf>
    <xf numFmtId="0" fontId="16" fillId="0" borderId="46" xfId="40" applyFont="1" applyBorder="1" applyAlignment="1">
      <alignment horizontal="right" vertical="center"/>
    </xf>
    <xf numFmtId="0" fontId="16" fillId="0" borderId="58" xfId="40" applyFont="1" applyBorder="1" applyAlignment="1">
      <alignment horizontal="right" vertical="center"/>
    </xf>
    <xf numFmtId="0" fontId="16" fillId="0" borderId="47" xfId="40" applyFont="1" applyBorder="1" applyAlignment="1">
      <alignment horizontal="right" vertical="center"/>
    </xf>
    <xf numFmtId="38" fontId="13" fillId="0" borderId="57" xfId="43" applyFont="1" applyFill="1" applyBorder="1" applyAlignment="1">
      <alignment horizontal="left" vertical="center" wrapText="1"/>
    </xf>
    <xf numFmtId="38" fontId="13" fillId="0" borderId="56" xfId="43" applyFont="1" applyFill="1" applyBorder="1" applyAlignment="1">
      <alignment horizontal="left" vertical="center" wrapText="1"/>
    </xf>
    <xf numFmtId="0" fontId="14" fillId="0" borderId="59" xfId="8" applyFont="1" applyBorder="1" applyAlignment="1">
      <alignment horizontal="left" vertical="center" wrapText="1"/>
    </xf>
    <xf numFmtId="0" fontId="14" fillId="0" borderId="56" xfId="8" applyFont="1" applyBorder="1" applyAlignment="1">
      <alignment horizontal="left" vertical="center" wrapText="1"/>
    </xf>
    <xf numFmtId="0" fontId="13" fillId="0" borderId="57" xfId="8" applyFont="1" applyBorder="1" applyAlignment="1">
      <alignment vertical="center" wrapText="1"/>
    </xf>
    <xf numFmtId="0" fontId="13" fillId="0" borderId="56" xfId="8" applyFont="1" applyBorder="1" applyAlignment="1">
      <alignment vertical="center" wrapText="1"/>
    </xf>
    <xf numFmtId="0" fontId="18" fillId="7" borderId="44" xfId="15" applyFont="1" applyFill="1" applyBorder="1" applyAlignment="1">
      <alignment horizontal="center" vertical="center"/>
    </xf>
    <xf numFmtId="0" fontId="18" fillId="7" borderId="45" xfId="15" applyFont="1" applyFill="1" applyBorder="1" applyAlignment="1">
      <alignment horizontal="center" vertical="center"/>
    </xf>
    <xf numFmtId="0" fontId="18" fillId="7" borderId="48" xfId="15" applyFont="1" applyFill="1" applyBorder="1" applyAlignment="1">
      <alignment horizontal="center" vertical="center"/>
    </xf>
    <xf numFmtId="0" fontId="18" fillId="7" borderId="30" xfId="15" applyFont="1" applyFill="1" applyBorder="1" applyAlignment="1">
      <alignment horizontal="center" vertical="center"/>
    </xf>
    <xf numFmtId="0" fontId="18" fillId="7" borderId="52" xfId="15" applyFont="1" applyFill="1" applyBorder="1" applyAlignment="1">
      <alignment horizontal="center" vertical="center"/>
    </xf>
    <xf numFmtId="0" fontId="18" fillId="7" borderId="50" xfId="15" applyFont="1" applyFill="1" applyBorder="1" applyAlignment="1">
      <alignment horizontal="center" vertical="center"/>
    </xf>
    <xf numFmtId="0" fontId="16" fillId="0" borderId="57" xfId="8" applyFont="1" applyBorder="1" applyAlignment="1">
      <alignment horizontal="left" vertical="center" wrapText="1"/>
    </xf>
    <xf numFmtId="0" fontId="16" fillId="0" borderId="58" xfId="8" applyFont="1" applyBorder="1" applyAlignment="1">
      <alignment horizontal="left" vertical="center" wrapText="1"/>
    </xf>
    <xf numFmtId="0" fontId="16" fillId="0" borderId="47" xfId="8" applyFont="1" applyBorder="1" applyAlignment="1">
      <alignment horizontal="left" vertical="center" wrapText="1"/>
    </xf>
    <xf numFmtId="43" fontId="8" fillId="0" borderId="0" xfId="0" applyNumberFormat="1" applyFont="1" applyAlignment="1">
      <alignment vertical="center"/>
    </xf>
    <xf numFmtId="1" fontId="46" fillId="0" borderId="77" xfId="44" applyNumberFormat="1" applyFont="1" applyBorder="1" applyAlignment="1">
      <alignment horizontal="center" vertical="center" shrinkToFit="1"/>
    </xf>
    <xf numFmtId="0" fontId="4" fillId="0" borderId="78" xfId="44" applyFont="1" applyBorder="1" applyAlignment="1">
      <alignment vertical="center" wrapText="1"/>
    </xf>
    <xf numFmtId="38" fontId="4" fillId="0" borderId="78" xfId="44" applyNumberFormat="1" applyFont="1" applyBorder="1" applyAlignment="1">
      <alignment vertical="center" wrapText="1"/>
    </xf>
    <xf numFmtId="167" fontId="46" fillId="0" borderId="77" xfId="45" applyNumberFormat="1" applyFont="1" applyFill="1" applyBorder="1" applyAlignment="1">
      <alignment horizontal="left" vertical="center" wrapText="1"/>
    </xf>
    <xf numFmtId="0" fontId="52" fillId="6" borderId="79" xfId="44" applyFont="1" applyFill="1" applyBorder="1" applyAlignment="1">
      <alignment vertical="center" wrapText="1"/>
    </xf>
    <xf numFmtId="0" fontId="47" fillId="6" borderId="80" xfId="44" applyFont="1" applyFill="1" applyBorder="1" applyAlignment="1">
      <alignment horizontal="center" vertical="center" wrapText="1"/>
    </xf>
    <xf numFmtId="0" fontId="48" fillId="6" borderId="80" xfId="44" applyFont="1" applyFill="1" applyBorder="1" applyAlignment="1">
      <alignment horizontal="center" vertical="center" wrapText="1"/>
    </xf>
    <xf numFmtId="167" fontId="47" fillId="6" borderId="81" xfId="45" applyNumberFormat="1" applyFont="1" applyFill="1" applyBorder="1" applyAlignment="1">
      <alignment horizontal="left" vertical="center" wrapText="1"/>
    </xf>
    <xf numFmtId="0" fontId="46" fillId="0" borderId="60" xfId="44" applyFont="1" applyBorder="1" applyAlignment="1">
      <alignment horizontal="left" wrapText="1"/>
    </xf>
    <xf numFmtId="167" fontId="46" fillId="0" borderId="60" xfId="45" applyNumberFormat="1" applyFont="1" applyFill="1" applyBorder="1" applyAlignment="1">
      <alignment horizontal="left" vertical="center" wrapText="1"/>
    </xf>
    <xf numFmtId="1" fontId="46" fillId="0" borderId="60" xfId="44" applyNumberFormat="1" applyFont="1" applyBorder="1" applyAlignment="1">
      <alignment horizontal="center" vertical="center" shrinkToFit="1"/>
    </xf>
    <xf numFmtId="0" fontId="4" fillId="0" borderId="60" xfId="44" applyFont="1" applyBorder="1" applyAlignment="1">
      <alignment vertical="center" wrapText="1"/>
    </xf>
    <xf numFmtId="38" fontId="4" fillId="0" borderId="60" xfId="44" applyNumberFormat="1" applyFont="1" applyBorder="1" applyAlignment="1">
      <alignment vertical="center" wrapText="1"/>
    </xf>
  </cellXfs>
  <cellStyles count="50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3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6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5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1" xr:uid="{DA2FC434-C491-4DC0-B889-004E329441C8}"/>
    <cellStyle name="Hyperlink" xfId="49" builtinId="8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7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4" xr:uid="{A24B6390-B95C-418B-9A20-4639AF663F91}"/>
    <cellStyle name="Normal_Sheet1 2" xfId="33" xr:uid="{00000000-0005-0000-0000-000024000000}"/>
    <cellStyle name="Percent" xfId="48" builtinId="5"/>
    <cellStyle name="Percent 2" xfId="20" xr:uid="{00000000-0005-0000-0000-000025000000}"/>
    <cellStyle name="Qty Unit" xfId="14" xr:uid="{00000000-0005-0000-0000-000026000000}"/>
    <cellStyle name="Qty Unit 2" xfId="42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MONTHLY BASIS-2008"/>
      <sheetName val="CLINT ADDRESSES"/>
      <sheetName val="LIST OF JOBS"/>
      <sheetName val="OASIS GOLF &amp; COUNTRY CLUB"/>
      <sheetName val="SENT BILLS"/>
      <sheetName val="CLIENT ADDRESS DATA BASE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10"/>
      <sheetName val="Section 16010-b"/>
      <sheetName val="Section 16050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  <sheetName val="Tools"/>
      <sheetName val="HEAT EXCHR SOW CALCTR"/>
      <sheetName val="HEAT_EXCHR_SOW_CALCTR"/>
      <sheetName val="Section_160501"/>
      <sheetName val="Section_160101"/>
      <sheetName val="Section_16010-b1"/>
      <sheetName val="Section_16110_1"/>
      <sheetName val="Section_161701"/>
      <sheetName val="Section_163001"/>
      <sheetName val="Section_164001"/>
      <sheetName val="Section_165001"/>
      <sheetName val="Section_165301"/>
      <sheetName val="Section_165351"/>
      <sheetName val="Section_16620_1"/>
      <sheetName val="Section_166701"/>
      <sheetName val="Section_16720-(a)1"/>
      <sheetName val="Section_16720-(b)1"/>
      <sheetName val="Section_16722-(a)1"/>
      <sheetName val="Section_16722_(b)1"/>
      <sheetName val="Section_167231"/>
      <sheetName val="Section_167241"/>
      <sheetName val="Section_167311"/>
      <sheetName val="Section_167401"/>
      <sheetName val="Section_16740-b1"/>
      <sheetName val="Section_167411"/>
      <sheetName val="Section_167451"/>
      <sheetName val="Section_16770_(a)1"/>
      <sheetName val="Section_16770_(b)1"/>
      <sheetName val="Section_167821"/>
      <sheetName val="Section_168901"/>
      <sheetName val="Summary_Page1"/>
      <sheetName val="Table_of_Content1"/>
      <sheetName val="HEAT_EXCHR_SOW_CALCTR1"/>
      <sheetName val="Section_160502"/>
      <sheetName val="Section_160102"/>
      <sheetName val="Section_16010-b2"/>
      <sheetName val="Section_16110_2"/>
      <sheetName val="Section_161702"/>
      <sheetName val="Section_163002"/>
      <sheetName val="Section_164002"/>
      <sheetName val="Section_165002"/>
      <sheetName val="Section_165302"/>
      <sheetName val="Section_165352"/>
      <sheetName val="Section_16620_2"/>
      <sheetName val="Section_166702"/>
      <sheetName val="Section_16720-(a)2"/>
      <sheetName val="Section_16720-(b)2"/>
      <sheetName val="Section_16722-(a)2"/>
      <sheetName val="Section_16722_(b)2"/>
      <sheetName val="Section_167232"/>
      <sheetName val="Section_167242"/>
      <sheetName val="Section_167312"/>
      <sheetName val="Section_167402"/>
      <sheetName val="Section_16740-b2"/>
      <sheetName val="Section_167412"/>
      <sheetName val="Section_167452"/>
      <sheetName val="Section_16770_(a)2"/>
      <sheetName val="Section_16770_(b)2"/>
      <sheetName val="Section_167822"/>
      <sheetName val="Section_168902"/>
      <sheetName val="Summary_Page2"/>
      <sheetName val="Table_of_Content2"/>
      <sheetName val="HEAT_EXCHR_SOW_CALCTR2"/>
      <sheetName val="Pipe Dia"/>
      <sheetName val="Section_160503"/>
      <sheetName val="Section_160103"/>
      <sheetName val="Section_16010-b3"/>
      <sheetName val="Section_16110_3"/>
      <sheetName val="Section_161703"/>
      <sheetName val="Section_163003"/>
      <sheetName val="Section_164003"/>
      <sheetName val="Section_165003"/>
      <sheetName val="Section_165303"/>
      <sheetName val="Section_165353"/>
      <sheetName val="Section_16620_3"/>
      <sheetName val="Section_166703"/>
      <sheetName val="Section_16720-(a)3"/>
      <sheetName val="Section_16720-(b)3"/>
      <sheetName val="Section_16722-(a)3"/>
      <sheetName val="Section_16722_(b)3"/>
      <sheetName val="Section_167233"/>
      <sheetName val="Section_167243"/>
      <sheetName val="Section_167313"/>
      <sheetName val="Section_167403"/>
      <sheetName val="Section_16740-b3"/>
      <sheetName val="Section_167413"/>
      <sheetName val="Section_167453"/>
      <sheetName val="Section_16770_(a)3"/>
      <sheetName val="Section_16770_(b)3"/>
      <sheetName val="Section_167823"/>
      <sheetName val="Section_168903"/>
      <sheetName val="Summary_Page3"/>
      <sheetName val="Table_of_Content3"/>
      <sheetName val="HEAT_EXCHR_SOW_CALCTR3"/>
      <sheetName val="Section_160504"/>
      <sheetName val="Section_160104"/>
      <sheetName val="Section_16010-b4"/>
      <sheetName val="Section_16110_4"/>
      <sheetName val="Section_161704"/>
      <sheetName val="Section_163004"/>
      <sheetName val="Section_164004"/>
      <sheetName val="Section_165004"/>
      <sheetName val="Section_165304"/>
      <sheetName val="Section_165354"/>
      <sheetName val="Section_16620_4"/>
      <sheetName val="Section_166704"/>
      <sheetName val="Section_16720-(a)4"/>
      <sheetName val="Section_16720-(b)4"/>
      <sheetName val="Section_16722-(a)4"/>
      <sheetName val="Section_16722_(b)4"/>
      <sheetName val="Section_167234"/>
      <sheetName val="Section_167244"/>
      <sheetName val="Section_167314"/>
      <sheetName val="Section_167404"/>
      <sheetName val="Section_16740-b4"/>
      <sheetName val="Section_167414"/>
      <sheetName val="Section_167454"/>
      <sheetName val="Section_16770_(a)4"/>
      <sheetName val="Section_16770_(b)4"/>
      <sheetName val="Section_167824"/>
      <sheetName val="Section_168904"/>
      <sheetName val="Summary_Page4"/>
      <sheetName val="Table_of_Content4"/>
      <sheetName val="HEAT_EXCHR_SOW_CALCTR4"/>
      <sheetName val="1910"/>
      <sheetName val="MTO"/>
      <sheetName val="B.O.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showGridLines="0" tabSelected="1" zoomScaleNormal="100" zoomScaleSheetLayoutView="75" workbookViewId="0">
      <selection activeCell="H19" sqref="H19"/>
    </sheetView>
  </sheetViews>
  <sheetFormatPr defaultRowHeight="15" x14ac:dyDescent="0.2"/>
  <cols>
    <col min="1" max="1" width="7.42578125" style="2" customWidth="1"/>
    <col min="2" max="2" width="50.28515625" style="1" customWidth="1"/>
    <col min="3" max="3" width="13" style="1" hidden="1" customWidth="1"/>
    <col min="4" max="4" width="13.140625" style="1" hidden="1" customWidth="1"/>
    <col min="5" max="5" width="20.28515625" style="7" customWidth="1"/>
    <col min="6" max="6" width="2.85546875" style="7" customWidth="1"/>
    <col min="7" max="7" width="9.140625" style="1"/>
    <col min="8" max="8" width="15.85546875" style="1" bestFit="1" customWidth="1"/>
    <col min="9" max="9" width="12.85546875" style="1" bestFit="1" customWidth="1"/>
    <col min="10" max="16384" width="9.140625" style="1"/>
  </cols>
  <sheetData>
    <row r="1" spans="1:9" ht="20.25" x14ac:dyDescent="0.2">
      <c r="A1" s="337" t="s">
        <v>75</v>
      </c>
      <c r="B1" s="337"/>
      <c r="C1" s="337"/>
      <c r="D1" s="337"/>
      <c r="E1" s="337"/>
      <c r="F1" s="317"/>
      <c r="H1" s="321"/>
    </row>
    <row r="2" spans="1:9" ht="20.25" x14ac:dyDescent="0.2">
      <c r="A2" s="317"/>
      <c r="B2" s="317"/>
      <c r="C2" s="317"/>
      <c r="D2" s="317"/>
      <c r="E2" s="317"/>
      <c r="F2" s="317"/>
      <c r="H2" s="321"/>
    </row>
    <row r="3" spans="1:9" ht="15.75" x14ac:dyDescent="0.2">
      <c r="A3" s="338" t="s">
        <v>277</v>
      </c>
      <c r="B3" s="338"/>
      <c r="C3" s="338"/>
      <c r="D3" s="338"/>
      <c r="E3" s="338"/>
      <c r="F3" s="302"/>
    </row>
    <row r="4" spans="1:9" ht="15.75" x14ac:dyDescent="0.2">
      <c r="A4" s="335"/>
      <c r="B4" s="336"/>
      <c r="C4" s="309"/>
      <c r="D4" s="309"/>
      <c r="E4" s="303"/>
      <c r="F4" s="303"/>
    </row>
    <row r="5" spans="1:9" ht="27.75" customHeight="1" x14ac:dyDescent="0.2">
      <c r="A5" s="330" t="s">
        <v>263</v>
      </c>
      <c r="B5" s="331" t="s">
        <v>275</v>
      </c>
      <c r="C5" s="332" t="s">
        <v>267</v>
      </c>
      <c r="D5" s="332" t="s">
        <v>268</v>
      </c>
      <c r="E5" s="332" t="s">
        <v>5</v>
      </c>
      <c r="F5" s="318"/>
    </row>
    <row r="6" spans="1:9" x14ac:dyDescent="0.2">
      <c r="A6" s="304"/>
      <c r="B6" s="305"/>
      <c r="C6" s="305"/>
      <c r="D6" s="305"/>
      <c r="E6" s="306"/>
      <c r="F6" s="315"/>
    </row>
    <row r="7" spans="1:9" x14ac:dyDescent="0.2">
      <c r="A7" s="299">
        <v>1</v>
      </c>
      <c r="B7" s="307" t="s">
        <v>264</v>
      </c>
      <c r="C7" s="310"/>
      <c r="D7" s="310"/>
      <c r="E7" s="301">
        <f>HVAC!M85</f>
        <v>3085641.0149999997</v>
      </c>
      <c r="F7" s="316"/>
    </row>
    <row r="8" spans="1:9" x14ac:dyDescent="0.2">
      <c r="A8" s="298"/>
      <c r="B8" s="308"/>
      <c r="C8" s="308"/>
      <c r="D8" s="308"/>
      <c r="E8" s="300"/>
      <c r="F8" s="315"/>
    </row>
    <row r="9" spans="1:9" x14ac:dyDescent="0.2">
      <c r="A9" s="299">
        <v>2</v>
      </c>
      <c r="B9" s="307" t="s">
        <v>265</v>
      </c>
      <c r="C9" s="311"/>
      <c r="D9" s="311"/>
      <c r="E9" s="301">
        <f>Fire!K88</f>
        <v>834551.75</v>
      </c>
      <c r="F9" s="316"/>
    </row>
    <row r="10" spans="1:9" x14ac:dyDescent="0.2">
      <c r="A10" s="298"/>
      <c r="B10" s="308"/>
      <c r="C10" s="308"/>
      <c r="D10" s="308"/>
      <c r="E10" s="301"/>
      <c r="F10" s="316"/>
    </row>
    <row r="11" spans="1:9" x14ac:dyDescent="0.2">
      <c r="A11" s="299">
        <v>3</v>
      </c>
      <c r="B11" s="307" t="s">
        <v>266</v>
      </c>
      <c r="C11" s="311"/>
      <c r="D11" s="311"/>
      <c r="E11" s="301">
        <f>Plumbing!L95</f>
        <v>2152923.2999999998</v>
      </c>
      <c r="F11" s="316"/>
      <c r="H11" s="334"/>
      <c r="I11" s="334"/>
    </row>
    <row r="12" spans="1:9" x14ac:dyDescent="0.2">
      <c r="A12" s="299"/>
      <c r="B12" s="307"/>
      <c r="C12" s="311"/>
      <c r="D12" s="311"/>
      <c r="E12" s="301"/>
      <c r="F12" s="316"/>
      <c r="H12" s="398"/>
    </row>
    <row r="13" spans="1:9" x14ac:dyDescent="0.2">
      <c r="A13" s="399">
        <v>4</v>
      </c>
      <c r="B13" s="400" t="s">
        <v>276</v>
      </c>
      <c r="C13" s="401"/>
      <c r="D13" s="401"/>
      <c r="E13" s="402">
        <v>136088.54999999999</v>
      </c>
      <c r="F13" s="316"/>
      <c r="H13" s="398"/>
    </row>
    <row r="14" spans="1:9" x14ac:dyDescent="0.2">
      <c r="A14" s="407"/>
      <c r="B14" s="407"/>
      <c r="C14" s="407"/>
      <c r="D14" s="407"/>
      <c r="E14" s="408"/>
      <c r="F14" s="316"/>
    </row>
    <row r="15" spans="1:9" x14ac:dyDescent="0.2">
      <c r="A15" s="409">
        <v>5</v>
      </c>
      <c r="B15" s="410" t="s">
        <v>278</v>
      </c>
      <c r="C15" s="411"/>
      <c r="D15" s="411"/>
      <c r="E15" s="408">
        <v>21930</v>
      </c>
      <c r="F15" s="316"/>
    </row>
    <row r="16" spans="1:9" x14ac:dyDescent="0.2">
      <c r="A16" s="407"/>
      <c r="B16" s="407"/>
      <c r="C16" s="407"/>
      <c r="D16" s="407"/>
      <c r="E16" s="408"/>
      <c r="F16" s="316"/>
    </row>
    <row r="17" spans="1:6" s="312" customFormat="1" ht="20.25" thickBot="1" x14ac:dyDescent="0.25">
      <c r="A17" s="403"/>
      <c r="B17" s="404" t="s">
        <v>269</v>
      </c>
      <c r="C17" s="405"/>
      <c r="D17" s="405"/>
      <c r="E17" s="406">
        <f>E13+E11+E9+E7+E15</f>
        <v>6231134.6149999993</v>
      </c>
      <c r="F17" s="319"/>
    </row>
    <row r="18" spans="1:6" x14ac:dyDescent="0.2">
      <c r="E18" s="320"/>
    </row>
  </sheetData>
  <mergeCells count="3">
    <mergeCell ref="A4:B4"/>
    <mergeCell ref="A1:E1"/>
    <mergeCell ref="A3:E3"/>
  </mergeCells>
  <printOptions horizontalCentered="1"/>
  <pageMargins left="0.5" right="0.25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6"/>
  <sheetViews>
    <sheetView showGridLines="0" topLeftCell="A25" zoomScale="130" zoomScaleNormal="130" zoomScaleSheetLayoutView="90" workbookViewId="0">
      <selection activeCell="K13" sqref="K13"/>
    </sheetView>
  </sheetViews>
  <sheetFormatPr defaultRowHeight="12.75" x14ac:dyDescent="0.2"/>
  <cols>
    <col min="1" max="1" width="9.28515625" style="56" customWidth="1"/>
    <col min="2" max="2" width="20.7109375" style="26" customWidth="1"/>
    <col min="3" max="4" width="25.7109375" style="26" customWidth="1"/>
    <col min="5" max="5" width="7.140625" style="57" customWidth="1"/>
    <col min="6" max="6" width="4.7109375" style="57" customWidth="1"/>
    <col min="7" max="7" width="11.28515625" style="55" customWidth="1"/>
    <col min="8" max="8" width="9.140625" style="55" customWidth="1"/>
    <col min="9" max="9" width="9" style="55" customWidth="1"/>
    <col min="10" max="12" width="11.28515625" style="55" customWidth="1"/>
    <col min="13" max="13" width="16.7109375" style="55" customWidth="1"/>
    <col min="14" max="16384" width="9.140625" style="26"/>
  </cols>
  <sheetData>
    <row r="1" spans="1:19" s="10" customFormat="1" ht="15" x14ac:dyDescent="0.2">
      <c r="A1" s="1" t="s">
        <v>75</v>
      </c>
      <c r="F1" s="11"/>
      <c r="G1" s="11"/>
      <c r="H1" s="11"/>
      <c r="I1" s="11"/>
      <c r="J1" s="11"/>
      <c r="K1" s="11"/>
      <c r="L1" s="11"/>
      <c r="M1" s="3" t="s">
        <v>4</v>
      </c>
    </row>
    <row r="2" spans="1:19" s="10" customFormat="1" ht="15" x14ac:dyDescent="0.2">
      <c r="A2" s="4" t="s">
        <v>53</v>
      </c>
      <c r="G2" s="11"/>
      <c r="H2" s="11"/>
      <c r="I2" s="11"/>
      <c r="J2" s="11"/>
      <c r="K2" s="11"/>
      <c r="L2" s="12"/>
      <c r="M2" s="3" t="s">
        <v>76</v>
      </c>
    </row>
    <row r="3" spans="1:19" s="10" customFormat="1" ht="15" customHeight="1" x14ac:dyDescent="0.2">
      <c r="A3" s="13"/>
      <c r="G3" s="11"/>
      <c r="H3" s="11"/>
      <c r="I3" s="11"/>
      <c r="J3" s="11"/>
      <c r="K3" s="11"/>
      <c r="L3" s="11"/>
      <c r="M3" s="3"/>
    </row>
    <row r="4" spans="1:19" s="10" customFormat="1" ht="6.95" customHeight="1" x14ac:dyDescent="0.2">
      <c r="A4" s="13"/>
      <c r="E4" s="322"/>
      <c r="F4" s="322"/>
      <c r="G4" s="11"/>
      <c r="H4" s="11"/>
      <c r="I4" s="11"/>
      <c r="J4" s="11"/>
      <c r="K4" s="11"/>
      <c r="L4" s="11"/>
      <c r="M4" s="11"/>
    </row>
    <row r="5" spans="1:19" s="10" customFormat="1" ht="21.75" customHeight="1" x14ac:dyDescent="0.2">
      <c r="A5" s="348" t="s">
        <v>1</v>
      </c>
      <c r="B5" s="349" t="s">
        <v>2</v>
      </c>
      <c r="C5" s="349"/>
      <c r="D5" s="349"/>
      <c r="E5" s="350" t="s">
        <v>4</v>
      </c>
      <c r="F5" s="350"/>
      <c r="G5" s="350"/>
      <c r="H5" s="350"/>
      <c r="I5" s="351" t="s">
        <v>277</v>
      </c>
      <c r="J5" s="352"/>
      <c r="K5" s="352"/>
      <c r="L5" s="352"/>
      <c r="M5" s="353"/>
    </row>
    <row r="6" spans="1:19" s="10" customFormat="1" ht="21.75" customHeight="1" x14ac:dyDescent="0.2">
      <c r="A6" s="348"/>
      <c r="B6" s="349"/>
      <c r="C6" s="349"/>
      <c r="D6" s="349"/>
      <c r="E6" s="356" t="s">
        <v>271</v>
      </c>
      <c r="F6" s="358" t="s">
        <v>0</v>
      </c>
      <c r="G6" s="356" t="s">
        <v>272</v>
      </c>
      <c r="H6" s="356" t="s">
        <v>273</v>
      </c>
      <c r="I6" s="351" t="s">
        <v>267</v>
      </c>
      <c r="J6" s="353"/>
      <c r="K6" s="351" t="s">
        <v>268</v>
      </c>
      <c r="L6" s="353"/>
      <c r="M6" s="354" t="s">
        <v>269</v>
      </c>
    </row>
    <row r="7" spans="1:19" s="14" customFormat="1" ht="24.75" customHeight="1" x14ac:dyDescent="0.2">
      <c r="A7" s="348"/>
      <c r="B7" s="349"/>
      <c r="C7" s="349"/>
      <c r="D7" s="349"/>
      <c r="E7" s="357"/>
      <c r="F7" s="359"/>
      <c r="G7" s="357"/>
      <c r="H7" s="357"/>
      <c r="I7" s="327" t="s">
        <v>274</v>
      </c>
      <c r="J7" s="327" t="s">
        <v>270</v>
      </c>
      <c r="K7" s="327" t="s">
        <v>274</v>
      </c>
      <c r="L7" s="327" t="s">
        <v>270</v>
      </c>
      <c r="M7" s="355"/>
    </row>
    <row r="8" spans="1:19" s="21" customFormat="1" ht="15" customHeight="1" x14ac:dyDescent="0.2">
      <c r="A8" s="323">
        <v>1</v>
      </c>
      <c r="B8" s="324" t="s">
        <v>66</v>
      </c>
      <c r="C8" s="325"/>
      <c r="D8" s="325"/>
      <c r="E8" s="326"/>
      <c r="F8" s="326"/>
      <c r="G8" s="70"/>
      <c r="H8" s="70"/>
      <c r="I8" s="70"/>
      <c r="J8" s="70"/>
      <c r="K8" s="70"/>
      <c r="L8" s="70"/>
      <c r="M8" s="25"/>
    </row>
    <row r="9" spans="1:19" s="9" customFormat="1" ht="15" customHeight="1" x14ac:dyDescent="0.2">
      <c r="A9" s="83">
        <v>1.1000000000000001</v>
      </c>
      <c r="B9" s="84" t="s">
        <v>67</v>
      </c>
      <c r="C9" s="85"/>
      <c r="D9" s="85"/>
      <c r="E9" s="86"/>
      <c r="F9" s="27"/>
      <c r="G9" s="28"/>
      <c r="H9" s="28"/>
      <c r="I9" s="28"/>
      <c r="J9" s="28"/>
      <c r="K9" s="28"/>
      <c r="L9" s="30"/>
      <c r="M9" s="87"/>
    </row>
    <row r="10" spans="1:19" s="21" customFormat="1" ht="15" customHeight="1" x14ac:dyDescent="0.2">
      <c r="A10" s="31" t="s">
        <v>77</v>
      </c>
      <c r="B10" s="32" t="s">
        <v>68</v>
      </c>
      <c r="C10" s="88"/>
      <c r="D10" s="89"/>
      <c r="E10" s="90">
        <v>12</v>
      </c>
      <c r="F10" s="37" t="s">
        <v>73</v>
      </c>
      <c r="G10" s="104">
        <v>765</v>
      </c>
      <c r="H10" s="104">
        <v>150</v>
      </c>
      <c r="I10" s="104">
        <v>15</v>
      </c>
      <c r="J10" s="104">
        <f>I10*G10</f>
        <v>11475</v>
      </c>
      <c r="K10" s="104">
        <f>I10</f>
        <v>15</v>
      </c>
      <c r="L10" s="105">
        <f>K10*H10</f>
        <v>2250</v>
      </c>
      <c r="M10" s="106">
        <f>L10+J10</f>
        <v>13725</v>
      </c>
      <c r="N10" s="136"/>
      <c r="O10" s="136"/>
      <c r="P10" s="136"/>
    </row>
    <row r="11" spans="1:19" s="21" customFormat="1" ht="15" customHeight="1" x14ac:dyDescent="0.2">
      <c r="A11" s="31" t="s">
        <v>78</v>
      </c>
      <c r="B11" s="92" t="s">
        <v>69</v>
      </c>
      <c r="C11" s="85"/>
      <c r="D11" s="93"/>
      <c r="E11" s="90">
        <v>1</v>
      </c>
      <c r="F11" s="91" t="s">
        <v>9</v>
      </c>
      <c r="G11" s="104">
        <v>4000</v>
      </c>
      <c r="H11" s="104">
        <v>1000</v>
      </c>
      <c r="I11" s="104">
        <v>1</v>
      </c>
      <c r="J11" s="104">
        <f>I11*G11</f>
        <v>4000</v>
      </c>
      <c r="K11" s="104">
        <f>I11</f>
        <v>1</v>
      </c>
      <c r="L11" s="105">
        <f>K11*H11</f>
        <v>1000</v>
      </c>
      <c r="M11" s="106">
        <f>L11+J11</f>
        <v>5000</v>
      </c>
      <c r="N11" s="136"/>
      <c r="O11" s="136"/>
      <c r="P11" s="136"/>
      <c r="Q11" s="9"/>
      <c r="R11" s="9"/>
      <c r="S11" s="9"/>
    </row>
    <row r="12" spans="1:19" s="21" customFormat="1" ht="15" customHeight="1" thickBot="1" x14ac:dyDescent="0.25">
      <c r="A12" s="31" t="s">
        <v>79</v>
      </c>
      <c r="B12" s="94" t="s">
        <v>99</v>
      </c>
      <c r="C12" s="95"/>
      <c r="D12" s="96"/>
      <c r="E12" s="97">
        <v>1</v>
      </c>
      <c r="F12" s="97" t="s">
        <v>9</v>
      </c>
      <c r="G12" s="104">
        <v>18000</v>
      </c>
      <c r="H12" s="104">
        <v>2000</v>
      </c>
      <c r="I12" s="104">
        <v>1</v>
      </c>
      <c r="J12" s="104">
        <f>I12*G12</f>
        <v>18000</v>
      </c>
      <c r="K12" s="104">
        <f>I12</f>
        <v>1</v>
      </c>
      <c r="L12" s="105">
        <f>K12*H12</f>
        <v>2000</v>
      </c>
      <c r="M12" s="106">
        <f>L12+J12</f>
        <v>20000</v>
      </c>
      <c r="N12" s="136"/>
      <c r="O12" s="136"/>
      <c r="P12" s="136"/>
      <c r="Q12" s="9"/>
      <c r="R12" s="9"/>
      <c r="S12" s="9"/>
    </row>
    <row r="13" spans="1:19" s="21" customFormat="1" ht="15" customHeight="1" thickBot="1" x14ac:dyDescent="0.25">
      <c r="A13" s="342" t="s">
        <v>13</v>
      </c>
      <c r="B13" s="343"/>
      <c r="C13" s="343"/>
      <c r="D13" s="343"/>
      <c r="E13" s="343"/>
      <c r="F13" s="344"/>
      <c r="G13" s="99"/>
      <c r="H13" s="99"/>
      <c r="I13" s="99"/>
      <c r="J13" s="99"/>
      <c r="K13" s="99"/>
      <c r="L13" s="99"/>
      <c r="M13" s="19">
        <f>SUM(M10:M12)</f>
        <v>38725</v>
      </c>
      <c r="N13" s="136"/>
      <c r="O13" s="136"/>
      <c r="P13" s="136"/>
      <c r="Q13" s="9"/>
      <c r="R13" s="9"/>
      <c r="S13" s="9"/>
    </row>
    <row r="14" spans="1:19" s="21" customFormat="1" ht="15" customHeight="1" x14ac:dyDescent="0.2">
      <c r="A14" s="15">
        <v>2</v>
      </c>
      <c r="B14" s="16" t="s">
        <v>14</v>
      </c>
      <c r="C14" s="22"/>
      <c r="D14" s="22"/>
      <c r="E14" s="23"/>
      <c r="F14" s="23"/>
      <c r="G14" s="24"/>
      <c r="H14" s="24"/>
      <c r="I14" s="24"/>
      <c r="J14" s="24"/>
      <c r="K14" s="24"/>
      <c r="L14" s="24"/>
      <c r="M14" s="25"/>
      <c r="N14" s="136"/>
      <c r="O14" s="136"/>
      <c r="P14" s="136"/>
      <c r="Q14" s="9"/>
      <c r="R14" s="9"/>
      <c r="S14" s="9"/>
    </row>
    <row r="15" spans="1:19" s="21" customFormat="1" ht="15" customHeight="1" x14ac:dyDescent="0.2">
      <c r="A15" s="35">
        <v>2.1</v>
      </c>
      <c r="B15" s="81" t="s">
        <v>55</v>
      </c>
      <c r="C15" s="34"/>
      <c r="D15" s="36"/>
      <c r="E15" s="37">
        <v>74</v>
      </c>
      <c r="F15" s="37" t="s">
        <v>15</v>
      </c>
      <c r="G15" s="104">
        <v>4900</v>
      </c>
      <c r="H15" s="104">
        <v>900</v>
      </c>
      <c r="I15" s="104">
        <v>109.50049999999999</v>
      </c>
      <c r="J15" s="104">
        <f>I15*G15</f>
        <v>536552.44999999995</v>
      </c>
      <c r="K15" s="104">
        <f>I15</f>
        <v>109.50049999999999</v>
      </c>
      <c r="L15" s="105">
        <f>K15*H15</f>
        <v>98550.449999999983</v>
      </c>
      <c r="M15" s="106">
        <f t="shared" ref="M15:M19" si="0">L15+J15</f>
        <v>635102.89999999991</v>
      </c>
      <c r="N15" s="136"/>
      <c r="O15" s="136"/>
      <c r="P15" s="136"/>
    </row>
    <row r="16" spans="1:19" ht="15" customHeight="1" x14ac:dyDescent="0.2">
      <c r="A16" s="35">
        <v>2.2000000000000002</v>
      </c>
      <c r="B16" s="81" t="s">
        <v>56</v>
      </c>
      <c r="C16" s="38"/>
      <c r="D16" s="39"/>
      <c r="E16" s="40">
        <v>5.6</v>
      </c>
      <c r="F16" s="37" t="s">
        <v>15</v>
      </c>
      <c r="G16" s="104">
        <v>4900</v>
      </c>
      <c r="H16" s="104">
        <v>900</v>
      </c>
      <c r="I16" s="104">
        <v>15.999920000000001</v>
      </c>
      <c r="J16" s="104">
        <f>I16*G16</f>
        <v>78399.608000000007</v>
      </c>
      <c r="K16" s="104">
        <f>I16</f>
        <v>15.999920000000001</v>
      </c>
      <c r="L16" s="105">
        <f>K16*H16</f>
        <v>14399.928000000002</v>
      </c>
      <c r="M16" s="106">
        <f t="shared" si="0"/>
        <v>92799.536000000007</v>
      </c>
      <c r="N16" s="136"/>
      <c r="O16" s="136"/>
      <c r="P16" s="136"/>
    </row>
    <row r="17" spans="1:16" s="21" customFormat="1" ht="15" customHeight="1" x14ac:dyDescent="0.2">
      <c r="A17" s="35">
        <v>2.2999999999999998</v>
      </c>
      <c r="B17" s="81" t="s">
        <v>57</v>
      </c>
      <c r="C17" s="38"/>
      <c r="D17" s="39"/>
      <c r="E17" s="40">
        <v>12.1</v>
      </c>
      <c r="F17" s="37" t="s">
        <v>15</v>
      </c>
      <c r="G17" s="104">
        <v>4900</v>
      </c>
      <c r="H17" s="104">
        <v>900</v>
      </c>
      <c r="I17" s="104">
        <v>20.151499999999999</v>
      </c>
      <c r="J17" s="104">
        <f>I17*G17</f>
        <v>98742.349999999991</v>
      </c>
      <c r="K17" s="104">
        <f>I17</f>
        <v>20.151499999999999</v>
      </c>
      <c r="L17" s="105">
        <f>K17*H17</f>
        <v>18136.349999999999</v>
      </c>
      <c r="M17" s="106">
        <f t="shared" si="0"/>
        <v>116878.69999999998</v>
      </c>
      <c r="N17" s="136"/>
      <c r="O17" s="136"/>
      <c r="P17" s="136"/>
    </row>
    <row r="18" spans="1:16" s="21" customFormat="1" ht="15" customHeight="1" x14ac:dyDescent="0.2">
      <c r="A18" s="35">
        <v>2.4</v>
      </c>
      <c r="B18" s="81" t="s">
        <v>74</v>
      </c>
      <c r="C18" s="38"/>
      <c r="D18" s="39"/>
      <c r="E18" s="40">
        <v>1</v>
      </c>
      <c r="F18" s="37" t="s">
        <v>9</v>
      </c>
      <c r="G18" s="104">
        <v>72000</v>
      </c>
      <c r="H18" s="104">
        <v>12000</v>
      </c>
      <c r="I18" s="104">
        <v>1</v>
      </c>
      <c r="J18" s="104">
        <f>I18*G18</f>
        <v>72000</v>
      </c>
      <c r="K18" s="104">
        <f>I18</f>
        <v>1</v>
      </c>
      <c r="L18" s="105">
        <f>K18*H18</f>
        <v>12000</v>
      </c>
      <c r="M18" s="106">
        <f t="shared" si="0"/>
        <v>84000</v>
      </c>
      <c r="N18" s="136"/>
      <c r="O18" s="136"/>
      <c r="P18" s="136"/>
    </row>
    <row r="19" spans="1:16" s="21" customFormat="1" ht="15" customHeight="1" x14ac:dyDescent="0.2">
      <c r="A19" s="35">
        <v>2.5</v>
      </c>
      <c r="B19" s="32" t="s">
        <v>16</v>
      </c>
      <c r="C19" s="38"/>
      <c r="D19" s="39"/>
      <c r="E19" s="40">
        <v>1</v>
      </c>
      <c r="F19" s="37" t="s">
        <v>9</v>
      </c>
      <c r="G19" s="104">
        <v>48500</v>
      </c>
      <c r="H19" s="104">
        <v>7000</v>
      </c>
      <c r="I19" s="104">
        <v>1</v>
      </c>
      <c r="J19" s="104">
        <f>I19*G19</f>
        <v>48500</v>
      </c>
      <c r="K19" s="104">
        <f>I19</f>
        <v>1</v>
      </c>
      <c r="L19" s="105">
        <f>K19*H19</f>
        <v>7000</v>
      </c>
      <c r="M19" s="106">
        <f t="shared" si="0"/>
        <v>55500</v>
      </c>
      <c r="N19" s="136"/>
      <c r="O19" s="136"/>
      <c r="P19" s="136"/>
    </row>
    <row r="20" spans="1:16" s="21" customFormat="1" ht="15" customHeight="1" x14ac:dyDescent="0.2">
      <c r="A20" s="35">
        <v>2.6</v>
      </c>
      <c r="B20" s="32" t="s">
        <v>17</v>
      </c>
      <c r="C20" s="38"/>
      <c r="D20" s="39"/>
      <c r="E20" s="40">
        <v>1</v>
      </c>
      <c r="F20" s="37" t="s">
        <v>9</v>
      </c>
      <c r="G20" s="104"/>
      <c r="H20" s="104"/>
      <c r="I20" s="104"/>
      <c r="J20" s="104"/>
      <c r="K20" s="104"/>
      <c r="L20" s="105"/>
      <c r="M20" s="106"/>
      <c r="N20" s="136"/>
      <c r="O20" s="136"/>
      <c r="P20" s="136"/>
    </row>
    <row r="21" spans="1:16" s="21" customFormat="1" ht="15" customHeight="1" x14ac:dyDescent="0.2">
      <c r="A21" s="35">
        <v>2.7</v>
      </c>
      <c r="B21" s="32" t="s">
        <v>18</v>
      </c>
      <c r="C21" s="38"/>
      <c r="D21" s="39"/>
      <c r="E21" s="40">
        <v>1</v>
      </c>
      <c r="F21" s="37" t="s">
        <v>9</v>
      </c>
      <c r="G21" s="104">
        <v>45000</v>
      </c>
      <c r="H21" s="104">
        <v>15000</v>
      </c>
      <c r="I21" s="104">
        <v>1</v>
      </c>
      <c r="J21" s="104">
        <f>I21*G21</f>
        <v>45000</v>
      </c>
      <c r="K21" s="104">
        <f>I21</f>
        <v>1</v>
      </c>
      <c r="L21" s="105">
        <f>K21*H21</f>
        <v>15000</v>
      </c>
      <c r="M21" s="106">
        <f t="shared" ref="M21:M22" si="1">L21+J21</f>
        <v>60000</v>
      </c>
      <c r="N21" s="136"/>
      <c r="O21" s="136"/>
      <c r="P21" s="136"/>
    </row>
    <row r="22" spans="1:16" s="21" customFormat="1" ht="15" customHeight="1" thickBot="1" x14ac:dyDescent="0.25">
      <c r="A22" s="35">
        <v>2.8</v>
      </c>
      <c r="B22" s="32" t="s">
        <v>19</v>
      </c>
      <c r="C22" s="38"/>
      <c r="D22" s="39"/>
      <c r="E22" s="40">
        <v>1</v>
      </c>
      <c r="F22" s="37" t="s">
        <v>9</v>
      </c>
      <c r="G22" s="104">
        <v>11000</v>
      </c>
      <c r="H22" s="104">
        <v>2000</v>
      </c>
      <c r="I22" s="104">
        <v>1</v>
      </c>
      <c r="J22" s="104">
        <f>I22*G22</f>
        <v>11000</v>
      </c>
      <c r="K22" s="104">
        <f>I22</f>
        <v>1</v>
      </c>
      <c r="L22" s="105">
        <f>K22*H22</f>
        <v>2000</v>
      </c>
      <c r="M22" s="106">
        <f t="shared" si="1"/>
        <v>13000</v>
      </c>
      <c r="N22" s="136"/>
      <c r="O22" s="136"/>
      <c r="P22" s="136"/>
    </row>
    <row r="23" spans="1:16" s="21" customFormat="1" ht="15" customHeight="1" thickBot="1" x14ac:dyDescent="0.25">
      <c r="A23" s="342" t="s">
        <v>13</v>
      </c>
      <c r="B23" s="343"/>
      <c r="C23" s="343"/>
      <c r="D23" s="343"/>
      <c r="E23" s="343"/>
      <c r="F23" s="344"/>
      <c r="G23" s="99"/>
      <c r="H23" s="99"/>
      <c r="I23" s="99"/>
      <c r="J23" s="99"/>
      <c r="K23" s="99"/>
      <c r="L23" s="99"/>
      <c r="M23" s="19">
        <f>SUM(M15:M22)</f>
        <v>1057281.1359999999</v>
      </c>
      <c r="N23" s="136"/>
      <c r="O23" s="136"/>
      <c r="P23" s="136"/>
    </row>
    <row r="24" spans="1:16" s="21" customFormat="1" ht="15" customHeight="1" x14ac:dyDescent="0.2">
      <c r="A24" s="15">
        <v>3</v>
      </c>
      <c r="B24" s="16" t="s">
        <v>102</v>
      </c>
      <c r="C24" s="38"/>
      <c r="D24" s="38"/>
      <c r="E24" s="64"/>
      <c r="F24" s="27"/>
      <c r="G24" s="61"/>
      <c r="H24" s="61"/>
      <c r="I24" s="61"/>
      <c r="J24" s="61"/>
      <c r="K24" s="61"/>
      <c r="L24" s="62"/>
      <c r="M24" s="63"/>
      <c r="N24" s="136"/>
      <c r="O24" s="136"/>
      <c r="P24" s="136"/>
    </row>
    <row r="25" spans="1:16" s="21" customFormat="1" ht="15" customHeight="1" x14ac:dyDescent="0.2">
      <c r="A25" s="35">
        <v>3.1</v>
      </c>
      <c r="B25" s="32" t="s">
        <v>71</v>
      </c>
      <c r="C25" s="38"/>
      <c r="D25" s="39"/>
      <c r="E25" s="101">
        <v>2.5</v>
      </c>
      <c r="F25" s="37" t="s">
        <v>73</v>
      </c>
      <c r="G25" s="104">
        <v>7500</v>
      </c>
      <c r="H25" s="104">
        <v>1000</v>
      </c>
      <c r="I25" s="328">
        <v>7.14</v>
      </c>
      <c r="J25" s="104">
        <f>I25*G25</f>
        <v>53550</v>
      </c>
      <c r="K25" s="328">
        <f>I25</f>
        <v>7.14</v>
      </c>
      <c r="L25" s="105">
        <f>K25*H25</f>
        <v>7140</v>
      </c>
      <c r="M25" s="106">
        <f t="shared" ref="M25:M26" si="2">L25+J25</f>
        <v>60690</v>
      </c>
      <c r="N25" s="136"/>
      <c r="O25" s="136"/>
      <c r="P25" s="136"/>
    </row>
    <row r="26" spans="1:16" s="21" customFormat="1" ht="15" customHeight="1" thickBot="1" x14ac:dyDescent="0.25">
      <c r="A26" s="35">
        <v>3.2</v>
      </c>
      <c r="B26" s="32" t="s">
        <v>72</v>
      </c>
      <c r="C26" s="38"/>
      <c r="D26" s="39"/>
      <c r="E26" s="40">
        <v>2.0499999999999998</v>
      </c>
      <c r="F26" s="37" t="s">
        <v>73</v>
      </c>
      <c r="G26" s="104">
        <v>5190</v>
      </c>
      <c r="H26" s="104">
        <v>1000</v>
      </c>
      <c r="I26" s="328">
        <v>12.8</v>
      </c>
      <c r="J26" s="104">
        <f>I26*G26</f>
        <v>66432</v>
      </c>
      <c r="K26" s="328">
        <f>I26</f>
        <v>12.8</v>
      </c>
      <c r="L26" s="105">
        <f>K26*H26</f>
        <v>12800</v>
      </c>
      <c r="M26" s="106">
        <f t="shared" si="2"/>
        <v>79232</v>
      </c>
      <c r="N26" s="136"/>
      <c r="O26" s="136"/>
      <c r="P26" s="136"/>
    </row>
    <row r="27" spans="1:16" s="21" customFormat="1" ht="15" customHeight="1" thickBot="1" x14ac:dyDescent="0.25">
      <c r="A27" s="342" t="s">
        <v>13</v>
      </c>
      <c r="B27" s="343"/>
      <c r="C27" s="343"/>
      <c r="D27" s="343"/>
      <c r="E27" s="343"/>
      <c r="F27" s="344"/>
      <c r="G27" s="99"/>
      <c r="H27" s="99"/>
      <c r="I27" s="99"/>
      <c r="J27" s="99"/>
      <c r="K27" s="99"/>
      <c r="L27" s="99"/>
      <c r="M27" s="19">
        <f>SUM(M25:M26)</f>
        <v>139922</v>
      </c>
      <c r="N27" s="136"/>
      <c r="O27" s="136"/>
      <c r="P27" s="136"/>
    </row>
    <row r="28" spans="1:16" s="21" customFormat="1" ht="15" customHeight="1" x14ac:dyDescent="0.2">
      <c r="A28" s="15">
        <v>4</v>
      </c>
      <c r="B28" s="16" t="s">
        <v>20</v>
      </c>
      <c r="C28" s="22"/>
      <c r="D28" s="22"/>
      <c r="E28" s="23"/>
      <c r="F28" s="23"/>
      <c r="G28" s="24"/>
      <c r="H28" s="24"/>
      <c r="I28" s="24"/>
      <c r="J28" s="24"/>
      <c r="K28" s="24"/>
      <c r="L28" s="24"/>
      <c r="M28" s="25"/>
      <c r="N28" s="136"/>
      <c r="O28" s="136"/>
      <c r="P28" s="136"/>
    </row>
    <row r="29" spans="1:16" s="21" customFormat="1" ht="15" customHeight="1" x14ac:dyDescent="0.2">
      <c r="A29" s="35">
        <v>4.0999999999999996</v>
      </c>
      <c r="B29" s="33" t="s">
        <v>35</v>
      </c>
      <c r="C29" s="34"/>
      <c r="D29" s="36"/>
      <c r="E29" s="37">
        <f>E15+E16</f>
        <v>79.599999999999994</v>
      </c>
      <c r="F29" s="37" t="s">
        <v>15</v>
      </c>
      <c r="G29" s="104">
        <v>6750</v>
      </c>
      <c r="H29" s="104">
        <v>700</v>
      </c>
      <c r="I29" s="104">
        <v>125.50041999999999</v>
      </c>
      <c r="J29" s="104">
        <f>I29*G29</f>
        <v>847127.83499999996</v>
      </c>
      <c r="K29" s="104">
        <f>I29</f>
        <v>125.50041999999999</v>
      </c>
      <c r="L29" s="105">
        <f>K29*H29</f>
        <v>87850.293999999994</v>
      </c>
      <c r="M29" s="106">
        <f t="shared" ref="M29:M30" si="3">L29+J29</f>
        <v>934978.12899999996</v>
      </c>
      <c r="N29" s="136"/>
      <c r="O29" s="136"/>
      <c r="P29" s="136"/>
    </row>
    <row r="30" spans="1:16" ht="15" customHeight="1" thickBot="1" x14ac:dyDescent="0.25">
      <c r="A30" s="41">
        <v>4.2</v>
      </c>
      <c r="B30" s="17" t="s">
        <v>21</v>
      </c>
      <c r="C30" s="38"/>
      <c r="D30" s="39"/>
      <c r="E30" s="42">
        <f>E17</f>
        <v>12.1</v>
      </c>
      <c r="F30" s="37" t="s">
        <v>15</v>
      </c>
      <c r="G30" s="104">
        <v>5900</v>
      </c>
      <c r="H30" s="104">
        <v>600</v>
      </c>
      <c r="I30" s="104">
        <v>20.151499999999999</v>
      </c>
      <c r="J30" s="104">
        <f>I30*G30</f>
        <v>118893.84999999999</v>
      </c>
      <c r="K30" s="104">
        <f>I30</f>
        <v>20.151499999999999</v>
      </c>
      <c r="L30" s="105">
        <f>K30*H30</f>
        <v>12090.9</v>
      </c>
      <c r="M30" s="106">
        <f t="shared" si="3"/>
        <v>130984.74999999999</v>
      </c>
      <c r="N30" s="136"/>
      <c r="O30" s="136"/>
      <c r="P30" s="136"/>
    </row>
    <row r="31" spans="1:16" s="21" customFormat="1" ht="15" customHeight="1" thickBot="1" x14ac:dyDescent="0.25">
      <c r="A31" s="342" t="s">
        <v>13</v>
      </c>
      <c r="B31" s="343"/>
      <c r="C31" s="343"/>
      <c r="D31" s="343"/>
      <c r="E31" s="343"/>
      <c r="F31" s="344"/>
      <c r="G31" s="99"/>
      <c r="H31" s="99"/>
      <c r="I31" s="99"/>
      <c r="J31" s="99"/>
      <c r="K31" s="99"/>
      <c r="L31" s="99"/>
      <c r="M31" s="20">
        <f>SUM(M29:M30)</f>
        <v>1065962.879</v>
      </c>
      <c r="N31" s="136"/>
      <c r="O31" s="136"/>
      <c r="P31" s="136"/>
    </row>
    <row r="32" spans="1:16" s="21" customFormat="1" ht="15" customHeight="1" x14ac:dyDescent="0.2">
      <c r="A32" s="15">
        <v>5</v>
      </c>
      <c r="B32" s="16" t="s">
        <v>22</v>
      </c>
      <c r="C32" s="22"/>
      <c r="D32" s="22"/>
      <c r="E32" s="23"/>
      <c r="F32" s="23"/>
      <c r="G32" s="24"/>
      <c r="H32" s="24"/>
      <c r="I32" s="24"/>
      <c r="J32" s="24"/>
      <c r="K32" s="24"/>
      <c r="L32" s="24"/>
      <c r="M32" s="25"/>
      <c r="N32" s="136"/>
      <c r="O32" s="136"/>
      <c r="P32" s="136"/>
    </row>
    <row r="33" spans="1:16" s="21" customFormat="1" ht="15" customHeight="1" x14ac:dyDescent="0.2">
      <c r="A33" s="71">
        <v>5.0999999999999996</v>
      </c>
      <c r="B33" s="43" t="s">
        <v>61</v>
      </c>
      <c r="C33" s="44"/>
      <c r="D33" s="44"/>
      <c r="E33" s="27"/>
      <c r="F33" s="27"/>
      <c r="G33" s="28"/>
      <c r="H33" s="28"/>
      <c r="I33" s="28"/>
      <c r="J33" s="28"/>
      <c r="K33" s="28"/>
      <c r="L33" s="30"/>
      <c r="M33" s="45"/>
      <c r="N33" s="136"/>
      <c r="O33" s="136"/>
      <c r="P33" s="136"/>
    </row>
    <row r="34" spans="1:16" ht="15" customHeight="1" x14ac:dyDescent="0.2">
      <c r="A34" s="72" t="s">
        <v>80</v>
      </c>
      <c r="B34" s="17" t="s">
        <v>36</v>
      </c>
      <c r="C34" s="102"/>
      <c r="D34" s="103"/>
      <c r="E34" s="73">
        <v>1</v>
      </c>
      <c r="F34" s="37" t="s">
        <v>7</v>
      </c>
      <c r="G34" s="104">
        <v>3200</v>
      </c>
      <c r="H34" s="104">
        <v>1000</v>
      </c>
      <c r="I34" s="104">
        <v>1</v>
      </c>
      <c r="J34" s="104">
        <f>I34*G34</f>
        <v>3200</v>
      </c>
      <c r="K34" s="104">
        <f>I34</f>
        <v>1</v>
      </c>
      <c r="L34" s="105">
        <f>K34*H34</f>
        <v>1000</v>
      </c>
      <c r="M34" s="106">
        <f t="shared" ref="M34:M40" si="4">L34+J34</f>
        <v>4200</v>
      </c>
      <c r="N34" s="136"/>
      <c r="O34" s="136"/>
      <c r="P34" s="136"/>
    </row>
    <row r="35" spans="1:16" s="21" customFormat="1" ht="15" customHeight="1" x14ac:dyDescent="0.2">
      <c r="A35" s="72" t="s">
        <v>81</v>
      </c>
      <c r="B35" s="17" t="s">
        <v>37</v>
      </c>
      <c r="C35" s="102"/>
      <c r="D35" s="103"/>
      <c r="E35" s="73">
        <v>1</v>
      </c>
      <c r="F35" s="37" t="s">
        <v>7</v>
      </c>
      <c r="G35" s="104">
        <v>3200</v>
      </c>
      <c r="H35" s="104">
        <v>1000</v>
      </c>
      <c r="I35" s="104">
        <v>1</v>
      </c>
      <c r="J35" s="104">
        <f>I35*G35</f>
        <v>3200</v>
      </c>
      <c r="K35" s="104">
        <f>I35</f>
        <v>1</v>
      </c>
      <c r="L35" s="105">
        <f>K35*H35</f>
        <v>1000</v>
      </c>
      <c r="M35" s="106">
        <f t="shared" si="4"/>
        <v>4200</v>
      </c>
      <c r="N35" s="136"/>
      <c r="O35" s="136"/>
      <c r="P35" s="136"/>
    </row>
    <row r="36" spans="1:16" s="21" customFormat="1" ht="15" customHeight="1" x14ac:dyDescent="0.2">
      <c r="A36" s="72" t="s">
        <v>82</v>
      </c>
      <c r="B36" s="17" t="s">
        <v>38</v>
      </c>
      <c r="C36" s="102"/>
      <c r="D36" s="103"/>
      <c r="E36" s="73">
        <v>1</v>
      </c>
      <c r="F36" s="37" t="s">
        <v>7</v>
      </c>
      <c r="G36" s="104">
        <v>4700</v>
      </c>
      <c r="H36" s="104">
        <v>1000</v>
      </c>
      <c r="I36" s="104">
        <v>1</v>
      </c>
      <c r="J36" s="104">
        <f>I36*G36</f>
        <v>4700</v>
      </c>
      <c r="K36" s="104">
        <f>I36</f>
        <v>1</v>
      </c>
      <c r="L36" s="105">
        <f>K36*H36</f>
        <v>1000</v>
      </c>
      <c r="M36" s="106">
        <f t="shared" si="4"/>
        <v>5700</v>
      </c>
      <c r="N36" s="136"/>
      <c r="O36" s="136"/>
      <c r="P36" s="136"/>
    </row>
    <row r="37" spans="1:16" s="21" customFormat="1" ht="15" customHeight="1" x14ac:dyDescent="0.2">
      <c r="A37" s="72" t="s">
        <v>83</v>
      </c>
      <c r="B37" s="17" t="s">
        <v>40</v>
      </c>
      <c r="C37" s="102"/>
      <c r="D37" s="103"/>
      <c r="E37" s="73">
        <v>1</v>
      </c>
      <c r="F37" s="37" t="s">
        <v>7</v>
      </c>
      <c r="G37" s="104">
        <v>5880</v>
      </c>
      <c r="H37" s="104">
        <v>1000</v>
      </c>
      <c r="I37" s="104">
        <v>1</v>
      </c>
      <c r="J37" s="104">
        <f>I37*G37</f>
        <v>5880</v>
      </c>
      <c r="K37" s="104">
        <f>I37</f>
        <v>1</v>
      </c>
      <c r="L37" s="105">
        <f>K37*H37</f>
        <v>1000</v>
      </c>
      <c r="M37" s="106">
        <f t="shared" si="4"/>
        <v>6880</v>
      </c>
      <c r="N37" s="136"/>
      <c r="O37" s="136"/>
      <c r="P37" s="136"/>
    </row>
    <row r="38" spans="1:16" s="21" customFormat="1" ht="15" customHeight="1" x14ac:dyDescent="0.2">
      <c r="A38" s="72" t="s">
        <v>84</v>
      </c>
      <c r="B38" s="17" t="s">
        <v>41</v>
      </c>
      <c r="C38" s="102"/>
      <c r="D38" s="103"/>
      <c r="E38" s="73">
        <v>1</v>
      </c>
      <c r="F38" s="37" t="s">
        <v>7</v>
      </c>
      <c r="G38" s="104">
        <v>3300</v>
      </c>
      <c r="H38" s="104">
        <v>1000</v>
      </c>
      <c r="I38" s="104">
        <v>1</v>
      </c>
      <c r="J38" s="104">
        <f>I38*G38</f>
        <v>3300</v>
      </c>
      <c r="K38" s="104">
        <f>I38</f>
        <v>1</v>
      </c>
      <c r="L38" s="105">
        <f>K38*H38</f>
        <v>1000</v>
      </c>
      <c r="M38" s="106">
        <f t="shared" si="4"/>
        <v>4300</v>
      </c>
      <c r="N38" s="136"/>
      <c r="O38" s="136"/>
      <c r="P38" s="136"/>
    </row>
    <row r="39" spans="1:16" s="21" customFormat="1" ht="15" customHeight="1" x14ac:dyDescent="0.2">
      <c r="A39" s="72" t="s">
        <v>85</v>
      </c>
      <c r="B39" s="17" t="s">
        <v>42</v>
      </c>
      <c r="C39" s="102"/>
      <c r="D39" s="103"/>
      <c r="E39" s="73">
        <v>3</v>
      </c>
      <c r="F39" s="37" t="s">
        <v>6</v>
      </c>
      <c r="G39" s="104">
        <v>5880</v>
      </c>
      <c r="H39" s="104">
        <v>1000</v>
      </c>
      <c r="I39" s="104">
        <v>3</v>
      </c>
      <c r="J39" s="104">
        <f>I39*G39</f>
        <v>17640</v>
      </c>
      <c r="K39" s="104">
        <f>I39</f>
        <v>3</v>
      </c>
      <c r="L39" s="105">
        <f>K39*H39</f>
        <v>3000</v>
      </c>
      <c r="M39" s="106">
        <f t="shared" si="4"/>
        <v>20640</v>
      </c>
      <c r="N39" s="136"/>
      <c r="O39" s="136"/>
      <c r="P39" s="136"/>
    </row>
    <row r="40" spans="1:16" s="21" customFormat="1" ht="15" customHeight="1" x14ac:dyDescent="0.2">
      <c r="A40" s="72" t="s">
        <v>86</v>
      </c>
      <c r="B40" s="17" t="s">
        <v>43</v>
      </c>
      <c r="C40" s="102"/>
      <c r="D40" s="103"/>
      <c r="E40" s="73">
        <v>1</v>
      </c>
      <c r="F40" s="37" t="s">
        <v>7</v>
      </c>
      <c r="G40" s="104">
        <v>7050</v>
      </c>
      <c r="H40" s="104">
        <v>1000</v>
      </c>
      <c r="I40" s="104">
        <v>2</v>
      </c>
      <c r="J40" s="104">
        <f>I40*G40</f>
        <v>14100</v>
      </c>
      <c r="K40" s="104">
        <f>I40</f>
        <v>2</v>
      </c>
      <c r="L40" s="105">
        <f>K40*H40</f>
        <v>2000</v>
      </c>
      <c r="M40" s="106">
        <f t="shared" si="4"/>
        <v>16100</v>
      </c>
      <c r="N40" s="136"/>
      <c r="O40" s="136"/>
      <c r="P40" s="136"/>
    </row>
    <row r="41" spans="1:16" s="21" customFormat="1" ht="15" customHeight="1" x14ac:dyDescent="0.2">
      <c r="A41" s="71">
        <v>5.2</v>
      </c>
      <c r="B41" s="43" t="s">
        <v>64</v>
      </c>
      <c r="C41" s="44"/>
      <c r="D41" s="44"/>
      <c r="E41" s="27"/>
      <c r="F41" s="27"/>
      <c r="G41" s="28"/>
      <c r="H41" s="28"/>
      <c r="I41" s="28"/>
      <c r="J41" s="28"/>
      <c r="K41" s="28"/>
      <c r="L41" s="30"/>
      <c r="M41" s="45"/>
      <c r="N41" s="136"/>
      <c r="O41" s="136"/>
      <c r="P41" s="136"/>
    </row>
    <row r="42" spans="1:16" s="21" customFormat="1" ht="15" customHeight="1" x14ac:dyDescent="0.2">
      <c r="A42" s="72" t="s">
        <v>87</v>
      </c>
      <c r="B42" s="17" t="s">
        <v>44</v>
      </c>
      <c r="C42" s="102"/>
      <c r="D42" s="103"/>
      <c r="E42" s="73">
        <v>1</v>
      </c>
      <c r="F42" s="37" t="s">
        <v>7</v>
      </c>
      <c r="G42" s="104">
        <v>4560</v>
      </c>
      <c r="H42" s="104">
        <v>1000</v>
      </c>
      <c r="I42" s="104">
        <v>1</v>
      </c>
      <c r="J42" s="104">
        <f>I42*G42</f>
        <v>4560</v>
      </c>
      <c r="K42" s="104">
        <f>I42</f>
        <v>1</v>
      </c>
      <c r="L42" s="105">
        <f>K42*H42</f>
        <v>1000</v>
      </c>
      <c r="M42" s="106">
        <f t="shared" ref="M42:M44" si="5">L42+J42</f>
        <v>5560</v>
      </c>
      <c r="N42" s="136"/>
      <c r="O42" s="136"/>
      <c r="P42" s="136"/>
    </row>
    <row r="43" spans="1:16" s="21" customFormat="1" ht="15" customHeight="1" x14ac:dyDescent="0.2">
      <c r="A43" s="72" t="s">
        <v>88</v>
      </c>
      <c r="B43" s="17" t="s">
        <v>58</v>
      </c>
      <c r="C43" s="102"/>
      <c r="D43" s="103"/>
      <c r="E43" s="73">
        <v>4</v>
      </c>
      <c r="F43" s="37" t="s">
        <v>6</v>
      </c>
      <c r="G43" s="104">
        <v>4560</v>
      </c>
      <c r="H43" s="104">
        <v>1000</v>
      </c>
      <c r="I43" s="104">
        <v>4</v>
      </c>
      <c r="J43" s="104">
        <f>I43*G43</f>
        <v>18240</v>
      </c>
      <c r="K43" s="104">
        <f>I43</f>
        <v>4</v>
      </c>
      <c r="L43" s="105">
        <f>K43*H43</f>
        <v>4000</v>
      </c>
      <c r="M43" s="106">
        <f t="shared" si="5"/>
        <v>22240</v>
      </c>
      <c r="N43" s="136"/>
      <c r="O43" s="136"/>
      <c r="P43" s="136"/>
    </row>
    <row r="44" spans="1:16" s="21" customFormat="1" ht="15" customHeight="1" x14ac:dyDescent="0.2">
      <c r="A44" s="72" t="s">
        <v>89</v>
      </c>
      <c r="B44" s="17" t="s">
        <v>39</v>
      </c>
      <c r="C44" s="102"/>
      <c r="D44" s="103"/>
      <c r="E44" s="73">
        <v>3</v>
      </c>
      <c r="F44" s="37" t="s">
        <v>6</v>
      </c>
      <c r="G44" s="104">
        <v>4560</v>
      </c>
      <c r="H44" s="104">
        <v>1000</v>
      </c>
      <c r="I44" s="104">
        <v>3</v>
      </c>
      <c r="J44" s="104">
        <f>I44*G44</f>
        <v>13680</v>
      </c>
      <c r="K44" s="104">
        <f>I44</f>
        <v>3</v>
      </c>
      <c r="L44" s="105">
        <f>K44*H44</f>
        <v>3000</v>
      </c>
      <c r="M44" s="106">
        <f t="shared" si="5"/>
        <v>16680</v>
      </c>
      <c r="N44" s="136"/>
      <c r="O44" s="136"/>
      <c r="P44" s="136"/>
    </row>
    <row r="45" spans="1:16" s="21" customFormat="1" ht="15" customHeight="1" x14ac:dyDescent="0.2">
      <c r="A45" s="71">
        <v>5.3</v>
      </c>
      <c r="B45" s="43" t="s">
        <v>62</v>
      </c>
      <c r="C45" s="44"/>
      <c r="D45" s="44"/>
      <c r="E45" s="27"/>
      <c r="F45" s="27"/>
      <c r="G45" s="28"/>
      <c r="H45" s="28"/>
      <c r="I45" s="28"/>
      <c r="J45" s="28"/>
      <c r="K45" s="28"/>
      <c r="L45" s="30"/>
      <c r="M45" s="45"/>
      <c r="N45" s="136"/>
      <c r="O45" s="136"/>
      <c r="P45" s="136"/>
    </row>
    <row r="46" spans="1:16" s="21" customFormat="1" ht="15" customHeight="1" x14ac:dyDescent="0.2">
      <c r="A46" s="72" t="s">
        <v>90</v>
      </c>
      <c r="B46" s="17" t="s">
        <v>45</v>
      </c>
      <c r="C46" s="102"/>
      <c r="D46" s="103"/>
      <c r="E46" s="73">
        <v>1</v>
      </c>
      <c r="F46" s="37" t="s">
        <v>7</v>
      </c>
      <c r="G46" s="104">
        <v>14900</v>
      </c>
      <c r="H46" s="104">
        <v>1000</v>
      </c>
      <c r="I46" s="104">
        <v>1</v>
      </c>
      <c r="J46" s="104">
        <f>I46*G46</f>
        <v>14900</v>
      </c>
      <c r="K46" s="104">
        <f>I46</f>
        <v>1</v>
      </c>
      <c r="L46" s="105">
        <f>K46*H46</f>
        <v>1000</v>
      </c>
      <c r="M46" s="106">
        <f t="shared" ref="M46:M53" si="6">L46+J46</f>
        <v>15900</v>
      </c>
      <c r="N46" s="136"/>
      <c r="O46" s="136"/>
      <c r="P46" s="136"/>
    </row>
    <row r="47" spans="1:16" s="21" customFormat="1" ht="15" customHeight="1" x14ac:dyDescent="0.2">
      <c r="A47" s="72" t="s">
        <v>91</v>
      </c>
      <c r="B47" s="17" t="s">
        <v>46</v>
      </c>
      <c r="C47" s="102"/>
      <c r="D47" s="103"/>
      <c r="E47" s="73">
        <v>1</v>
      </c>
      <c r="F47" s="37" t="s">
        <v>7</v>
      </c>
      <c r="G47" s="104">
        <v>8700</v>
      </c>
      <c r="H47" s="104">
        <v>1000</v>
      </c>
      <c r="I47" s="104">
        <v>1</v>
      </c>
      <c r="J47" s="104">
        <f>I47*G47</f>
        <v>8700</v>
      </c>
      <c r="K47" s="104">
        <f>I47</f>
        <v>1</v>
      </c>
      <c r="L47" s="105">
        <f>K47*H47</f>
        <v>1000</v>
      </c>
      <c r="M47" s="106">
        <f t="shared" si="6"/>
        <v>9700</v>
      </c>
      <c r="N47" s="136"/>
      <c r="O47" s="136"/>
      <c r="P47" s="136"/>
    </row>
    <row r="48" spans="1:16" s="21" customFormat="1" ht="15" customHeight="1" x14ac:dyDescent="0.2">
      <c r="A48" s="72" t="s">
        <v>92</v>
      </c>
      <c r="B48" s="17" t="s">
        <v>47</v>
      </c>
      <c r="C48" s="102"/>
      <c r="D48" s="103"/>
      <c r="E48" s="73">
        <v>3</v>
      </c>
      <c r="F48" s="37" t="s">
        <v>6</v>
      </c>
      <c r="G48" s="104">
        <v>5320</v>
      </c>
      <c r="H48" s="104">
        <v>1000</v>
      </c>
      <c r="I48" s="104">
        <v>0</v>
      </c>
      <c r="J48" s="104">
        <f>I48*G48</f>
        <v>0</v>
      </c>
      <c r="K48" s="104">
        <f>I48</f>
        <v>0</v>
      </c>
      <c r="L48" s="105">
        <f>K48*H48</f>
        <v>0</v>
      </c>
      <c r="M48" s="106">
        <f t="shared" si="6"/>
        <v>0</v>
      </c>
      <c r="N48" s="136"/>
      <c r="O48" s="136"/>
      <c r="P48" s="136"/>
    </row>
    <row r="49" spans="1:16" s="21" customFormat="1" ht="15" customHeight="1" x14ac:dyDescent="0.2">
      <c r="A49" s="72" t="s">
        <v>93</v>
      </c>
      <c r="B49" s="17" t="s">
        <v>48</v>
      </c>
      <c r="C49" s="102"/>
      <c r="D49" s="103"/>
      <c r="E49" s="73">
        <v>1</v>
      </c>
      <c r="F49" s="37" t="s">
        <v>7</v>
      </c>
      <c r="G49" s="104">
        <v>3200</v>
      </c>
      <c r="H49" s="104">
        <v>1000</v>
      </c>
      <c r="I49" s="104">
        <v>1</v>
      </c>
      <c r="J49" s="104">
        <f>I49*G49</f>
        <v>3200</v>
      </c>
      <c r="K49" s="104">
        <f>I49</f>
        <v>1</v>
      </c>
      <c r="L49" s="105">
        <f>K49*H49</f>
        <v>1000</v>
      </c>
      <c r="M49" s="106">
        <f t="shared" si="6"/>
        <v>4200</v>
      </c>
      <c r="N49" s="136"/>
      <c r="O49" s="136"/>
      <c r="P49" s="136"/>
    </row>
    <row r="50" spans="1:16" s="21" customFormat="1" ht="15" customHeight="1" x14ac:dyDescent="0.2">
      <c r="A50" s="72" t="s">
        <v>94</v>
      </c>
      <c r="B50" s="17" t="s">
        <v>49</v>
      </c>
      <c r="C50" s="102"/>
      <c r="D50" s="103"/>
      <c r="E50" s="73">
        <v>1</v>
      </c>
      <c r="F50" s="37" t="s">
        <v>7</v>
      </c>
      <c r="G50" s="104">
        <v>3200</v>
      </c>
      <c r="H50" s="104">
        <v>1000</v>
      </c>
      <c r="I50" s="104">
        <v>1</v>
      </c>
      <c r="J50" s="104">
        <f>I50*G50</f>
        <v>3200</v>
      </c>
      <c r="K50" s="104">
        <f>I50</f>
        <v>1</v>
      </c>
      <c r="L50" s="105">
        <f>K50*H50</f>
        <v>1000</v>
      </c>
      <c r="M50" s="106">
        <f t="shared" si="6"/>
        <v>4200</v>
      </c>
      <c r="N50" s="136"/>
      <c r="O50" s="136"/>
      <c r="P50" s="136"/>
    </row>
    <row r="51" spans="1:16" s="21" customFormat="1" ht="15" customHeight="1" x14ac:dyDescent="0.2">
      <c r="A51" s="72" t="s">
        <v>95</v>
      </c>
      <c r="B51" s="17" t="s">
        <v>50</v>
      </c>
      <c r="C51" s="102"/>
      <c r="D51" s="103"/>
      <c r="E51" s="73">
        <v>1</v>
      </c>
      <c r="F51" s="37" t="s">
        <v>7</v>
      </c>
      <c r="G51" s="104">
        <v>4700</v>
      </c>
      <c r="H51" s="104">
        <v>1000</v>
      </c>
      <c r="I51" s="104">
        <v>1</v>
      </c>
      <c r="J51" s="104">
        <f>I51*G51</f>
        <v>4700</v>
      </c>
      <c r="K51" s="104">
        <f>I51</f>
        <v>1</v>
      </c>
      <c r="L51" s="105">
        <f>K51*H51</f>
        <v>1000</v>
      </c>
      <c r="M51" s="106">
        <f t="shared" si="6"/>
        <v>5700</v>
      </c>
      <c r="N51" s="136"/>
      <c r="O51" s="136"/>
      <c r="P51" s="136"/>
    </row>
    <row r="52" spans="1:16" s="21" customFormat="1" ht="15" customHeight="1" x14ac:dyDescent="0.2">
      <c r="A52" s="72" t="s">
        <v>96</v>
      </c>
      <c r="B52" s="17" t="s">
        <v>51</v>
      </c>
      <c r="C52" s="102"/>
      <c r="D52" s="103"/>
      <c r="E52" s="73">
        <v>1</v>
      </c>
      <c r="F52" s="37" t="s">
        <v>7</v>
      </c>
      <c r="G52" s="104">
        <v>5850</v>
      </c>
      <c r="H52" s="104">
        <v>1000</v>
      </c>
      <c r="I52" s="104">
        <v>1</v>
      </c>
      <c r="J52" s="104">
        <f>I52*G52</f>
        <v>5850</v>
      </c>
      <c r="K52" s="104">
        <f>I52</f>
        <v>1</v>
      </c>
      <c r="L52" s="105">
        <f>K52*H52</f>
        <v>1000</v>
      </c>
      <c r="M52" s="106">
        <f t="shared" si="6"/>
        <v>6850</v>
      </c>
      <c r="N52" s="136"/>
      <c r="O52" s="136"/>
      <c r="P52" s="136"/>
    </row>
    <row r="53" spans="1:16" s="21" customFormat="1" ht="15" customHeight="1" x14ac:dyDescent="0.2">
      <c r="A53" s="72" t="s">
        <v>97</v>
      </c>
      <c r="B53" s="17" t="s">
        <v>52</v>
      </c>
      <c r="C53" s="102"/>
      <c r="D53" s="103"/>
      <c r="E53" s="73">
        <v>1</v>
      </c>
      <c r="F53" s="37" t="s">
        <v>7</v>
      </c>
      <c r="G53" s="104">
        <v>3200</v>
      </c>
      <c r="H53" s="104">
        <v>1000</v>
      </c>
      <c r="I53" s="104">
        <v>1</v>
      </c>
      <c r="J53" s="104">
        <f>I53*G53</f>
        <v>3200</v>
      </c>
      <c r="K53" s="104">
        <f>I53</f>
        <v>1</v>
      </c>
      <c r="L53" s="105">
        <f>K53*H53</f>
        <v>1000</v>
      </c>
      <c r="M53" s="106">
        <f t="shared" si="6"/>
        <v>4200</v>
      </c>
      <c r="N53" s="136"/>
      <c r="O53" s="136"/>
      <c r="P53" s="136"/>
    </row>
    <row r="54" spans="1:16" s="21" customFormat="1" ht="15" customHeight="1" x14ac:dyDescent="0.2">
      <c r="A54" s="71">
        <v>5.4</v>
      </c>
      <c r="B54" s="43" t="s">
        <v>60</v>
      </c>
      <c r="C54" s="44"/>
      <c r="D54" s="44"/>
      <c r="E54" s="27"/>
      <c r="F54" s="27"/>
      <c r="G54" s="28"/>
      <c r="H54" s="28"/>
      <c r="I54" s="28"/>
      <c r="J54" s="28"/>
      <c r="K54" s="28"/>
      <c r="L54" s="30"/>
      <c r="M54" s="45"/>
      <c r="N54" s="136"/>
      <c r="O54" s="136"/>
      <c r="P54" s="136"/>
    </row>
    <row r="55" spans="1:16" s="21" customFormat="1" ht="15" customHeight="1" thickBot="1" x14ac:dyDescent="0.25">
      <c r="A55" s="72" t="s">
        <v>98</v>
      </c>
      <c r="B55" s="17" t="s">
        <v>59</v>
      </c>
      <c r="C55" s="102"/>
      <c r="D55" s="103"/>
      <c r="E55" s="73">
        <v>7</v>
      </c>
      <c r="F55" s="37" t="s">
        <v>6</v>
      </c>
      <c r="G55" s="104">
        <v>1200</v>
      </c>
      <c r="H55" s="104">
        <v>500</v>
      </c>
      <c r="I55" s="104">
        <v>5</v>
      </c>
      <c r="J55" s="104">
        <f>I55*G55</f>
        <v>6000</v>
      </c>
      <c r="K55" s="104">
        <f>I55</f>
        <v>5</v>
      </c>
      <c r="L55" s="105">
        <f>K55*H55</f>
        <v>2500</v>
      </c>
      <c r="M55" s="106">
        <f t="shared" ref="M55" si="7">L55+J55</f>
        <v>8500</v>
      </c>
      <c r="N55" s="136"/>
      <c r="O55" s="136"/>
      <c r="P55" s="136"/>
    </row>
    <row r="56" spans="1:16" s="21" customFormat="1" ht="15" customHeight="1" thickBot="1" x14ac:dyDescent="0.25">
      <c r="A56" s="342" t="s">
        <v>13</v>
      </c>
      <c r="B56" s="343"/>
      <c r="C56" s="343"/>
      <c r="D56" s="343"/>
      <c r="E56" s="343"/>
      <c r="F56" s="344"/>
      <c r="G56" s="99"/>
      <c r="H56" s="99"/>
      <c r="I56" s="99"/>
      <c r="J56" s="99"/>
      <c r="K56" s="99"/>
      <c r="L56" s="99"/>
      <c r="M56" s="19">
        <f>SUM(M34:M55)</f>
        <v>165750</v>
      </c>
      <c r="N56" s="136"/>
      <c r="O56" s="136"/>
      <c r="P56" s="136"/>
    </row>
    <row r="57" spans="1:16" s="21" customFormat="1" ht="15" customHeight="1" x14ac:dyDescent="0.2">
      <c r="A57" s="15">
        <v>6</v>
      </c>
      <c r="B57" s="16" t="s">
        <v>100</v>
      </c>
      <c r="C57" s="22"/>
      <c r="D57" s="22"/>
      <c r="E57" s="23"/>
      <c r="F57" s="23"/>
      <c r="G57" s="24"/>
      <c r="H57" s="24"/>
      <c r="I57" s="24"/>
      <c r="J57" s="24"/>
      <c r="K57" s="24"/>
      <c r="L57" s="24"/>
      <c r="M57" s="25"/>
      <c r="N57" s="136"/>
      <c r="O57" s="136"/>
      <c r="P57" s="136"/>
    </row>
    <row r="58" spans="1:16" s="21" customFormat="1" ht="15" customHeight="1" x14ac:dyDescent="0.2">
      <c r="A58" s="65">
        <v>6.1</v>
      </c>
      <c r="B58" s="82" t="s">
        <v>63</v>
      </c>
      <c r="C58" s="34"/>
      <c r="D58" s="36"/>
      <c r="E58" s="40">
        <v>1</v>
      </c>
      <c r="F58" s="40" t="s">
        <v>7</v>
      </c>
      <c r="G58" s="104">
        <v>215000</v>
      </c>
      <c r="H58" s="104">
        <v>8000</v>
      </c>
      <c r="I58" s="104">
        <v>1</v>
      </c>
      <c r="J58" s="104">
        <f>I58*G58</f>
        <v>215000</v>
      </c>
      <c r="K58" s="104">
        <f>I58</f>
        <v>1</v>
      </c>
      <c r="L58" s="105">
        <f>K58*H58</f>
        <v>8000</v>
      </c>
      <c r="M58" s="106">
        <f t="shared" ref="M58:M59" si="8">L58+J58</f>
        <v>223000</v>
      </c>
      <c r="N58" s="136"/>
      <c r="O58" s="136"/>
      <c r="P58" s="136"/>
    </row>
    <row r="59" spans="1:16" ht="15" customHeight="1" thickBot="1" x14ac:dyDescent="0.25">
      <c r="A59" s="41">
        <v>6.2</v>
      </c>
      <c r="B59" s="66" t="s">
        <v>23</v>
      </c>
      <c r="C59" s="67"/>
      <c r="D59" s="68"/>
      <c r="E59" s="42">
        <v>1</v>
      </c>
      <c r="F59" s="69" t="s">
        <v>9</v>
      </c>
      <c r="G59" s="104">
        <v>0</v>
      </c>
      <c r="H59" s="104">
        <v>90000</v>
      </c>
      <c r="I59" s="104">
        <v>1</v>
      </c>
      <c r="J59" s="104">
        <f>I59*G59</f>
        <v>0</v>
      </c>
      <c r="K59" s="104">
        <f>I59</f>
        <v>1</v>
      </c>
      <c r="L59" s="105">
        <f>K59*H59</f>
        <v>90000</v>
      </c>
      <c r="M59" s="106">
        <f t="shared" si="8"/>
        <v>90000</v>
      </c>
      <c r="N59" s="136"/>
      <c r="O59" s="136"/>
      <c r="P59" s="136"/>
    </row>
    <row r="60" spans="1:16" s="9" customFormat="1" ht="15" customHeight="1" thickBot="1" x14ac:dyDescent="0.25">
      <c r="A60" s="342" t="s">
        <v>13</v>
      </c>
      <c r="B60" s="343"/>
      <c r="C60" s="343"/>
      <c r="D60" s="343"/>
      <c r="E60" s="343"/>
      <c r="F60" s="344"/>
      <c r="G60" s="99"/>
      <c r="H60" s="99"/>
      <c r="I60" s="99"/>
      <c r="J60" s="99"/>
      <c r="K60" s="99"/>
      <c r="L60" s="99"/>
      <c r="M60" s="19">
        <f>SUM(M58:M59)</f>
        <v>313000</v>
      </c>
      <c r="N60" s="136"/>
      <c r="O60" s="136"/>
      <c r="P60" s="136"/>
    </row>
    <row r="61" spans="1:16" s="21" customFormat="1" ht="15" customHeight="1" x14ac:dyDescent="0.2">
      <c r="A61" s="74">
        <v>7</v>
      </c>
      <c r="B61" s="75" t="s">
        <v>101</v>
      </c>
      <c r="C61" s="76"/>
      <c r="D61" s="76"/>
      <c r="E61" s="77"/>
      <c r="F61" s="77"/>
      <c r="G61" s="77"/>
      <c r="H61" s="77"/>
      <c r="I61" s="77"/>
      <c r="J61" s="77"/>
      <c r="K61" s="77"/>
      <c r="L61" s="78"/>
      <c r="M61" s="79"/>
      <c r="N61" s="136"/>
      <c r="O61" s="136"/>
      <c r="P61" s="136"/>
    </row>
    <row r="62" spans="1:16" s="21" customFormat="1" ht="15" customHeight="1" x14ac:dyDescent="0.2">
      <c r="A62" s="35">
        <v>7.1</v>
      </c>
      <c r="B62" s="58" t="s">
        <v>65</v>
      </c>
      <c r="C62" s="59"/>
      <c r="D62" s="60"/>
      <c r="E62" s="42">
        <v>1</v>
      </c>
      <c r="F62" s="37" t="s">
        <v>7</v>
      </c>
      <c r="G62" s="104">
        <v>0</v>
      </c>
      <c r="H62" s="104">
        <v>35000</v>
      </c>
      <c r="I62" s="104">
        <v>1</v>
      </c>
      <c r="J62" s="104">
        <f>I62*G62</f>
        <v>0</v>
      </c>
      <c r="K62" s="104">
        <f>I62</f>
        <v>1</v>
      </c>
      <c r="L62" s="105">
        <f>K62*H62</f>
        <v>35000</v>
      </c>
      <c r="M62" s="106">
        <f t="shared" ref="M62:M65" si="9">L62+J62</f>
        <v>35000</v>
      </c>
      <c r="N62" s="136"/>
      <c r="O62" s="136"/>
      <c r="P62" s="136"/>
    </row>
    <row r="63" spans="1:16" s="7" customFormat="1" ht="14.25" x14ac:dyDescent="0.2">
      <c r="A63" s="35">
        <v>7.2</v>
      </c>
      <c r="B63" s="32" t="s">
        <v>70</v>
      </c>
      <c r="C63" s="38"/>
      <c r="D63" s="39"/>
      <c r="E63" s="42">
        <v>1</v>
      </c>
      <c r="F63" s="37" t="s">
        <v>9</v>
      </c>
      <c r="G63" s="104">
        <v>0</v>
      </c>
      <c r="H63" s="104">
        <v>0</v>
      </c>
      <c r="I63" s="104"/>
      <c r="J63" s="104">
        <f>I63*G63</f>
        <v>0</v>
      </c>
      <c r="K63" s="104">
        <f>I63</f>
        <v>0</v>
      </c>
      <c r="L63" s="105">
        <f>K63*H63</f>
        <v>0</v>
      </c>
      <c r="M63" s="106">
        <f t="shared" si="9"/>
        <v>0</v>
      </c>
      <c r="N63" s="136"/>
      <c r="O63" s="136"/>
      <c r="P63" s="136"/>
    </row>
    <row r="64" spans="1:16" s="21" customFormat="1" ht="15" customHeight="1" x14ac:dyDescent="0.2">
      <c r="A64" s="35">
        <v>7.3</v>
      </c>
      <c r="B64" s="80" t="s">
        <v>54</v>
      </c>
      <c r="C64" s="38"/>
      <c r="D64" s="39"/>
      <c r="E64" s="42">
        <v>1</v>
      </c>
      <c r="F64" s="37" t="s">
        <v>9</v>
      </c>
      <c r="G64" s="104">
        <v>0</v>
      </c>
      <c r="H64" s="104">
        <v>0</v>
      </c>
      <c r="I64" s="104"/>
      <c r="J64" s="104">
        <f>I64*G64</f>
        <v>0</v>
      </c>
      <c r="K64" s="104">
        <f>I64</f>
        <v>0</v>
      </c>
      <c r="L64" s="105">
        <f>K64*H64</f>
        <v>0</v>
      </c>
      <c r="M64" s="106">
        <f t="shared" si="9"/>
        <v>0</v>
      </c>
      <c r="N64" s="136"/>
      <c r="O64" s="136"/>
      <c r="P64" s="136"/>
    </row>
    <row r="65" spans="1:16" s="21" customFormat="1" ht="15" customHeight="1" thickBot="1" x14ac:dyDescent="0.25">
      <c r="A65" s="35">
        <v>7.4</v>
      </c>
      <c r="B65" s="66" t="s">
        <v>12</v>
      </c>
      <c r="C65" s="67"/>
      <c r="D65" s="68"/>
      <c r="E65" s="42">
        <v>1</v>
      </c>
      <c r="F65" s="69" t="s">
        <v>9</v>
      </c>
      <c r="G65" s="104">
        <v>0</v>
      </c>
      <c r="H65" s="104">
        <v>15000</v>
      </c>
      <c r="I65" s="104">
        <v>1</v>
      </c>
      <c r="J65" s="104">
        <f>I65*G65</f>
        <v>0</v>
      </c>
      <c r="K65" s="104">
        <f>I65</f>
        <v>1</v>
      </c>
      <c r="L65" s="105">
        <f>K65*H65</f>
        <v>15000</v>
      </c>
      <c r="M65" s="106">
        <f t="shared" si="9"/>
        <v>15000</v>
      </c>
      <c r="N65" s="136"/>
      <c r="O65" s="136"/>
      <c r="P65" s="136"/>
    </row>
    <row r="66" spans="1:16" s="21" customFormat="1" ht="15" customHeight="1" thickBot="1" x14ac:dyDescent="0.25">
      <c r="A66" s="345" t="s">
        <v>13</v>
      </c>
      <c r="B66" s="346"/>
      <c r="C66" s="346"/>
      <c r="D66" s="346"/>
      <c r="E66" s="346"/>
      <c r="F66" s="347"/>
      <c r="G66" s="100"/>
      <c r="H66" s="100"/>
      <c r="I66" s="100"/>
      <c r="J66" s="100"/>
      <c r="K66" s="100"/>
      <c r="L66" s="100"/>
      <c r="M66" s="19">
        <f>SUM(M62:M65)</f>
        <v>50000</v>
      </c>
      <c r="N66" s="136"/>
      <c r="O66" s="136"/>
      <c r="P66" s="136"/>
    </row>
    <row r="67" spans="1:16" s="21" customFormat="1" ht="15" customHeight="1" x14ac:dyDescent="0.2">
      <c r="A67" s="15">
        <v>8</v>
      </c>
      <c r="B67" s="16" t="s">
        <v>24</v>
      </c>
      <c r="C67" s="22"/>
      <c r="D67" s="22"/>
      <c r="E67" s="23"/>
      <c r="F67" s="23"/>
      <c r="G67" s="24"/>
      <c r="H67" s="24"/>
      <c r="I67" s="24"/>
      <c r="J67" s="24"/>
      <c r="K67" s="24"/>
      <c r="L67" s="24"/>
      <c r="M67" s="25"/>
      <c r="N67" s="136"/>
      <c r="O67" s="136"/>
      <c r="P67" s="136"/>
    </row>
    <row r="68" spans="1:16" s="21" customFormat="1" ht="15" customHeight="1" thickBot="1" x14ac:dyDescent="0.25">
      <c r="A68" s="35">
        <v>8.1</v>
      </c>
      <c r="B68" s="17" t="s">
        <v>25</v>
      </c>
      <c r="C68" s="38"/>
      <c r="D68" s="39"/>
      <c r="E68" s="42">
        <v>1</v>
      </c>
      <c r="F68" s="37" t="s">
        <v>9</v>
      </c>
      <c r="G68" s="104">
        <v>0</v>
      </c>
      <c r="H68" s="104">
        <v>60000</v>
      </c>
      <c r="I68" s="104">
        <v>1</v>
      </c>
      <c r="J68" s="104">
        <f>I68*G68</f>
        <v>0</v>
      </c>
      <c r="K68" s="104">
        <f>I68</f>
        <v>1</v>
      </c>
      <c r="L68" s="105">
        <f>K68*H68</f>
        <v>60000</v>
      </c>
      <c r="M68" s="106">
        <f t="shared" ref="M68" si="10">L68+J68</f>
        <v>60000</v>
      </c>
      <c r="N68" s="136"/>
      <c r="O68" s="136"/>
      <c r="P68" s="136"/>
    </row>
    <row r="69" spans="1:16" ht="15" customHeight="1" thickBot="1" x14ac:dyDescent="0.25">
      <c r="A69" s="342" t="s">
        <v>13</v>
      </c>
      <c r="B69" s="343"/>
      <c r="C69" s="343"/>
      <c r="D69" s="343"/>
      <c r="E69" s="343"/>
      <c r="F69" s="344"/>
      <c r="G69" s="99"/>
      <c r="H69" s="99"/>
      <c r="I69" s="99"/>
      <c r="J69" s="99"/>
      <c r="K69" s="99"/>
      <c r="L69" s="99"/>
      <c r="M69" s="19">
        <f>SUM(M68)</f>
        <v>60000</v>
      </c>
      <c r="N69" s="136"/>
      <c r="O69" s="136"/>
      <c r="P69" s="136"/>
    </row>
    <row r="70" spans="1:16" s="21" customFormat="1" ht="15" customHeight="1" x14ac:dyDescent="0.2">
      <c r="A70" s="15">
        <v>9</v>
      </c>
      <c r="B70" s="16" t="s">
        <v>26</v>
      </c>
      <c r="C70" s="22"/>
      <c r="D70" s="22"/>
      <c r="E70" s="23"/>
      <c r="F70" s="23"/>
      <c r="G70" s="24"/>
      <c r="H70" s="24"/>
      <c r="I70" s="24"/>
      <c r="J70" s="24"/>
      <c r="K70" s="24"/>
      <c r="L70" s="24"/>
      <c r="M70" s="25"/>
      <c r="N70" s="136"/>
      <c r="O70" s="136"/>
      <c r="P70" s="136"/>
    </row>
    <row r="71" spans="1:16" s="21" customFormat="1" ht="15" customHeight="1" x14ac:dyDescent="0.2">
      <c r="A71" s="31">
        <v>9.1</v>
      </c>
      <c r="B71" s="32" t="s">
        <v>27</v>
      </c>
      <c r="C71" s="38"/>
      <c r="D71" s="38"/>
      <c r="E71" s="40">
        <v>1</v>
      </c>
      <c r="F71" s="46" t="s">
        <v>9</v>
      </c>
      <c r="G71" s="104">
        <v>0</v>
      </c>
      <c r="H71" s="104">
        <v>15000</v>
      </c>
      <c r="I71" s="104">
        <v>1</v>
      </c>
      <c r="J71" s="104">
        <f>I71*G71</f>
        <v>0</v>
      </c>
      <c r="K71" s="104">
        <f>I71</f>
        <v>1</v>
      </c>
      <c r="L71" s="105">
        <f>K71*H71</f>
        <v>15000</v>
      </c>
      <c r="M71" s="106">
        <f t="shared" ref="M71:M73" si="11">L71+J71</f>
        <v>15000</v>
      </c>
      <c r="N71" s="136"/>
      <c r="O71" s="136"/>
      <c r="P71" s="136"/>
    </row>
    <row r="72" spans="1:16" ht="15" customHeight="1" x14ac:dyDescent="0.2">
      <c r="A72" s="31">
        <v>9.1999999999999993</v>
      </c>
      <c r="B72" s="32" t="s">
        <v>28</v>
      </c>
      <c r="C72" s="38"/>
      <c r="D72" s="38"/>
      <c r="E72" s="40">
        <v>1</v>
      </c>
      <c r="F72" s="46" t="s">
        <v>9</v>
      </c>
      <c r="G72" s="104">
        <v>0</v>
      </c>
      <c r="H72" s="104">
        <v>60000</v>
      </c>
      <c r="I72" s="104">
        <v>1</v>
      </c>
      <c r="J72" s="104">
        <f>I72*G72</f>
        <v>0</v>
      </c>
      <c r="K72" s="104">
        <f>I72</f>
        <v>1</v>
      </c>
      <c r="L72" s="105">
        <f>K72*H72</f>
        <v>60000</v>
      </c>
      <c r="M72" s="106">
        <f t="shared" si="11"/>
        <v>60000</v>
      </c>
      <c r="N72" s="136"/>
      <c r="O72" s="136"/>
      <c r="P72" s="136"/>
    </row>
    <row r="73" spans="1:16" s="47" customFormat="1" ht="15" customHeight="1" thickBot="1" x14ac:dyDescent="0.25">
      <c r="A73" s="31">
        <v>9.3000000000000007</v>
      </c>
      <c r="B73" s="32" t="s">
        <v>29</v>
      </c>
      <c r="C73" s="38"/>
      <c r="D73" s="38"/>
      <c r="E73" s="42">
        <v>1</v>
      </c>
      <c r="F73" s="46" t="s">
        <v>9</v>
      </c>
      <c r="G73" s="104">
        <v>0</v>
      </c>
      <c r="H73" s="104">
        <v>15000</v>
      </c>
      <c r="I73" s="104">
        <v>1</v>
      </c>
      <c r="J73" s="104">
        <f>I73*G73</f>
        <v>0</v>
      </c>
      <c r="K73" s="104">
        <f>I73</f>
        <v>1</v>
      </c>
      <c r="L73" s="105">
        <f>K73*H73</f>
        <v>15000</v>
      </c>
      <c r="M73" s="106">
        <f t="shared" si="11"/>
        <v>15000</v>
      </c>
      <c r="N73" s="136"/>
      <c r="O73" s="136"/>
      <c r="P73" s="136"/>
    </row>
    <row r="74" spans="1:16" s="47" customFormat="1" ht="15" customHeight="1" thickBot="1" x14ac:dyDescent="0.25">
      <c r="A74" s="342" t="s">
        <v>13</v>
      </c>
      <c r="B74" s="343"/>
      <c r="C74" s="343"/>
      <c r="D74" s="343"/>
      <c r="E74" s="343"/>
      <c r="F74" s="344"/>
      <c r="G74" s="99"/>
      <c r="H74" s="99"/>
      <c r="I74" s="99"/>
      <c r="J74" s="99"/>
      <c r="K74" s="99"/>
      <c r="L74" s="99"/>
      <c r="M74" s="19">
        <f>SUM(M71:M73)</f>
        <v>90000</v>
      </c>
      <c r="N74" s="136"/>
      <c r="O74" s="136"/>
      <c r="P74" s="136"/>
    </row>
    <row r="75" spans="1:16" s="47" customFormat="1" ht="15" customHeight="1" x14ac:dyDescent="0.2">
      <c r="A75" s="15">
        <v>10</v>
      </c>
      <c r="B75" s="16" t="s">
        <v>30</v>
      </c>
      <c r="C75" s="22"/>
      <c r="D75" s="22"/>
      <c r="E75" s="23"/>
      <c r="F75" s="23"/>
      <c r="G75" s="24"/>
      <c r="H75" s="24"/>
      <c r="I75" s="24"/>
      <c r="J75" s="24"/>
      <c r="K75" s="24"/>
      <c r="L75" s="24"/>
      <c r="M75" s="25"/>
      <c r="N75" s="136"/>
      <c r="O75" s="136"/>
      <c r="P75" s="136"/>
    </row>
    <row r="76" spans="1:16" s="21" customFormat="1" ht="15" customHeight="1" x14ac:dyDescent="0.2">
      <c r="A76" s="31">
        <v>10.1</v>
      </c>
      <c r="B76" s="33" t="s">
        <v>31</v>
      </c>
      <c r="C76" s="48"/>
      <c r="D76" s="49"/>
      <c r="E76" s="40">
        <v>1</v>
      </c>
      <c r="F76" s="46" t="s">
        <v>9</v>
      </c>
      <c r="G76" s="104">
        <v>0</v>
      </c>
      <c r="H76" s="104">
        <v>30000</v>
      </c>
      <c r="I76" s="104">
        <v>1</v>
      </c>
      <c r="J76" s="104">
        <f>I76*G76</f>
        <v>0</v>
      </c>
      <c r="K76" s="104">
        <f>I76</f>
        <v>1</v>
      </c>
      <c r="L76" s="105">
        <f>K76*H76</f>
        <v>30000</v>
      </c>
      <c r="M76" s="106">
        <f t="shared" ref="M76:M77" si="12">L76+J76</f>
        <v>30000</v>
      </c>
      <c r="N76" s="136"/>
      <c r="O76" s="136"/>
      <c r="P76" s="136"/>
    </row>
    <row r="77" spans="1:16" ht="15" customHeight="1" thickBot="1" x14ac:dyDescent="0.25">
      <c r="A77" s="31">
        <v>10.199999999999999</v>
      </c>
      <c r="B77" s="33" t="s">
        <v>32</v>
      </c>
      <c r="C77" s="48"/>
      <c r="D77" s="51"/>
      <c r="E77" s="42">
        <v>1</v>
      </c>
      <c r="F77" s="46" t="s">
        <v>9</v>
      </c>
      <c r="G77" s="104">
        <v>0</v>
      </c>
      <c r="H77" s="104">
        <v>15000</v>
      </c>
      <c r="I77" s="104"/>
      <c r="J77" s="104">
        <f>I77*G77</f>
        <v>0</v>
      </c>
      <c r="K77" s="104">
        <f>I77</f>
        <v>0</v>
      </c>
      <c r="L77" s="105">
        <f>K77*H77</f>
        <v>0</v>
      </c>
      <c r="M77" s="106">
        <f t="shared" si="12"/>
        <v>0</v>
      </c>
      <c r="N77" s="136"/>
      <c r="O77" s="136"/>
      <c r="P77" s="136"/>
    </row>
    <row r="78" spans="1:16" s="50" customFormat="1" ht="15" customHeight="1" thickBot="1" x14ac:dyDescent="0.25">
      <c r="A78" s="342" t="s">
        <v>8</v>
      </c>
      <c r="B78" s="343"/>
      <c r="C78" s="343"/>
      <c r="D78" s="343"/>
      <c r="E78" s="343"/>
      <c r="F78" s="344"/>
      <c r="G78" s="99"/>
      <c r="H78" s="99"/>
      <c r="I78" s="99"/>
      <c r="J78" s="99"/>
      <c r="K78" s="99"/>
      <c r="L78" s="99"/>
      <c r="M78" s="19">
        <f>SUM(M76:M77)</f>
        <v>30000</v>
      </c>
      <c r="N78" s="136"/>
      <c r="O78" s="136"/>
      <c r="P78" s="136"/>
    </row>
    <row r="79" spans="1:16" s="50" customFormat="1" ht="15" customHeight="1" x14ac:dyDescent="0.2">
      <c r="A79" s="15">
        <v>11</v>
      </c>
      <c r="B79" s="16" t="s">
        <v>3</v>
      </c>
      <c r="C79" s="22"/>
      <c r="D79" s="22"/>
      <c r="E79" s="23"/>
      <c r="F79" s="23"/>
      <c r="G79" s="24"/>
      <c r="H79" s="24"/>
      <c r="I79" s="24"/>
      <c r="J79" s="24"/>
      <c r="K79" s="24"/>
      <c r="L79" s="24"/>
      <c r="M79" s="25"/>
      <c r="N79" s="136"/>
      <c r="O79" s="136"/>
      <c r="P79" s="136"/>
    </row>
    <row r="80" spans="1:16" s="21" customFormat="1" ht="15" customHeight="1" x14ac:dyDescent="0.2">
      <c r="A80" s="52">
        <v>11.1</v>
      </c>
      <c r="B80" s="33" t="s">
        <v>10</v>
      </c>
      <c r="C80" s="18"/>
      <c r="D80" s="53"/>
      <c r="E80" s="40">
        <v>1</v>
      </c>
      <c r="F80" s="46" t="s">
        <v>9</v>
      </c>
      <c r="G80" s="104">
        <v>0</v>
      </c>
      <c r="H80" s="104">
        <v>15000</v>
      </c>
      <c r="I80" s="104">
        <v>1</v>
      </c>
      <c r="J80" s="104">
        <f>I80*G80</f>
        <v>0</v>
      </c>
      <c r="K80" s="104">
        <f>I80</f>
        <v>1</v>
      </c>
      <c r="L80" s="105">
        <f>K80*H80</f>
        <v>15000</v>
      </c>
      <c r="M80" s="106">
        <f t="shared" ref="M80:M83" si="13">L80+J80</f>
        <v>15000</v>
      </c>
      <c r="N80" s="136"/>
      <c r="O80" s="136"/>
      <c r="P80" s="136"/>
    </row>
    <row r="81" spans="1:16" ht="15" customHeight="1" x14ac:dyDescent="0.2">
      <c r="A81" s="52">
        <v>11.2</v>
      </c>
      <c r="B81" s="33" t="s">
        <v>11</v>
      </c>
      <c r="C81" s="18"/>
      <c r="D81" s="53"/>
      <c r="E81" s="40">
        <v>1</v>
      </c>
      <c r="F81" s="46" t="s">
        <v>9</v>
      </c>
      <c r="G81" s="104">
        <v>0</v>
      </c>
      <c r="H81" s="104">
        <v>10000</v>
      </c>
      <c r="I81" s="104">
        <v>1</v>
      </c>
      <c r="J81" s="104">
        <f>I81*G81</f>
        <v>0</v>
      </c>
      <c r="K81" s="104">
        <f>I81</f>
        <v>1</v>
      </c>
      <c r="L81" s="105">
        <f>K81*H81</f>
        <v>10000</v>
      </c>
      <c r="M81" s="106">
        <f t="shared" si="13"/>
        <v>10000</v>
      </c>
      <c r="N81" s="136"/>
      <c r="O81" s="136"/>
      <c r="P81" s="136"/>
    </row>
    <row r="82" spans="1:16" s="21" customFormat="1" ht="15" customHeight="1" x14ac:dyDescent="0.2">
      <c r="A82" s="52">
        <v>11.3</v>
      </c>
      <c r="B82" s="33" t="s">
        <v>33</v>
      </c>
      <c r="C82" s="18"/>
      <c r="D82" s="53"/>
      <c r="E82" s="40">
        <v>1</v>
      </c>
      <c r="F82" s="46" t="s">
        <v>9</v>
      </c>
      <c r="G82" s="104">
        <v>0</v>
      </c>
      <c r="H82" s="104">
        <v>30000</v>
      </c>
      <c r="I82" s="104">
        <v>1</v>
      </c>
      <c r="J82" s="104">
        <f>I82*G82</f>
        <v>0</v>
      </c>
      <c r="K82" s="104">
        <f>I82</f>
        <v>1</v>
      </c>
      <c r="L82" s="105">
        <f>K82*H82</f>
        <v>30000</v>
      </c>
      <c r="M82" s="106">
        <f t="shared" si="13"/>
        <v>30000</v>
      </c>
      <c r="N82" s="136"/>
      <c r="O82" s="136"/>
      <c r="P82" s="136"/>
    </row>
    <row r="83" spans="1:16" s="21" customFormat="1" ht="15" customHeight="1" thickBot="1" x14ac:dyDescent="0.25">
      <c r="A83" s="52">
        <v>11.4</v>
      </c>
      <c r="B83" s="33" t="s">
        <v>34</v>
      </c>
      <c r="C83" s="18"/>
      <c r="D83" s="53"/>
      <c r="E83" s="42">
        <v>1</v>
      </c>
      <c r="F83" s="46" t="s">
        <v>9</v>
      </c>
      <c r="G83" s="104">
        <v>0</v>
      </c>
      <c r="H83" s="104">
        <v>20000</v>
      </c>
      <c r="I83" s="104">
        <v>1</v>
      </c>
      <c r="J83" s="104">
        <f>I83*G83</f>
        <v>0</v>
      </c>
      <c r="K83" s="104">
        <f>I83</f>
        <v>1</v>
      </c>
      <c r="L83" s="105">
        <f>K83*H83</f>
        <v>20000</v>
      </c>
      <c r="M83" s="106">
        <f t="shared" si="13"/>
        <v>20000</v>
      </c>
      <c r="N83" s="136"/>
      <c r="O83" s="136"/>
      <c r="P83" s="136"/>
    </row>
    <row r="84" spans="1:16" s="21" customFormat="1" ht="15" customHeight="1" thickBot="1" x14ac:dyDescent="0.25">
      <c r="A84" s="339" t="s">
        <v>13</v>
      </c>
      <c r="B84" s="340"/>
      <c r="C84" s="340"/>
      <c r="D84" s="340"/>
      <c r="E84" s="340"/>
      <c r="F84" s="341"/>
      <c r="G84" s="98"/>
      <c r="H84" s="98"/>
      <c r="I84" s="98"/>
      <c r="J84" s="98"/>
      <c r="K84" s="98"/>
      <c r="L84" s="98"/>
      <c r="M84" s="54">
        <f>SUM(M80:M83)</f>
        <v>75000</v>
      </c>
      <c r="N84" s="136"/>
      <c r="O84" s="136"/>
      <c r="P84" s="136"/>
    </row>
    <row r="85" spans="1:16" s="21" customFormat="1" ht="15" customHeight="1" thickBot="1" x14ac:dyDescent="0.25">
      <c r="A85" s="339" t="s">
        <v>103</v>
      </c>
      <c r="B85" s="340"/>
      <c r="C85" s="340"/>
      <c r="D85" s="340"/>
      <c r="E85" s="340"/>
      <c r="F85" s="341"/>
      <c r="G85" s="98"/>
      <c r="H85" s="98"/>
      <c r="I85" s="98"/>
      <c r="J85" s="98"/>
      <c r="K85" s="98"/>
      <c r="L85" s="98"/>
      <c r="M85" s="107">
        <f>M84+M78+M74+M69+M66+M60+M56+M31+M27+M23+M13</f>
        <v>3085641.0149999997</v>
      </c>
      <c r="N85" s="136"/>
      <c r="O85" s="136"/>
      <c r="P85" s="136"/>
    </row>
    <row r="86" spans="1:16" s="21" customFormat="1" ht="15" customHeight="1" x14ac:dyDescent="0.2">
      <c r="A86" s="56"/>
      <c r="B86" s="26"/>
      <c r="C86" s="26"/>
      <c r="D86" s="26"/>
      <c r="E86" s="57"/>
      <c r="F86" s="57"/>
      <c r="G86" s="55"/>
      <c r="H86" s="55"/>
      <c r="I86" s="55"/>
      <c r="J86" s="55"/>
      <c r="K86" s="55"/>
      <c r="L86" s="55"/>
      <c r="M86" s="55"/>
    </row>
  </sheetData>
  <mergeCells count="23">
    <mergeCell ref="A5:A7"/>
    <mergeCell ref="B5:D7"/>
    <mergeCell ref="E5:H5"/>
    <mergeCell ref="I5:M5"/>
    <mergeCell ref="I6:J6"/>
    <mergeCell ref="K6:L6"/>
    <mergeCell ref="M6:M7"/>
    <mergeCell ref="E6:E7"/>
    <mergeCell ref="F6:F7"/>
    <mergeCell ref="G6:G7"/>
    <mergeCell ref="H6:H7"/>
    <mergeCell ref="A85:F85"/>
    <mergeCell ref="A13:F13"/>
    <mergeCell ref="A23:F23"/>
    <mergeCell ref="A27:F27"/>
    <mergeCell ref="A31:F31"/>
    <mergeCell ref="A84:F84"/>
    <mergeCell ref="A56:F56"/>
    <mergeCell ref="A60:F60"/>
    <mergeCell ref="A69:F69"/>
    <mergeCell ref="A74:F74"/>
    <mergeCell ref="A78:F78"/>
    <mergeCell ref="A66:F66"/>
  </mergeCells>
  <printOptions horizontalCentered="1" gridLinesSet="0"/>
  <pageMargins left="0.5" right="0.25" top="0.75" bottom="0.53" header="0.5" footer="0.12"/>
  <pageSetup paperSize="9" scale="82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6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D186"/>
  <sheetViews>
    <sheetView showGridLines="0" topLeftCell="A22" zoomScale="110" zoomScaleNormal="110" zoomScaleSheetLayoutView="100" workbookViewId="0">
      <selection activeCell="H20" sqref="H20"/>
    </sheetView>
  </sheetViews>
  <sheetFormatPr defaultColWidth="9.140625" defaultRowHeight="12.75" x14ac:dyDescent="0.2"/>
  <cols>
    <col min="1" max="1" width="8.7109375" style="295" customWidth="1"/>
    <col min="2" max="2" width="58.7109375" style="294" customWidth="1"/>
    <col min="3" max="3" width="6.42578125" style="296" customWidth="1"/>
    <col min="4" max="4" width="5.28515625" style="296" customWidth="1"/>
    <col min="5" max="5" width="10.42578125" style="297" customWidth="1"/>
    <col min="6" max="6" width="9.85546875" style="297" customWidth="1"/>
    <col min="7" max="7" width="7.85546875" style="297" customWidth="1"/>
    <col min="8" max="8" width="11.28515625" style="297" customWidth="1"/>
    <col min="9" max="9" width="8.140625" style="297" customWidth="1"/>
    <col min="10" max="11" width="11.28515625" style="297" customWidth="1"/>
    <col min="12" max="16384" width="9.140625" style="294"/>
  </cols>
  <sheetData>
    <row r="1" spans="1:56" s="1" customFormat="1" ht="15" x14ac:dyDescent="0.2">
      <c r="A1" s="1" t="s">
        <v>75</v>
      </c>
      <c r="E1" s="3"/>
      <c r="F1" s="3"/>
      <c r="G1" s="3"/>
      <c r="H1" s="3"/>
      <c r="I1" s="3"/>
      <c r="J1" s="3"/>
      <c r="K1" s="3" t="s">
        <v>4</v>
      </c>
    </row>
    <row r="2" spans="1:56" s="1" customFormat="1" ht="15" x14ac:dyDescent="0.2">
      <c r="A2" s="231" t="s">
        <v>199</v>
      </c>
      <c r="E2" s="3"/>
      <c r="F2" s="3"/>
      <c r="G2" s="3"/>
      <c r="H2" s="3"/>
      <c r="I2" s="3"/>
      <c r="J2" s="3"/>
      <c r="K2" s="3" t="s">
        <v>76</v>
      </c>
    </row>
    <row r="3" spans="1:56" s="1" customFormat="1" ht="15" x14ac:dyDescent="0.2">
      <c r="A3" s="231"/>
      <c r="E3" s="3"/>
      <c r="F3" s="3"/>
      <c r="G3" s="3"/>
      <c r="H3" s="3"/>
      <c r="I3" s="3"/>
      <c r="J3" s="3"/>
      <c r="K3" s="3"/>
    </row>
    <row r="4" spans="1:56" s="1" customFormat="1" ht="15" x14ac:dyDescent="0.2">
      <c r="A4" s="360" t="s">
        <v>4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</row>
    <row r="5" spans="1:56" s="232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s="10" customFormat="1" ht="21.75" customHeight="1" x14ac:dyDescent="0.2">
      <c r="A6" s="348" t="s">
        <v>1</v>
      </c>
      <c r="B6" s="358" t="s">
        <v>2</v>
      </c>
      <c r="C6" s="350" t="s">
        <v>4</v>
      </c>
      <c r="D6" s="350"/>
      <c r="E6" s="350"/>
      <c r="F6" s="350"/>
      <c r="G6" s="351" t="s">
        <v>277</v>
      </c>
      <c r="H6" s="352"/>
      <c r="I6" s="352"/>
      <c r="J6" s="352"/>
      <c r="K6" s="353"/>
    </row>
    <row r="7" spans="1:56" s="10" customFormat="1" ht="21.75" customHeight="1" x14ac:dyDescent="0.2">
      <c r="A7" s="348"/>
      <c r="B7" s="365"/>
      <c r="C7" s="356" t="s">
        <v>271</v>
      </c>
      <c r="D7" s="358" t="s">
        <v>0</v>
      </c>
      <c r="E7" s="356" t="s">
        <v>272</v>
      </c>
      <c r="F7" s="356" t="s">
        <v>273</v>
      </c>
      <c r="G7" s="351" t="s">
        <v>267</v>
      </c>
      <c r="H7" s="353"/>
      <c r="I7" s="351" t="s">
        <v>268</v>
      </c>
      <c r="J7" s="353"/>
      <c r="K7" s="354" t="s">
        <v>269</v>
      </c>
    </row>
    <row r="8" spans="1:56" s="14" customFormat="1" ht="24.75" customHeight="1" x14ac:dyDescent="0.2">
      <c r="A8" s="348"/>
      <c r="B8" s="366"/>
      <c r="C8" s="367"/>
      <c r="D8" s="366"/>
      <c r="E8" s="367"/>
      <c r="F8" s="367"/>
      <c r="G8" s="327" t="s">
        <v>274</v>
      </c>
      <c r="H8" s="327" t="s">
        <v>270</v>
      </c>
      <c r="I8" s="327" t="s">
        <v>274</v>
      </c>
      <c r="J8" s="327" t="s">
        <v>270</v>
      </c>
      <c r="K8" s="355"/>
    </row>
    <row r="9" spans="1:56" s="9" customFormat="1" ht="14.25" customHeight="1" x14ac:dyDescent="0.2">
      <c r="A9" s="6">
        <v>1</v>
      </c>
      <c r="B9" s="233" t="s">
        <v>200</v>
      </c>
      <c r="C9" s="234"/>
      <c r="D9" s="234"/>
      <c r="E9" s="234"/>
      <c r="F9" s="234"/>
      <c r="G9" s="234"/>
      <c r="H9" s="234"/>
      <c r="I9" s="234"/>
      <c r="J9" s="234"/>
      <c r="K9" s="234"/>
    </row>
    <row r="10" spans="1:56" s="9" customFormat="1" ht="14.1" customHeight="1" x14ac:dyDescent="0.2">
      <c r="A10" s="235">
        <v>1.1000000000000001</v>
      </c>
      <c r="B10" s="85" t="s">
        <v>201</v>
      </c>
      <c r="C10" s="236">
        <v>5</v>
      </c>
      <c r="D10" s="237" t="s">
        <v>6</v>
      </c>
      <c r="E10" s="238">
        <v>9000</v>
      </c>
      <c r="F10" s="238">
        <v>1000</v>
      </c>
      <c r="G10" s="104">
        <v>9</v>
      </c>
      <c r="H10" s="104">
        <f>G10*E10</f>
        <v>81000</v>
      </c>
      <c r="I10" s="104">
        <f>G10</f>
        <v>9</v>
      </c>
      <c r="J10" s="105">
        <f>I10*F10</f>
        <v>9000</v>
      </c>
      <c r="K10" s="106">
        <f>J10+H10</f>
        <v>90000</v>
      </c>
      <c r="L10" s="136"/>
      <c r="M10" s="136"/>
      <c r="N10" s="136"/>
    </row>
    <row r="11" spans="1:56" s="9" customFormat="1" ht="25.5" customHeight="1" x14ac:dyDescent="0.2">
      <c r="A11" s="235">
        <v>1.2</v>
      </c>
      <c r="B11" s="239" t="s">
        <v>202</v>
      </c>
      <c r="C11" s="236">
        <v>1</v>
      </c>
      <c r="D11" s="237" t="s">
        <v>9</v>
      </c>
      <c r="E11" s="238">
        <v>0</v>
      </c>
      <c r="F11" s="238">
        <v>35000</v>
      </c>
      <c r="G11" s="104">
        <v>1</v>
      </c>
      <c r="H11" s="104">
        <f>G11*E11</f>
        <v>0</v>
      </c>
      <c r="I11" s="104">
        <f>G11</f>
        <v>1</v>
      </c>
      <c r="J11" s="105">
        <f>I11*F11</f>
        <v>35000</v>
      </c>
      <c r="K11" s="106">
        <f>J11+H11</f>
        <v>35000</v>
      </c>
      <c r="L11" s="136"/>
      <c r="M11" s="136"/>
      <c r="N11" s="136"/>
    </row>
    <row r="12" spans="1:56" s="9" customFormat="1" ht="14.25" customHeight="1" thickBot="1" x14ac:dyDescent="0.25">
      <c r="A12" s="235">
        <v>1.3</v>
      </c>
      <c r="B12" s="85" t="s">
        <v>203</v>
      </c>
      <c r="C12" s="236" t="s">
        <v>110</v>
      </c>
      <c r="D12" s="240" t="s">
        <v>7</v>
      </c>
      <c r="E12" s="238">
        <v>0</v>
      </c>
      <c r="F12" s="238">
        <v>0</v>
      </c>
      <c r="G12" s="104">
        <v>0</v>
      </c>
      <c r="H12" s="104">
        <f>G12*E12</f>
        <v>0</v>
      </c>
      <c r="I12" s="104">
        <f>G12</f>
        <v>0</v>
      </c>
      <c r="J12" s="105">
        <f>I12*F12</f>
        <v>0</v>
      </c>
      <c r="K12" s="106">
        <f>J12+H12</f>
        <v>0</v>
      </c>
      <c r="L12" s="136"/>
      <c r="M12" s="136"/>
      <c r="N12" s="136"/>
    </row>
    <row r="13" spans="1:56" s="9" customFormat="1" ht="14.25" customHeight="1" thickBot="1" x14ac:dyDescent="0.25">
      <c r="A13" s="361" t="s">
        <v>8</v>
      </c>
      <c r="B13" s="362"/>
      <c r="C13" s="362"/>
      <c r="D13" s="362"/>
      <c r="E13" s="241"/>
      <c r="F13" s="241"/>
      <c r="G13" s="241"/>
      <c r="H13" s="241"/>
      <c r="I13" s="241"/>
      <c r="J13" s="241"/>
      <c r="K13" s="313">
        <f>SUM(K10:K12)</f>
        <v>125000</v>
      </c>
      <c r="L13" s="136"/>
      <c r="M13" s="136"/>
      <c r="N13" s="136"/>
    </row>
    <row r="14" spans="1:56" s="9" customFormat="1" ht="14.25" customHeight="1" x14ac:dyDescent="0.2">
      <c r="A14" s="6">
        <v>2</v>
      </c>
      <c r="B14" s="242" t="s">
        <v>204</v>
      </c>
      <c r="C14" s="243"/>
      <c r="D14" s="243"/>
      <c r="E14" s="243"/>
      <c r="F14" s="244"/>
      <c r="G14" s="245"/>
      <c r="H14" s="245"/>
      <c r="I14" s="245"/>
      <c r="J14" s="245"/>
      <c r="K14" s="245"/>
      <c r="L14" s="136"/>
      <c r="M14" s="136"/>
      <c r="N14" s="136"/>
    </row>
    <row r="15" spans="1:56" s="9" customFormat="1" ht="14.25" customHeight="1" thickBot="1" x14ac:dyDescent="0.25">
      <c r="A15" s="235">
        <v>2.1</v>
      </c>
      <c r="B15" s="239" t="s">
        <v>205</v>
      </c>
      <c r="C15" s="246">
        <f>C10</f>
        <v>5</v>
      </c>
      <c r="D15" s="247" t="s">
        <v>6</v>
      </c>
      <c r="E15" s="238">
        <v>11000</v>
      </c>
      <c r="F15" s="238">
        <v>1000</v>
      </c>
      <c r="G15" s="104">
        <v>9</v>
      </c>
      <c r="H15" s="104">
        <f>G15*E15</f>
        <v>99000</v>
      </c>
      <c r="I15" s="104">
        <f>G15</f>
        <v>9</v>
      </c>
      <c r="J15" s="105">
        <f>I15*F15</f>
        <v>9000</v>
      </c>
      <c r="K15" s="106">
        <f>J15+H15</f>
        <v>108000</v>
      </c>
      <c r="L15" s="136"/>
      <c r="M15" s="136"/>
      <c r="N15" s="136"/>
    </row>
    <row r="16" spans="1:56" s="9" customFormat="1" ht="14.25" customHeight="1" thickBot="1" x14ac:dyDescent="0.25">
      <c r="A16" s="361" t="s">
        <v>8</v>
      </c>
      <c r="B16" s="362"/>
      <c r="C16" s="362"/>
      <c r="D16" s="362"/>
      <c r="E16" s="248"/>
      <c r="F16" s="248"/>
      <c r="G16" s="248"/>
      <c r="H16" s="248"/>
      <c r="I16" s="248"/>
      <c r="J16" s="248"/>
      <c r="K16" s="313">
        <f>SUM(K15)</f>
        <v>108000</v>
      </c>
      <c r="L16" s="136"/>
      <c r="M16" s="136"/>
      <c r="N16" s="136"/>
    </row>
    <row r="17" spans="1:14" s="9" customFormat="1" ht="14.25" customHeight="1" x14ac:dyDescent="0.2">
      <c r="A17" s="6">
        <v>3</v>
      </c>
      <c r="B17" s="242" t="s">
        <v>206</v>
      </c>
      <c r="C17" s="249"/>
      <c r="D17" s="249"/>
      <c r="E17" s="249"/>
      <c r="F17" s="249"/>
      <c r="G17" s="250"/>
      <c r="H17" s="250"/>
      <c r="I17" s="250"/>
      <c r="J17" s="250"/>
      <c r="K17" s="250"/>
      <c r="L17" s="136"/>
      <c r="M17" s="136"/>
      <c r="N17" s="136"/>
    </row>
    <row r="18" spans="1:14" s="9" customFormat="1" ht="14.25" customHeight="1" thickBot="1" x14ac:dyDescent="0.25">
      <c r="A18" s="235">
        <v>3.1</v>
      </c>
      <c r="B18" s="251" t="s">
        <v>207</v>
      </c>
      <c r="C18" s="236">
        <v>1</v>
      </c>
      <c r="D18" s="240" t="s">
        <v>7</v>
      </c>
      <c r="E18" s="238">
        <v>17000</v>
      </c>
      <c r="F18" s="238">
        <v>500</v>
      </c>
      <c r="G18" s="104">
        <v>0</v>
      </c>
      <c r="H18" s="104">
        <f>G18*E18</f>
        <v>0</v>
      </c>
      <c r="I18" s="104">
        <f>G18</f>
        <v>0</v>
      </c>
      <c r="J18" s="105">
        <f>I18*F18</f>
        <v>0</v>
      </c>
      <c r="K18" s="106">
        <f>J18+H18</f>
        <v>0</v>
      </c>
      <c r="L18" s="136"/>
      <c r="M18" s="136"/>
      <c r="N18" s="136"/>
    </row>
    <row r="19" spans="1:14" s="9" customFormat="1" ht="14.25" customHeight="1" thickBot="1" x14ac:dyDescent="0.25">
      <c r="A19" s="361" t="s">
        <v>8</v>
      </c>
      <c r="B19" s="362"/>
      <c r="C19" s="362"/>
      <c r="D19" s="362"/>
      <c r="E19" s="241"/>
      <c r="F19" s="241"/>
      <c r="G19" s="241"/>
      <c r="H19" s="241"/>
      <c r="I19" s="241"/>
      <c r="J19" s="241"/>
      <c r="K19" s="313">
        <f>SUM(K18)</f>
        <v>0</v>
      </c>
      <c r="L19" s="136"/>
      <c r="M19" s="136"/>
      <c r="N19" s="136"/>
    </row>
    <row r="20" spans="1:14" s="9" customFormat="1" ht="14.25" customHeight="1" thickBot="1" x14ac:dyDescent="0.25">
      <c r="A20" s="6">
        <v>4</v>
      </c>
      <c r="B20" s="242" t="s">
        <v>208</v>
      </c>
      <c r="C20" s="249"/>
      <c r="D20" s="249"/>
      <c r="E20" s="249"/>
      <c r="F20" s="249"/>
      <c r="G20" s="249"/>
      <c r="H20" s="249"/>
      <c r="I20" s="249"/>
      <c r="J20" s="249"/>
      <c r="K20" s="313"/>
      <c r="L20" s="136"/>
      <c r="M20" s="136"/>
      <c r="N20" s="136"/>
    </row>
    <row r="21" spans="1:14" s="9" customFormat="1" ht="14.25" customHeight="1" x14ac:dyDescent="0.2">
      <c r="A21" s="252">
        <v>4.0999999999999996</v>
      </c>
      <c r="B21" s="253" t="s">
        <v>209</v>
      </c>
      <c r="C21" s="254"/>
      <c r="D21" s="255"/>
      <c r="E21" s="256"/>
      <c r="F21" s="256"/>
      <c r="G21" s="256"/>
      <c r="H21" s="256"/>
      <c r="I21" s="256"/>
      <c r="J21" s="256"/>
      <c r="K21" s="256"/>
      <c r="L21" s="136"/>
      <c r="M21" s="136"/>
      <c r="N21" s="136"/>
    </row>
    <row r="22" spans="1:14" s="9" customFormat="1" ht="14.25" customHeight="1" x14ac:dyDescent="0.2">
      <c r="A22" s="235" t="s">
        <v>210</v>
      </c>
      <c r="B22" s="85" t="s">
        <v>211</v>
      </c>
      <c r="C22" s="257" t="s">
        <v>110</v>
      </c>
      <c r="D22" s="247" t="s">
        <v>73</v>
      </c>
      <c r="E22" s="238">
        <v>0</v>
      </c>
      <c r="F22" s="238">
        <v>0</v>
      </c>
      <c r="G22" s="104"/>
      <c r="H22" s="104">
        <f t="shared" ref="H22:H27" si="0">G22*E22</f>
        <v>0</v>
      </c>
      <c r="I22" s="104">
        <f t="shared" ref="I22:I27" si="1">G22</f>
        <v>0</v>
      </c>
      <c r="J22" s="105">
        <f t="shared" ref="J22:J27" si="2">I22*F22</f>
        <v>0</v>
      </c>
      <c r="K22" s="106">
        <f t="shared" ref="K22:K27" si="3">J22+H22</f>
        <v>0</v>
      </c>
      <c r="L22" s="136"/>
      <c r="M22" s="136"/>
      <c r="N22" s="136"/>
    </row>
    <row r="23" spans="1:14" s="9" customFormat="1" ht="14.25" customHeight="1" x14ac:dyDescent="0.2">
      <c r="A23" s="235" t="s">
        <v>212</v>
      </c>
      <c r="B23" s="85" t="s">
        <v>213</v>
      </c>
      <c r="C23" s="257" t="s">
        <v>110</v>
      </c>
      <c r="D23" s="247" t="s">
        <v>73</v>
      </c>
      <c r="E23" s="238">
        <v>0</v>
      </c>
      <c r="F23" s="238">
        <v>0</v>
      </c>
      <c r="G23" s="104"/>
      <c r="H23" s="104">
        <f t="shared" si="0"/>
        <v>0</v>
      </c>
      <c r="I23" s="104">
        <f t="shared" si="1"/>
        <v>0</v>
      </c>
      <c r="J23" s="105">
        <f t="shared" si="2"/>
        <v>0</v>
      </c>
      <c r="K23" s="106">
        <f t="shared" si="3"/>
        <v>0</v>
      </c>
      <c r="L23" s="136"/>
      <c r="M23" s="136"/>
      <c r="N23" s="136"/>
    </row>
    <row r="24" spans="1:14" s="9" customFormat="1" ht="14.25" customHeight="1" x14ac:dyDescent="0.2">
      <c r="A24" s="235" t="s">
        <v>214</v>
      </c>
      <c r="B24" s="85" t="s">
        <v>215</v>
      </c>
      <c r="C24" s="257" t="s">
        <v>110</v>
      </c>
      <c r="D24" s="247" t="s">
        <v>73</v>
      </c>
      <c r="E24" s="238">
        <v>0</v>
      </c>
      <c r="F24" s="238">
        <v>0</v>
      </c>
      <c r="G24" s="104"/>
      <c r="H24" s="104">
        <f t="shared" si="0"/>
        <v>0</v>
      </c>
      <c r="I24" s="104">
        <f t="shared" si="1"/>
        <v>0</v>
      </c>
      <c r="J24" s="105">
        <f t="shared" si="2"/>
        <v>0</v>
      </c>
      <c r="K24" s="106">
        <f t="shared" si="3"/>
        <v>0</v>
      </c>
      <c r="L24" s="136"/>
      <c r="M24" s="136"/>
      <c r="N24" s="136"/>
    </row>
    <row r="25" spans="1:14" s="9" customFormat="1" ht="14.25" customHeight="1" x14ac:dyDescent="0.2">
      <c r="A25" s="235" t="s">
        <v>216</v>
      </c>
      <c r="B25" s="85" t="s">
        <v>217</v>
      </c>
      <c r="C25" s="258" t="s">
        <v>110</v>
      </c>
      <c r="D25" s="247" t="s">
        <v>73</v>
      </c>
      <c r="E25" s="238">
        <v>0</v>
      </c>
      <c r="F25" s="238">
        <v>0</v>
      </c>
      <c r="G25" s="104"/>
      <c r="H25" s="104">
        <f t="shared" si="0"/>
        <v>0</v>
      </c>
      <c r="I25" s="104">
        <f t="shared" si="1"/>
        <v>0</v>
      </c>
      <c r="J25" s="105">
        <f t="shared" si="2"/>
        <v>0</v>
      </c>
      <c r="K25" s="106">
        <f t="shared" si="3"/>
        <v>0</v>
      </c>
      <c r="L25" s="136"/>
      <c r="M25" s="136"/>
      <c r="N25" s="136"/>
    </row>
    <row r="26" spans="1:14" s="9" customFormat="1" ht="14.25" customHeight="1" x14ac:dyDescent="0.2">
      <c r="A26" s="235" t="s">
        <v>218</v>
      </c>
      <c r="B26" s="85" t="s">
        <v>219</v>
      </c>
      <c r="C26" s="258" t="s">
        <v>110</v>
      </c>
      <c r="D26" s="247" t="s">
        <v>73</v>
      </c>
      <c r="E26" s="238">
        <v>0</v>
      </c>
      <c r="F26" s="238">
        <v>0</v>
      </c>
      <c r="G26" s="104"/>
      <c r="H26" s="104">
        <f t="shared" si="0"/>
        <v>0</v>
      </c>
      <c r="I26" s="104">
        <f t="shared" si="1"/>
        <v>0</v>
      </c>
      <c r="J26" s="105">
        <f t="shared" si="2"/>
        <v>0</v>
      </c>
      <c r="K26" s="106">
        <f t="shared" si="3"/>
        <v>0</v>
      </c>
      <c r="L26" s="136"/>
      <c r="M26" s="136"/>
      <c r="N26" s="136"/>
    </row>
    <row r="27" spans="1:14" s="9" customFormat="1" ht="14.25" customHeight="1" x14ac:dyDescent="0.2">
      <c r="A27" s="235" t="s">
        <v>220</v>
      </c>
      <c r="B27" s="85" t="s">
        <v>221</v>
      </c>
      <c r="C27" s="258" t="s">
        <v>110</v>
      </c>
      <c r="D27" s="247" t="s">
        <v>73</v>
      </c>
      <c r="E27" s="238">
        <v>0</v>
      </c>
      <c r="F27" s="238">
        <v>0</v>
      </c>
      <c r="G27" s="104"/>
      <c r="H27" s="104">
        <f t="shared" si="0"/>
        <v>0</v>
      </c>
      <c r="I27" s="104">
        <f t="shared" si="1"/>
        <v>0</v>
      </c>
      <c r="J27" s="105">
        <f t="shared" si="2"/>
        <v>0</v>
      </c>
      <c r="K27" s="106">
        <f t="shared" si="3"/>
        <v>0</v>
      </c>
      <c r="L27" s="136"/>
      <c r="M27" s="136"/>
      <c r="N27" s="136"/>
    </row>
    <row r="28" spans="1:14" s="9" customFormat="1" ht="14.25" customHeight="1" x14ac:dyDescent="0.2">
      <c r="A28" s="252">
        <v>4.2</v>
      </c>
      <c r="B28" s="253" t="s">
        <v>222</v>
      </c>
      <c r="C28" s="254"/>
      <c r="D28" s="255"/>
      <c r="E28" s="256"/>
      <c r="F28" s="256"/>
      <c r="G28" s="256"/>
      <c r="H28" s="256"/>
      <c r="I28" s="256"/>
      <c r="J28" s="256"/>
      <c r="K28" s="256"/>
      <c r="L28" s="136"/>
      <c r="M28" s="136"/>
      <c r="N28" s="136"/>
    </row>
    <row r="29" spans="1:14" s="9" customFormat="1" ht="14.25" customHeight="1" x14ac:dyDescent="0.2">
      <c r="A29" s="235" t="s">
        <v>223</v>
      </c>
      <c r="B29" s="85" t="s">
        <v>224</v>
      </c>
      <c r="C29" s="258" t="s">
        <v>110</v>
      </c>
      <c r="D29" s="247" t="s">
        <v>73</v>
      </c>
      <c r="E29" s="238">
        <v>6800</v>
      </c>
      <c r="F29" s="238">
        <v>1200</v>
      </c>
      <c r="G29" s="104"/>
      <c r="H29" s="104">
        <f t="shared" ref="H29:H32" si="4">G29*E29</f>
        <v>0</v>
      </c>
      <c r="I29" s="104">
        <f t="shared" ref="I29:I30" si="5">G29</f>
        <v>0</v>
      </c>
      <c r="J29" s="105">
        <f t="shared" ref="J29:J32" si="6">I29*F29</f>
        <v>0</v>
      </c>
      <c r="K29" s="106">
        <f t="shared" ref="K29:K32" si="7">J29+H29</f>
        <v>0</v>
      </c>
      <c r="L29" s="136"/>
      <c r="M29" s="136"/>
      <c r="N29" s="136"/>
    </row>
    <row r="30" spans="1:14" s="9" customFormat="1" ht="14.25" customHeight="1" x14ac:dyDescent="0.2">
      <c r="A30" s="235" t="s">
        <v>225</v>
      </c>
      <c r="B30" s="85" t="s">
        <v>226</v>
      </c>
      <c r="C30" s="257">
        <v>4</v>
      </c>
      <c r="D30" s="247" t="s">
        <v>73</v>
      </c>
      <c r="E30" s="238">
        <v>5750</v>
      </c>
      <c r="F30" s="238">
        <v>1000</v>
      </c>
      <c r="G30" s="328">
        <v>6.7220000000000004</v>
      </c>
      <c r="H30" s="104">
        <f t="shared" si="4"/>
        <v>38651.5</v>
      </c>
      <c r="I30" s="328">
        <f t="shared" si="5"/>
        <v>6.7220000000000004</v>
      </c>
      <c r="J30" s="105">
        <f t="shared" si="6"/>
        <v>6722</v>
      </c>
      <c r="K30" s="106">
        <f t="shared" si="7"/>
        <v>45373.5</v>
      </c>
      <c r="L30" s="136"/>
      <c r="M30" s="136"/>
      <c r="N30" s="136"/>
    </row>
    <row r="31" spans="1:14" s="9" customFormat="1" ht="14.25" customHeight="1" x14ac:dyDescent="0.2">
      <c r="A31" s="235" t="s">
        <v>227</v>
      </c>
      <c r="B31" s="85" t="s">
        <v>228</v>
      </c>
      <c r="C31" s="258">
        <v>7</v>
      </c>
      <c r="D31" s="247" t="s">
        <v>73</v>
      </c>
      <c r="E31" s="238">
        <v>4800</v>
      </c>
      <c r="F31" s="238">
        <v>900</v>
      </c>
      <c r="G31" s="328">
        <v>7.2279999999999998</v>
      </c>
      <c r="H31" s="104">
        <f t="shared" si="4"/>
        <v>34694.400000000001</v>
      </c>
      <c r="I31" s="328">
        <f>G31</f>
        <v>7.2279999999999998</v>
      </c>
      <c r="J31" s="105">
        <f t="shared" si="6"/>
        <v>6505.2</v>
      </c>
      <c r="K31" s="106">
        <f t="shared" si="7"/>
        <v>41199.599999999999</v>
      </c>
      <c r="L31" s="136"/>
      <c r="M31" s="136"/>
      <c r="N31" s="136"/>
    </row>
    <row r="32" spans="1:14" s="9" customFormat="1" ht="14.25" customHeight="1" thickBot="1" x14ac:dyDescent="0.25">
      <c r="A32" s="235" t="s">
        <v>229</v>
      </c>
      <c r="B32" s="85" t="s">
        <v>230</v>
      </c>
      <c r="C32" s="257">
        <v>44</v>
      </c>
      <c r="D32" s="247" t="s">
        <v>73</v>
      </c>
      <c r="E32" s="238">
        <v>3250</v>
      </c>
      <c r="F32" s="238">
        <v>800</v>
      </c>
      <c r="G32" s="328">
        <v>54.542999999999999</v>
      </c>
      <c r="H32" s="104">
        <f t="shared" si="4"/>
        <v>177264.75</v>
      </c>
      <c r="I32" s="328">
        <f>G32</f>
        <v>54.542999999999999</v>
      </c>
      <c r="J32" s="105">
        <f t="shared" si="6"/>
        <v>43634.400000000001</v>
      </c>
      <c r="K32" s="106">
        <f t="shared" si="7"/>
        <v>220899.15</v>
      </c>
      <c r="L32" s="136"/>
      <c r="M32" s="136"/>
      <c r="N32" s="136"/>
    </row>
    <row r="33" spans="1:14" s="9" customFormat="1" ht="14.25" customHeight="1" thickBot="1" x14ac:dyDescent="0.25">
      <c r="A33" s="361" t="s">
        <v>8</v>
      </c>
      <c r="B33" s="362"/>
      <c r="C33" s="362"/>
      <c r="D33" s="362"/>
      <c r="E33" s="241"/>
      <c r="F33" s="241"/>
      <c r="G33" s="241"/>
      <c r="H33" s="241"/>
      <c r="I33" s="241"/>
      <c r="J33" s="241"/>
      <c r="K33" s="313">
        <f>SUM(K22:K32)</f>
        <v>307472.25</v>
      </c>
      <c r="L33" s="136"/>
      <c r="M33" s="136"/>
      <c r="N33" s="136"/>
    </row>
    <row r="34" spans="1:14" s="9" customFormat="1" ht="14.25" customHeight="1" x14ac:dyDescent="0.2">
      <c r="A34" s="6">
        <v>5</v>
      </c>
      <c r="B34" s="242" t="s">
        <v>231</v>
      </c>
      <c r="C34" s="243"/>
      <c r="D34" s="243"/>
      <c r="E34" s="244"/>
      <c r="F34" s="244"/>
      <c r="G34" s="244"/>
      <c r="H34" s="244"/>
      <c r="I34" s="244"/>
      <c r="J34" s="244"/>
      <c r="K34" s="244"/>
      <c r="L34" s="136"/>
      <c r="M34" s="136"/>
      <c r="N34" s="136"/>
    </row>
    <row r="35" spans="1:14" s="9" customFormat="1" ht="14.25" customHeight="1" x14ac:dyDescent="0.2">
      <c r="A35" s="252">
        <v>5.0999999999999996</v>
      </c>
      <c r="B35" s="259" t="s">
        <v>232</v>
      </c>
      <c r="C35" s="260"/>
      <c r="D35" s="261"/>
      <c r="E35" s="262"/>
      <c r="F35" s="262"/>
      <c r="G35" s="262"/>
      <c r="H35" s="262"/>
      <c r="I35" s="262"/>
      <c r="J35" s="262"/>
      <c r="K35" s="262"/>
      <c r="L35" s="136"/>
      <c r="M35" s="136"/>
      <c r="N35" s="136"/>
    </row>
    <row r="36" spans="1:14" s="266" customFormat="1" ht="14.25" customHeight="1" x14ac:dyDescent="0.2">
      <c r="A36" s="263" t="s">
        <v>80</v>
      </c>
      <c r="B36" s="85" t="s">
        <v>213</v>
      </c>
      <c r="C36" s="264" t="s">
        <v>110</v>
      </c>
      <c r="D36" s="265" t="s">
        <v>7</v>
      </c>
      <c r="E36" s="238">
        <v>0</v>
      </c>
      <c r="F36" s="238">
        <v>0</v>
      </c>
      <c r="G36" s="104"/>
      <c r="H36" s="104">
        <f t="shared" ref="H36:H40" si="8">G36*E36</f>
        <v>0</v>
      </c>
      <c r="I36" s="328">
        <f t="shared" ref="I36:I57" si="9">G36</f>
        <v>0</v>
      </c>
      <c r="J36" s="105">
        <f t="shared" ref="J36:J40" si="10">I36*F36</f>
        <v>0</v>
      </c>
      <c r="K36" s="106">
        <f t="shared" ref="K36:K40" si="11">J36+H36</f>
        <v>0</v>
      </c>
      <c r="L36" s="136"/>
      <c r="M36" s="136"/>
      <c r="N36" s="136"/>
    </row>
    <row r="37" spans="1:14" s="9" customFormat="1" ht="14.25" customHeight="1" x14ac:dyDescent="0.2">
      <c r="A37" s="263" t="s">
        <v>81</v>
      </c>
      <c r="B37" s="85" t="s">
        <v>215</v>
      </c>
      <c r="C37" s="264" t="s">
        <v>110</v>
      </c>
      <c r="D37" s="265" t="s">
        <v>7</v>
      </c>
      <c r="E37" s="238">
        <v>0</v>
      </c>
      <c r="F37" s="238">
        <v>0</v>
      </c>
      <c r="G37" s="104"/>
      <c r="H37" s="104">
        <f t="shared" si="8"/>
        <v>0</v>
      </c>
      <c r="I37" s="328">
        <f t="shared" si="9"/>
        <v>0</v>
      </c>
      <c r="J37" s="105">
        <f t="shared" si="10"/>
        <v>0</v>
      </c>
      <c r="K37" s="106">
        <f t="shared" si="11"/>
        <v>0</v>
      </c>
      <c r="L37" s="136"/>
      <c r="M37" s="136"/>
      <c r="N37" s="136"/>
    </row>
    <row r="38" spans="1:14" s="9" customFormat="1" ht="14.25" customHeight="1" x14ac:dyDescent="0.2">
      <c r="A38" s="263" t="s">
        <v>82</v>
      </c>
      <c r="B38" s="85" t="s">
        <v>217</v>
      </c>
      <c r="C38" s="264" t="s">
        <v>110</v>
      </c>
      <c r="D38" s="265" t="s">
        <v>7</v>
      </c>
      <c r="E38" s="238">
        <v>0</v>
      </c>
      <c r="F38" s="238">
        <v>0</v>
      </c>
      <c r="G38" s="104"/>
      <c r="H38" s="104">
        <f t="shared" si="8"/>
        <v>0</v>
      </c>
      <c r="I38" s="328">
        <f t="shared" si="9"/>
        <v>0</v>
      </c>
      <c r="J38" s="105">
        <f t="shared" si="10"/>
        <v>0</v>
      </c>
      <c r="K38" s="106">
        <f t="shared" si="11"/>
        <v>0</v>
      </c>
      <c r="L38" s="136"/>
      <c r="M38" s="136"/>
      <c r="N38" s="136"/>
    </row>
    <row r="39" spans="1:14" s="266" customFormat="1" ht="14.25" customHeight="1" x14ac:dyDescent="0.2">
      <c r="A39" s="263" t="s">
        <v>83</v>
      </c>
      <c r="B39" s="85" t="s">
        <v>219</v>
      </c>
      <c r="C39" s="264" t="s">
        <v>110</v>
      </c>
      <c r="D39" s="265" t="s">
        <v>7</v>
      </c>
      <c r="E39" s="238">
        <v>0</v>
      </c>
      <c r="F39" s="238">
        <v>0</v>
      </c>
      <c r="G39" s="104"/>
      <c r="H39" s="104">
        <f t="shared" si="8"/>
        <v>0</v>
      </c>
      <c r="I39" s="328">
        <f t="shared" si="9"/>
        <v>0</v>
      </c>
      <c r="J39" s="105">
        <f t="shared" si="10"/>
        <v>0</v>
      </c>
      <c r="K39" s="106">
        <f t="shared" si="11"/>
        <v>0</v>
      </c>
      <c r="L39" s="136"/>
      <c r="M39" s="136"/>
      <c r="N39" s="136"/>
    </row>
    <row r="40" spans="1:14" s="9" customFormat="1" ht="14.25" customHeight="1" x14ac:dyDescent="0.2">
      <c r="A40" s="263" t="s">
        <v>84</v>
      </c>
      <c r="B40" s="85" t="s">
        <v>221</v>
      </c>
      <c r="C40" s="264" t="s">
        <v>110</v>
      </c>
      <c r="D40" s="265" t="s">
        <v>7</v>
      </c>
      <c r="E40" s="238">
        <v>0</v>
      </c>
      <c r="F40" s="238">
        <v>0</v>
      </c>
      <c r="G40" s="104"/>
      <c r="H40" s="104">
        <f t="shared" si="8"/>
        <v>0</v>
      </c>
      <c r="I40" s="328">
        <f t="shared" si="9"/>
        <v>0</v>
      </c>
      <c r="J40" s="105">
        <f t="shared" si="10"/>
        <v>0</v>
      </c>
      <c r="K40" s="106">
        <f t="shared" si="11"/>
        <v>0</v>
      </c>
      <c r="L40" s="136"/>
      <c r="M40" s="136"/>
      <c r="N40" s="136"/>
    </row>
    <row r="41" spans="1:14" s="9" customFormat="1" ht="14.25" customHeight="1" x14ac:dyDescent="0.2">
      <c r="A41" s="252">
        <v>5.2</v>
      </c>
      <c r="B41" s="259" t="s">
        <v>233</v>
      </c>
      <c r="C41" s="260"/>
      <c r="D41" s="261"/>
      <c r="E41" s="262"/>
      <c r="F41" s="262"/>
      <c r="G41" s="262"/>
      <c r="H41" s="262"/>
      <c r="I41" s="328"/>
      <c r="J41" s="262"/>
      <c r="K41" s="262"/>
      <c r="L41" s="136"/>
      <c r="M41" s="136"/>
      <c r="N41" s="136"/>
    </row>
    <row r="42" spans="1:14" s="266" customFormat="1" ht="14.25" customHeight="1" x14ac:dyDescent="0.2">
      <c r="A42" s="263" t="s">
        <v>87</v>
      </c>
      <c r="B42" s="85" t="s">
        <v>213</v>
      </c>
      <c r="C42" s="264" t="s">
        <v>110</v>
      </c>
      <c r="D42" s="265" t="s">
        <v>7</v>
      </c>
      <c r="E42" s="238">
        <v>0</v>
      </c>
      <c r="F42" s="238">
        <v>0</v>
      </c>
      <c r="G42" s="104"/>
      <c r="H42" s="104">
        <f t="shared" ref="H42:H46" si="12">G42*E42</f>
        <v>0</v>
      </c>
      <c r="I42" s="328">
        <f t="shared" si="9"/>
        <v>0</v>
      </c>
      <c r="J42" s="105">
        <f t="shared" ref="J42:J46" si="13">I42*F42</f>
        <v>0</v>
      </c>
      <c r="K42" s="106">
        <f t="shared" ref="K42:K46" si="14">J42+H42</f>
        <v>0</v>
      </c>
      <c r="L42" s="136"/>
      <c r="M42" s="136"/>
      <c r="N42" s="136"/>
    </row>
    <row r="43" spans="1:14" s="9" customFormat="1" ht="14.25" customHeight="1" x14ac:dyDescent="0.2">
      <c r="A43" s="263" t="s">
        <v>88</v>
      </c>
      <c r="B43" s="85" t="s">
        <v>215</v>
      </c>
      <c r="C43" s="264" t="s">
        <v>110</v>
      </c>
      <c r="D43" s="265" t="s">
        <v>7</v>
      </c>
      <c r="E43" s="238">
        <v>0</v>
      </c>
      <c r="F43" s="238">
        <v>0</v>
      </c>
      <c r="G43" s="104"/>
      <c r="H43" s="104">
        <f t="shared" si="12"/>
        <v>0</v>
      </c>
      <c r="I43" s="328">
        <f t="shared" si="9"/>
        <v>0</v>
      </c>
      <c r="J43" s="105">
        <f t="shared" si="13"/>
        <v>0</v>
      </c>
      <c r="K43" s="106">
        <f t="shared" si="14"/>
        <v>0</v>
      </c>
      <c r="L43" s="136"/>
      <c r="M43" s="136"/>
      <c r="N43" s="136"/>
    </row>
    <row r="44" spans="1:14" s="266" customFormat="1" ht="14.25" customHeight="1" x14ac:dyDescent="0.2">
      <c r="A44" s="263" t="s">
        <v>89</v>
      </c>
      <c r="B44" s="85" t="s">
        <v>217</v>
      </c>
      <c r="C44" s="264" t="s">
        <v>110</v>
      </c>
      <c r="D44" s="265" t="s">
        <v>7</v>
      </c>
      <c r="E44" s="238">
        <v>0</v>
      </c>
      <c r="F44" s="238">
        <v>0</v>
      </c>
      <c r="G44" s="104"/>
      <c r="H44" s="104">
        <f t="shared" si="12"/>
        <v>0</v>
      </c>
      <c r="I44" s="328">
        <f t="shared" si="9"/>
        <v>0</v>
      </c>
      <c r="J44" s="105">
        <f t="shared" si="13"/>
        <v>0</v>
      </c>
      <c r="K44" s="106">
        <f t="shared" si="14"/>
        <v>0</v>
      </c>
      <c r="L44" s="136"/>
      <c r="M44" s="136"/>
      <c r="N44" s="136"/>
    </row>
    <row r="45" spans="1:14" s="9" customFormat="1" ht="14.25" customHeight="1" x14ac:dyDescent="0.2">
      <c r="A45" s="263" t="s">
        <v>234</v>
      </c>
      <c r="B45" s="85" t="s">
        <v>219</v>
      </c>
      <c r="C45" s="264" t="s">
        <v>110</v>
      </c>
      <c r="D45" s="265" t="s">
        <v>7</v>
      </c>
      <c r="E45" s="238">
        <v>0</v>
      </c>
      <c r="F45" s="238">
        <v>0</v>
      </c>
      <c r="G45" s="104"/>
      <c r="H45" s="104">
        <f t="shared" si="12"/>
        <v>0</v>
      </c>
      <c r="I45" s="328">
        <f t="shared" si="9"/>
        <v>0</v>
      </c>
      <c r="J45" s="105">
        <f t="shared" si="13"/>
        <v>0</v>
      </c>
      <c r="K45" s="106">
        <f t="shared" si="14"/>
        <v>0</v>
      </c>
      <c r="L45" s="136"/>
      <c r="M45" s="136"/>
      <c r="N45" s="136"/>
    </row>
    <row r="46" spans="1:14" s="9" customFormat="1" ht="14.25" customHeight="1" x14ac:dyDescent="0.2">
      <c r="A46" s="263" t="s">
        <v>235</v>
      </c>
      <c r="B46" s="85" t="s">
        <v>221</v>
      </c>
      <c r="C46" s="264" t="s">
        <v>110</v>
      </c>
      <c r="D46" s="265" t="s">
        <v>7</v>
      </c>
      <c r="E46" s="238">
        <v>0</v>
      </c>
      <c r="F46" s="238">
        <v>0</v>
      </c>
      <c r="G46" s="104"/>
      <c r="H46" s="104">
        <f t="shared" si="12"/>
        <v>0</v>
      </c>
      <c r="I46" s="328">
        <f t="shared" si="9"/>
        <v>0</v>
      </c>
      <c r="J46" s="105">
        <f t="shared" si="13"/>
        <v>0</v>
      </c>
      <c r="K46" s="106">
        <f t="shared" si="14"/>
        <v>0</v>
      </c>
      <c r="L46" s="136"/>
      <c r="M46" s="136"/>
      <c r="N46" s="136"/>
    </row>
    <row r="47" spans="1:14" s="9" customFormat="1" ht="14.25" customHeight="1" x14ac:dyDescent="0.2">
      <c r="A47" s="252">
        <v>5.3</v>
      </c>
      <c r="B47" s="259" t="s">
        <v>236</v>
      </c>
      <c r="C47" s="260"/>
      <c r="D47" s="261"/>
      <c r="E47" s="262"/>
      <c r="F47" s="262"/>
      <c r="G47" s="262"/>
      <c r="H47" s="262"/>
      <c r="I47" s="262"/>
      <c r="J47" s="262"/>
      <c r="K47" s="262"/>
      <c r="L47" s="136"/>
      <c r="M47" s="136"/>
      <c r="N47" s="136"/>
    </row>
    <row r="48" spans="1:14" s="266" customFormat="1" ht="14.25" customHeight="1" x14ac:dyDescent="0.2">
      <c r="A48" s="263" t="s">
        <v>90</v>
      </c>
      <c r="B48" s="85" t="s">
        <v>213</v>
      </c>
      <c r="C48" s="264" t="s">
        <v>110</v>
      </c>
      <c r="D48" s="265" t="s">
        <v>7</v>
      </c>
      <c r="E48" s="238">
        <v>0</v>
      </c>
      <c r="F48" s="238">
        <v>0</v>
      </c>
      <c r="G48" s="104"/>
      <c r="H48" s="104">
        <f t="shared" ref="H48:H52" si="15">G48*E48</f>
        <v>0</v>
      </c>
      <c r="I48" s="328">
        <f t="shared" si="9"/>
        <v>0</v>
      </c>
      <c r="J48" s="105">
        <f t="shared" ref="J48:J52" si="16">I48*F48</f>
        <v>0</v>
      </c>
      <c r="K48" s="106">
        <f t="shared" ref="K48:K52" si="17">J48+H48</f>
        <v>0</v>
      </c>
      <c r="L48" s="136"/>
      <c r="M48" s="136"/>
      <c r="N48" s="136"/>
    </row>
    <row r="49" spans="1:14" s="266" customFormat="1" ht="14.25" customHeight="1" x14ac:dyDescent="0.2">
      <c r="A49" s="263" t="s">
        <v>91</v>
      </c>
      <c r="B49" s="85" t="s">
        <v>215</v>
      </c>
      <c r="C49" s="264" t="s">
        <v>110</v>
      </c>
      <c r="D49" s="265" t="s">
        <v>7</v>
      </c>
      <c r="E49" s="238">
        <v>0</v>
      </c>
      <c r="F49" s="238">
        <v>0</v>
      </c>
      <c r="G49" s="104"/>
      <c r="H49" s="104">
        <f t="shared" si="15"/>
        <v>0</v>
      </c>
      <c r="I49" s="328">
        <f t="shared" si="9"/>
        <v>0</v>
      </c>
      <c r="J49" s="105">
        <f t="shared" si="16"/>
        <v>0</v>
      </c>
      <c r="K49" s="106">
        <f t="shared" si="17"/>
        <v>0</v>
      </c>
      <c r="L49" s="136"/>
      <c r="M49" s="136"/>
      <c r="N49" s="136"/>
    </row>
    <row r="50" spans="1:14" s="9" customFormat="1" ht="14.25" customHeight="1" x14ac:dyDescent="0.2">
      <c r="A50" s="263" t="s">
        <v>92</v>
      </c>
      <c r="B50" s="85" t="s">
        <v>217</v>
      </c>
      <c r="C50" s="264" t="s">
        <v>110</v>
      </c>
      <c r="D50" s="265" t="s">
        <v>7</v>
      </c>
      <c r="E50" s="238">
        <v>0</v>
      </c>
      <c r="F50" s="238">
        <v>0</v>
      </c>
      <c r="G50" s="104"/>
      <c r="H50" s="104">
        <f t="shared" si="15"/>
        <v>0</v>
      </c>
      <c r="I50" s="328">
        <f t="shared" si="9"/>
        <v>0</v>
      </c>
      <c r="J50" s="105">
        <f t="shared" si="16"/>
        <v>0</v>
      </c>
      <c r="K50" s="106">
        <f t="shared" si="17"/>
        <v>0</v>
      </c>
      <c r="L50" s="136"/>
      <c r="M50" s="136"/>
      <c r="N50" s="136"/>
    </row>
    <row r="51" spans="1:14" s="9" customFormat="1" ht="14.25" customHeight="1" x14ac:dyDescent="0.2">
      <c r="A51" s="263" t="s">
        <v>93</v>
      </c>
      <c r="B51" s="85" t="s">
        <v>219</v>
      </c>
      <c r="C51" s="264" t="s">
        <v>110</v>
      </c>
      <c r="D51" s="265" t="s">
        <v>7</v>
      </c>
      <c r="E51" s="238">
        <v>0</v>
      </c>
      <c r="F51" s="238">
        <v>0</v>
      </c>
      <c r="G51" s="104"/>
      <c r="H51" s="104">
        <f t="shared" si="15"/>
        <v>0</v>
      </c>
      <c r="I51" s="328">
        <f t="shared" si="9"/>
        <v>0</v>
      </c>
      <c r="J51" s="105">
        <f t="shared" si="16"/>
        <v>0</v>
      </c>
      <c r="K51" s="106">
        <f t="shared" si="17"/>
        <v>0</v>
      </c>
      <c r="L51" s="136"/>
      <c r="M51" s="136"/>
      <c r="N51" s="136"/>
    </row>
    <row r="52" spans="1:14" s="9" customFormat="1" ht="14.25" customHeight="1" x14ac:dyDescent="0.2">
      <c r="A52" s="263" t="s">
        <v>94</v>
      </c>
      <c r="B52" s="85" t="s">
        <v>221</v>
      </c>
      <c r="C52" s="264" t="s">
        <v>110</v>
      </c>
      <c r="D52" s="265" t="s">
        <v>7</v>
      </c>
      <c r="E52" s="238">
        <v>0</v>
      </c>
      <c r="F52" s="238">
        <v>0</v>
      </c>
      <c r="G52" s="104"/>
      <c r="H52" s="104">
        <f t="shared" si="15"/>
        <v>0</v>
      </c>
      <c r="I52" s="328">
        <f t="shared" si="9"/>
        <v>0</v>
      </c>
      <c r="J52" s="105">
        <f t="shared" si="16"/>
        <v>0</v>
      </c>
      <c r="K52" s="106">
        <f t="shared" si="17"/>
        <v>0</v>
      </c>
      <c r="L52" s="136"/>
      <c r="M52" s="136"/>
      <c r="N52" s="136"/>
    </row>
    <row r="53" spans="1:14" s="9" customFormat="1" ht="14.25" customHeight="1" x14ac:dyDescent="0.2">
      <c r="A53" s="252">
        <v>5.4</v>
      </c>
      <c r="B53" s="259" t="s">
        <v>237</v>
      </c>
      <c r="C53" s="260"/>
      <c r="D53" s="261"/>
      <c r="E53" s="262"/>
      <c r="F53" s="262"/>
      <c r="G53" s="262"/>
      <c r="H53" s="262"/>
      <c r="I53" s="262"/>
      <c r="J53" s="262"/>
      <c r="K53" s="262"/>
      <c r="L53" s="136"/>
      <c r="M53" s="136"/>
      <c r="N53" s="136"/>
    </row>
    <row r="54" spans="1:14" s="9" customFormat="1" ht="14.25" customHeight="1" x14ac:dyDescent="0.2">
      <c r="A54" s="263" t="s">
        <v>98</v>
      </c>
      <c r="B54" s="85" t="s">
        <v>224</v>
      </c>
      <c r="C54" s="264" t="s">
        <v>110</v>
      </c>
      <c r="D54" s="265" t="s">
        <v>7</v>
      </c>
      <c r="E54" s="238">
        <v>0</v>
      </c>
      <c r="F54" s="238">
        <v>0</v>
      </c>
      <c r="G54" s="104"/>
      <c r="H54" s="104">
        <f t="shared" ref="H54:H57" si="18">G54*E54</f>
        <v>0</v>
      </c>
      <c r="I54" s="328">
        <f t="shared" si="9"/>
        <v>0</v>
      </c>
      <c r="J54" s="105">
        <f t="shared" ref="J54:J57" si="19">I54*F54</f>
        <v>0</v>
      </c>
      <c r="K54" s="106">
        <f t="shared" ref="K54:K57" si="20">J54+H54</f>
        <v>0</v>
      </c>
      <c r="L54" s="136"/>
      <c r="M54" s="136"/>
      <c r="N54" s="136"/>
    </row>
    <row r="55" spans="1:14" s="9" customFormat="1" ht="14.25" customHeight="1" x14ac:dyDescent="0.2">
      <c r="A55" s="263" t="s">
        <v>238</v>
      </c>
      <c r="B55" s="85" t="s">
        <v>226</v>
      </c>
      <c r="C55" s="264">
        <v>1</v>
      </c>
      <c r="D55" s="265" t="s">
        <v>7</v>
      </c>
      <c r="E55" s="238">
        <v>6500</v>
      </c>
      <c r="F55" s="238">
        <v>1000</v>
      </c>
      <c r="G55" s="104">
        <v>0</v>
      </c>
      <c r="H55" s="104">
        <f t="shared" si="18"/>
        <v>0</v>
      </c>
      <c r="I55" s="328">
        <f t="shared" si="9"/>
        <v>0</v>
      </c>
      <c r="J55" s="105">
        <f t="shared" si="19"/>
        <v>0</v>
      </c>
      <c r="K55" s="106">
        <f t="shared" si="20"/>
        <v>0</v>
      </c>
      <c r="L55" s="136"/>
      <c r="M55" s="136"/>
      <c r="N55" s="136"/>
    </row>
    <row r="56" spans="1:14" s="9" customFormat="1" ht="14.25" customHeight="1" x14ac:dyDescent="0.2">
      <c r="A56" s="263" t="s">
        <v>239</v>
      </c>
      <c r="B56" s="85" t="s">
        <v>228</v>
      </c>
      <c r="C56" s="264">
        <v>1</v>
      </c>
      <c r="D56" s="265" t="s">
        <v>7</v>
      </c>
      <c r="E56" s="238">
        <v>6000</v>
      </c>
      <c r="F56" s="238">
        <v>1000</v>
      </c>
      <c r="G56" s="104">
        <v>1</v>
      </c>
      <c r="H56" s="104">
        <f t="shared" si="18"/>
        <v>6000</v>
      </c>
      <c r="I56" s="328">
        <f t="shared" si="9"/>
        <v>1</v>
      </c>
      <c r="J56" s="105">
        <f t="shared" si="19"/>
        <v>1000</v>
      </c>
      <c r="K56" s="106">
        <f t="shared" si="20"/>
        <v>7000</v>
      </c>
      <c r="L56" s="136"/>
      <c r="M56" s="136"/>
      <c r="N56" s="136"/>
    </row>
    <row r="57" spans="1:14" s="9" customFormat="1" ht="14.25" customHeight="1" thickBot="1" x14ac:dyDescent="0.25">
      <c r="A57" s="263" t="s">
        <v>240</v>
      </c>
      <c r="B57" s="85" t="s">
        <v>230</v>
      </c>
      <c r="C57" s="264">
        <v>12</v>
      </c>
      <c r="D57" s="265" t="s">
        <v>6</v>
      </c>
      <c r="E57" s="238">
        <v>5500</v>
      </c>
      <c r="F57" s="238">
        <v>1000</v>
      </c>
      <c r="G57" s="104">
        <v>12</v>
      </c>
      <c r="H57" s="104">
        <f t="shared" si="18"/>
        <v>66000</v>
      </c>
      <c r="I57" s="328">
        <f t="shared" si="9"/>
        <v>12</v>
      </c>
      <c r="J57" s="105">
        <f t="shared" si="19"/>
        <v>12000</v>
      </c>
      <c r="K57" s="106">
        <f t="shared" si="20"/>
        <v>78000</v>
      </c>
      <c r="L57" s="136"/>
      <c r="M57" s="136"/>
      <c r="N57" s="136"/>
    </row>
    <row r="58" spans="1:14" s="266" customFormat="1" ht="14.25" customHeight="1" thickBot="1" x14ac:dyDescent="0.25">
      <c r="A58" s="361" t="s">
        <v>8</v>
      </c>
      <c r="B58" s="362"/>
      <c r="C58" s="362"/>
      <c r="D58" s="362"/>
      <c r="E58" s="241"/>
      <c r="F58" s="241"/>
      <c r="G58" s="241"/>
      <c r="H58" s="241"/>
      <c r="I58" s="241"/>
      <c r="J58" s="241"/>
      <c r="K58" s="314">
        <f>SUM(K36:K57)</f>
        <v>85000</v>
      </c>
      <c r="L58" s="136"/>
      <c r="M58" s="136"/>
      <c r="N58" s="136"/>
    </row>
    <row r="59" spans="1:14" s="9" customFormat="1" ht="14.25" customHeight="1" x14ac:dyDescent="0.2">
      <c r="A59" s="6">
        <v>6</v>
      </c>
      <c r="B59" s="242" t="s">
        <v>241</v>
      </c>
      <c r="C59" s="267"/>
      <c r="D59" s="267"/>
      <c r="E59" s="268"/>
      <c r="F59" s="268"/>
      <c r="G59" s="269"/>
      <c r="H59" s="269"/>
      <c r="I59" s="269"/>
      <c r="J59" s="269"/>
      <c r="K59" s="269"/>
      <c r="L59" s="136"/>
      <c r="M59" s="136"/>
      <c r="N59" s="136"/>
    </row>
    <row r="60" spans="1:14" s="9" customFormat="1" ht="14.25" customHeight="1" thickBot="1" x14ac:dyDescent="0.25">
      <c r="A60" s="235">
        <v>6.1</v>
      </c>
      <c r="B60" s="85" t="s">
        <v>242</v>
      </c>
      <c r="C60" s="257">
        <v>1</v>
      </c>
      <c r="D60" s="247" t="s">
        <v>9</v>
      </c>
      <c r="E60" s="238">
        <v>0</v>
      </c>
      <c r="F60" s="238">
        <v>15000</v>
      </c>
      <c r="G60" s="104">
        <v>1</v>
      </c>
      <c r="H60" s="104">
        <f>G60*E60</f>
        <v>0</v>
      </c>
      <c r="I60" s="328">
        <f t="shared" ref="I60" si="21">G60</f>
        <v>1</v>
      </c>
      <c r="J60" s="105">
        <f>I60*F60</f>
        <v>15000</v>
      </c>
      <c r="K60" s="106">
        <f>J60+H60</f>
        <v>15000</v>
      </c>
      <c r="L60" s="136"/>
      <c r="M60" s="136"/>
      <c r="N60" s="136"/>
    </row>
    <row r="61" spans="1:14" s="9" customFormat="1" ht="14.25" customHeight="1" thickBot="1" x14ac:dyDescent="0.25">
      <c r="A61" s="361" t="s">
        <v>8</v>
      </c>
      <c r="B61" s="362"/>
      <c r="C61" s="362"/>
      <c r="D61" s="362"/>
      <c r="E61" s="241"/>
      <c r="F61" s="241"/>
      <c r="G61" s="241"/>
      <c r="H61" s="241"/>
      <c r="I61" s="241"/>
      <c r="J61" s="241"/>
      <c r="K61" s="313">
        <f>SUM(K60)</f>
        <v>15000</v>
      </c>
      <c r="L61" s="136"/>
      <c r="M61" s="136"/>
      <c r="N61" s="136"/>
    </row>
    <row r="62" spans="1:14" s="9" customFormat="1" ht="14.25" customHeight="1" x14ac:dyDescent="0.2">
      <c r="A62" s="6">
        <v>7</v>
      </c>
      <c r="B62" s="242" t="s">
        <v>243</v>
      </c>
      <c r="C62" s="270"/>
      <c r="D62" s="271"/>
      <c r="E62" s="244"/>
      <c r="F62" s="244"/>
      <c r="G62" s="245"/>
      <c r="H62" s="245"/>
      <c r="I62" s="245"/>
      <c r="J62" s="245"/>
      <c r="K62" s="245"/>
      <c r="L62" s="136"/>
      <c r="M62" s="136"/>
      <c r="N62" s="136"/>
    </row>
    <row r="63" spans="1:14" s="9" customFormat="1" ht="14.25" customHeight="1" x14ac:dyDescent="0.2">
      <c r="A63" s="252">
        <v>7.1</v>
      </c>
      <c r="B63" s="272" t="s">
        <v>244</v>
      </c>
      <c r="C63" s="273"/>
      <c r="D63" s="274"/>
      <c r="E63" s="275"/>
      <c r="F63" s="275"/>
      <c r="G63" s="275"/>
      <c r="H63" s="275"/>
      <c r="I63" s="275"/>
      <c r="J63" s="275"/>
      <c r="K63" s="275"/>
      <c r="L63" s="136"/>
      <c r="M63" s="136"/>
      <c r="N63" s="136"/>
    </row>
    <row r="64" spans="1:14" s="9" customFormat="1" ht="14.25" customHeight="1" x14ac:dyDescent="0.2">
      <c r="A64" s="235" t="s">
        <v>245</v>
      </c>
      <c r="B64" s="85" t="s">
        <v>211</v>
      </c>
      <c r="C64" s="257" t="s">
        <v>110</v>
      </c>
      <c r="D64" s="247" t="s">
        <v>73</v>
      </c>
      <c r="E64" s="238">
        <v>0</v>
      </c>
      <c r="F64" s="238">
        <v>0</v>
      </c>
      <c r="G64" s="104"/>
      <c r="H64" s="104">
        <f t="shared" ref="H64:H75" si="22">G64*E64</f>
        <v>0</v>
      </c>
      <c r="I64" s="328">
        <f t="shared" ref="I64:I75" si="23">G64</f>
        <v>0</v>
      </c>
      <c r="J64" s="105">
        <f t="shared" ref="J64:J75" si="24">I64*F64</f>
        <v>0</v>
      </c>
      <c r="K64" s="106">
        <f t="shared" ref="K64:K75" si="25">J64+H64</f>
        <v>0</v>
      </c>
      <c r="L64" s="136"/>
      <c r="M64" s="136"/>
      <c r="N64" s="136"/>
    </row>
    <row r="65" spans="1:14" s="9" customFormat="1" ht="14.25" customHeight="1" x14ac:dyDescent="0.2">
      <c r="A65" s="235" t="s">
        <v>246</v>
      </c>
      <c r="B65" s="85" t="s">
        <v>213</v>
      </c>
      <c r="C65" s="257" t="s">
        <v>110</v>
      </c>
      <c r="D65" s="247" t="s">
        <v>73</v>
      </c>
      <c r="E65" s="238">
        <v>0</v>
      </c>
      <c r="F65" s="238">
        <v>0</v>
      </c>
      <c r="G65" s="104"/>
      <c r="H65" s="104">
        <f t="shared" si="22"/>
        <v>0</v>
      </c>
      <c r="I65" s="328">
        <f t="shared" si="23"/>
        <v>0</v>
      </c>
      <c r="J65" s="105">
        <f t="shared" si="24"/>
        <v>0</v>
      </c>
      <c r="K65" s="106">
        <f t="shared" si="25"/>
        <v>0</v>
      </c>
      <c r="L65" s="136"/>
      <c r="M65" s="136"/>
      <c r="N65" s="136"/>
    </row>
    <row r="66" spans="1:14" s="9" customFormat="1" ht="14.25" customHeight="1" x14ac:dyDescent="0.2">
      <c r="A66" s="235" t="s">
        <v>247</v>
      </c>
      <c r="B66" s="85" t="s">
        <v>215</v>
      </c>
      <c r="C66" s="257" t="s">
        <v>110</v>
      </c>
      <c r="D66" s="247" t="s">
        <v>73</v>
      </c>
      <c r="E66" s="238">
        <v>0</v>
      </c>
      <c r="F66" s="238">
        <v>0</v>
      </c>
      <c r="G66" s="104"/>
      <c r="H66" s="104">
        <f t="shared" si="22"/>
        <v>0</v>
      </c>
      <c r="I66" s="328">
        <f t="shared" si="23"/>
        <v>0</v>
      </c>
      <c r="J66" s="105">
        <f t="shared" si="24"/>
        <v>0</v>
      </c>
      <c r="K66" s="106">
        <f t="shared" si="25"/>
        <v>0</v>
      </c>
      <c r="L66" s="136"/>
      <c r="M66" s="136"/>
      <c r="N66" s="136"/>
    </row>
    <row r="67" spans="1:14" s="9" customFormat="1" ht="14.25" customHeight="1" x14ac:dyDescent="0.2">
      <c r="A67" s="235" t="s">
        <v>248</v>
      </c>
      <c r="B67" s="85" t="s">
        <v>217</v>
      </c>
      <c r="C67" s="257" t="s">
        <v>110</v>
      </c>
      <c r="D67" s="247" t="s">
        <v>73</v>
      </c>
      <c r="E67" s="238">
        <v>0</v>
      </c>
      <c r="F67" s="238">
        <v>0</v>
      </c>
      <c r="G67" s="104"/>
      <c r="H67" s="104">
        <f t="shared" si="22"/>
        <v>0</v>
      </c>
      <c r="I67" s="328">
        <f t="shared" si="23"/>
        <v>0</v>
      </c>
      <c r="J67" s="105">
        <f t="shared" si="24"/>
        <v>0</v>
      </c>
      <c r="K67" s="106">
        <f t="shared" si="25"/>
        <v>0</v>
      </c>
      <c r="L67" s="136"/>
      <c r="M67" s="136"/>
      <c r="N67" s="136"/>
    </row>
    <row r="68" spans="1:14" s="9" customFormat="1" ht="14.25" customHeight="1" x14ac:dyDescent="0.2">
      <c r="A68" s="235" t="s">
        <v>249</v>
      </c>
      <c r="B68" s="85" t="s">
        <v>219</v>
      </c>
      <c r="C68" s="257" t="s">
        <v>110</v>
      </c>
      <c r="D68" s="247" t="s">
        <v>73</v>
      </c>
      <c r="E68" s="238">
        <v>0</v>
      </c>
      <c r="F68" s="238">
        <v>0</v>
      </c>
      <c r="G68" s="104"/>
      <c r="H68" s="104">
        <f t="shared" si="22"/>
        <v>0</v>
      </c>
      <c r="I68" s="328">
        <f t="shared" si="23"/>
        <v>0</v>
      </c>
      <c r="J68" s="105">
        <f t="shared" si="24"/>
        <v>0</v>
      </c>
      <c r="K68" s="106">
        <f t="shared" si="25"/>
        <v>0</v>
      </c>
      <c r="L68" s="136"/>
      <c r="M68" s="136"/>
      <c r="N68" s="136"/>
    </row>
    <row r="69" spans="1:14" s="9" customFormat="1" ht="14.25" customHeight="1" x14ac:dyDescent="0.2">
      <c r="A69" s="235" t="s">
        <v>250</v>
      </c>
      <c r="B69" s="85" t="s">
        <v>221</v>
      </c>
      <c r="C69" s="257" t="s">
        <v>110</v>
      </c>
      <c r="D69" s="247" t="s">
        <v>73</v>
      </c>
      <c r="E69" s="238">
        <v>0</v>
      </c>
      <c r="F69" s="238">
        <v>0</v>
      </c>
      <c r="G69" s="104"/>
      <c r="H69" s="104">
        <f t="shared" si="22"/>
        <v>0</v>
      </c>
      <c r="I69" s="328">
        <f t="shared" si="23"/>
        <v>0</v>
      </c>
      <c r="J69" s="105">
        <f t="shared" si="24"/>
        <v>0</v>
      </c>
      <c r="K69" s="106">
        <f t="shared" si="25"/>
        <v>0</v>
      </c>
      <c r="L69" s="136"/>
      <c r="M69" s="136"/>
      <c r="N69" s="136"/>
    </row>
    <row r="70" spans="1:14" s="9" customFormat="1" ht="14.25" customHeight="1" x14ac:dyDescent="0.2">
      <c r="A70" s="235" t="s">
        <v>251</v>
      </c>
      <c r="B70" s="85" t="s">
        <v>224</v>
      </c>
      <c r="C70" s="257" t="s">
        <v>110</v>
      </c>
      <c r="D70" s="247" t="s">
        <v>73</v>
      </c>
      <c r="E70" s="238">
        <v>0</v>
      </c>
      <c r="F70" s="238">
        <v>0</v>
      </c>
      <c r="G70" s="104"/>
      <c r="H70" s="104">
        <f t="shared" si="22"/>
        <v>0</v>
      </c>
      <c r="I70" s="328">
        <f t="shared" si="23"/>
        <v>0</v>
      </c>
      <c r="J70" s="105">
        <f t="shared" si="24"/>
        <v>0</v>
      </c>
      <c r="K70" s="106">
        <f t="shared" si="25"/>
        <v>0</v>
      </c>
      <c r="L70" s="136"/>
      <c r="M70" s="136"/>
      <c r="N70" s="136"/>
    </row>
    <row r="71" spans="1:14" s="9" customFormat="1" ht="14.25" customHeight="1" x14ac:dyDescent="0.2">
      <c r="A71" s="235" t="s">
        <v>252</v>
      </c>
      <c r="B71" s="85" t="s">
        <v>226</v>
      </c>
      <c r="C71" s="257">
        <f>C30</f>
        <v>4</v>
      </c>
      <c r="D71" s="247" t="s">
        <v>73</v>
      </c>
      <c r="E71" s="238">
        <v>600</v>
      </c>
      <c r="F71" s="238">
        <v>500</v>
      </c>
      <c r="G71" s="328">
        <v>6.7220000000000004</v>
      </c>
      <c r="H71" s="104">
        <f t="shared" si="22"/>
        <v>4033.2000000000003</v>
      </c>
      <c r="I71" s="328">
        <f t="shared" si="23"/>
        <v>6.7220000000000004</v>
      </c>
      <c r="J71" s="105">
        <f t="shared" si="24"/>
        <v>3361</v>
      </c>
      <c r="K71" s="106">
        <f t="shared" si="25"/>
        <v>7394.2000000000007</v>
      </c>
      <c r="L71" s="136"/>
      <c r="M71" s="136"/>
      <c r="N71" s="136"/>
    </row>
    <row r="72" spans="1:14" s="9" customFormat="1" ht="14.25" customHeight="1" x14ac:dyDescent="0.2">
      <c r="A72" s="235" t="s">
        <v>253</v>
      </c>
      <c r="B72" s="85" t="s">
        <v>228</v>
      </c>
      <c r="C72" s="257">
        <f>C31</f>
        <v>7</v>
      </c>
      <c r="D72" s="247" t="s">
        <v>73</v>
      </c>
      <c r="E72" s="238">
        <v>500</v>
      </c>
      <c r="F72" s="238">
        <v>400</v>
      </c>
      <c r="G72" s="328">
        <v>7.2279999999999998</v>
      </c>
      <c r="H72" s="104">
        <f t="shared" si="22"/>
        <v>3614</v>
      </c>
      <c r="I72" s="328">
        <f t="shared" si="23"/>
        <v>7.2279999999999998</v>
      </c>
      <c r="J72" s="105">
        <f t="shared" si="24"/>
        <v>2891.2</v>
      </c>
      <c r="K72" s="106">
        <f t="shared" si="25"/>
        <v>6505.2</v>
      </c>
      <c r="L72" s="136"/>
      <c r="M72" s="136"/>
      <c r="N72" s="136"/>
    </row>
    <row r="73" spans="1:14" s="9" customFormat="1" ht="14.25" customHeight="1" x14ac:dyDescent="0.2">
      <c r="A73" s="235" t="s">
        <v>254</v>
      </c>
      <c r="B73" s="85" t="s">
        <v>230</v>
      </c>
      <c r="C73" s="257">
        <f>C32</f>
        <v>44</v>
      </c>
      <c r="D73" s="247" t="s">
        <v>73</v>
      </c>
      <c r="E73" s="238">
        <v>400</v>
      </c>
      <c r="F73" s="238">
        <v>300</v>
      </c>
      <c r="G73" s="328">
        <v>54.542999999999999</v>
      </c>
      <c r="H73" s="104">
        <f t="shared" si="22"/>
        <v>21817.200000000001</v>
      </c>
      <c r="I73" s="328">
        <f t="shared" si="23"/>
        <v>54.542999999999999</v>
      </c>
      <c r="J73" s="105">
        <f t="shared" si="24"/>
        <v>16362.9</v>
      </c>
      <c r="K73" s="106">
        <f t="shared" si="25"/>
        <v>38180.1</v>
      </c>
      <c r="L73" s="136"/>
      <c r="M73" s="136"/>
      <c r="N73" s="136"/>
    </row>
    <row r="74" spans="1:14" s="9" customFormat="1" ht="14.25" customHeight="1" x14ac:dyDescent="0.2">
      <c r="A74" s="235">
        <v>7.2</v>
      </c>
      <c r="B74" s="85" t="s">
        <v>255</v>
      </c>
      <c r="C74" s="257">
        <v>1</v>
      </c>
      <c r="D74" s="247" t="s">
        <v>9</v>
      </c>
      <c r="E74" s="238">
        <v>15000</v>
      </c>
      <c r="F74" s="238">
        <v>5000</v>
      </c>
      <c r="G74" s="104">
        <v>1</v>
      </c>
      <c r="H74" s="104">
        <f t="shared" si="22"/>
        <v>15000</v>
      </c>
      <c r="I74" s="328">
        <f t="shared" si="23"/>
        <v>1</v>
      </c>
      <c r="J74" s="105">
        <f t="shared" si="24"/>
        <v>5000</v>
      </c>
      <c r="K74" s="106">
        <f t="shared" si="25"/>
        <v>20000</v>
      </c>
      <c r="L74" s="136"/>
      <c r="M74" s="136"/>
      <c r="N74" s="136"/>
    </row>
    <row r="75" spans="1:14" s="9" customFormat="1" ht="14.25" customHeight="1" thickBot="1" x14ac:dyDescent="0.25">
      <c r="A75" s="235">
        <v>7.3</v>
      </c>
      <c r="B75" s="85" t="s">
        <v>256</v>
      </c>
      <c r="C75" s="258" t="s">
        <v>110</v>
      </c>
      <c r="D75" s="247" t="s">
        <v>9</v>
      </c>
      <c r="E75" s="238">
        <v>40000</v>
      </c>
      <c r="F75" s="238">
        <v>5000</v>
      </c>
      <c r="G75" s="104"/>
      <c r="H75" s="104">
        <f t="shared" si="22"/>
        <v>0</v>
      </c>
      <c r="I75" s="328">
        <f t="shared" si="23"/>
        <v>0</v>
      </c>
      <c r="J75" s="105">
        <f t="shared" si="24"/>
        <v>0</v>
      </c>
      <c r="K75" s="106">
        <f t="shared" si="25"/>
        <v>0</v>
      </c>
      <c r="L75" s="136"/>
      <c r="M75" s="136"/>
      <c r="N75" s="136"/>
    </row>
    <row r="76" spans="1:14" s="9" customFormat="1" ht="14.25" customHeight="1" thickBot="1" x14ac:dyDescent="0.25">
      <c r="A76" s="361" t="s">
        <v>8</v>
      </c>
      <c r="B76" s="362"/>
      <c r="C76" s="362"/>
      <c r="D76" s="362"/>
      <c r="E76" s="241"/>
      <c r="F76" s="241"/>
      <c r="G76" s="241"/>
      <c r="H76" s="241"/>
      <c r="I76" s="241"/>
      <c r="J76" s="241"/>
      <c r="K76" s="314">
        <f>SUM(K64:K75)</f>
        <v>72079.5</v>
      </c>
      <c r="L76" s="136"/>
      <c r="M76" s="136"/>
      <c r="N76" s="136"/>
    </row>
    <row r="77" spans="1:14" s="276" customFormat="1" ht="14.25" customHeight="1" x14ac:dyDescent="0.2">
      <c r="A77" s="6">
        <v>8</v>
      </c>
      <c r="B77" s="242" t="s">
        <v>257</v>
      </c>
      <c r="C77" s="249"/>
      <c r="D77" s="249"/>
      <c r="E77" s="249"/>
      <c r="F77" s="249"/>
      <c r="G77" s="250"/>
      <c r="H77" s="250"/>
      <c r="I77" s="250"/>
      <c r="J77" s="250"/>
      <c r="K77" s="250"/>
      <c r="L77" s="136"/>
      <c r="M77" s="136"/>
      <c r="N77" s="136"/>
    </row>
    <row r="78" spans="1:14" s="9" customFormat="1" ht="14.25" customHeight="1" thickBot="1" x14ac:dyDescent="0.25">
      <c r="A78" s="277">
        <v>8.1</v>
      </c>
      <c r="B78" s="95" t="s">
        <v>258</v>
      </c>
      <c r="C78" s="278">
        <v>1</v>
      </c>
      <c r="D78" s="279" t="s">
        <v>9</v>
      </c>
      <c r="E78" s="238">
        <v>45000</v>
      </c>
      <c r="F78" s="238">
        <v>8000</v>
      </c>
      <c r="G78" s="104">
        <v>1</v>
      </c>
      <c r="H78" s="104">
        <f>G78*E78</f>
        <v>45000</v>
      </c>
      <c r="I78" s="328">
        <f t="shared" ref="I78" si="26">G78</f>
        <v>1</v>
      </c>
      <c r="J78" s="105">
        <f>I78*F78</f>
        <v>8000</v>
      </c>
      <c r="K78" s="106">
        <f>J78+H78</f>
        <v>53000</v>
      </c>
      <c r="L78" s="136"/>
      <c r="M78" s="136"/>
      <c r="N78" s="136"/>
    </row>
    <row r="79" spans="1:14" s="9" customFormat="1" ht="14.25" customHeight="1" thickBot="1" x14ac:dyDescent="0.25">
      <c r="A79" s="361" t="s">
        <v>8</v>
      </c>
      <c r="B79" s="362"/>
      <c r="C79" s="362"/>
      <c r="D79" s="362"/>
      <c r="E79" s="241"/>
      <c r="F79" s="241"/>
      <c r="G79" s="241"/>
      <c r="H79" s="241"/>
      <c r="I79" s="241"/>
      <c r="J79" s="241"/>
      <c r="K79" s="313">
        <f>SUM(K78)</f>
        <v>53000</v>
      </c>
      <c r="L79" s="136"/>
      <c r="M79" s="136"/>
      <c r="N79" s="136"/>
    </row>
    <row r="80" spans="1:14" s="284" customFormat="1" ht="14.25" customHeight="1" x14ac:dyDescent="0.2">
      <c r="A80" s="280">
        <v>9</v>
      </c>
      <c r="B80" s="281" t="s">
        <v>3</v>
      </c>
      <c r="C80" s="282"/>
      <c r="D80" s="282"/>
      <c r="E80" s="282"/>
      <c r="F80" s="282"/>
      <c r="G80" s="283"/>
      <c r="H80" s="283"/>
      <c r="I80" s="283"/>
      <c r="J80" s="283"/>
      <c r="K80" s="283"/>
      <c r="L80" s="136"/>
      <c r="M80" s="136"/>
      <c r="N80" s="136"/>
    </row>
    <row r="81" spans="1:14" s="9" customFormat="1" ht="14.25" customHeight="1" x14ac:dyDescent="0.2">
      <c r="A81" s="235">
        <v>9.1</v>
      </c>
      <c r="B81" s="85" t="s">
        <v>259</v>
      </c>
      <c r="C81" s="285">
        <v>1</v>
      </c>
      <c r="D81" s="286" t="s">
        <v>9</v>
      </c>
      <c r="E81" s="238">
        <v>0</v>
      </c>
      <c r="F81" s="238">
        <v>15000</v>
      </c>
      <c r="G81" s="104">
        <v>1</v>
      </c>
      <c r="H81" s="104">
        <f t="shared" ref="H81:H86" si="27">G81*E81</f>
        <v>0</v>
      </c>
      <c r="I81" s="328">
        <f t="shared" ref="I81:I86" si="28">G81</f>
        <v>1</v>
      </c>
      <c r="J81" s="105">
        <f t="shared" ref="J81:J86" si="29">I81*F81</f>
        <v>15000</v>
      </c>
      <c r="K81" s="106">
        <f t="shared" ref="K81:K86" si="30">J81+H81</f>
        <v>15000</v>
      </c>
      <c r="L81" s="136"/>
      <c r="M81" s="136"/>
      <c r="N81" s="136"/>
    </row>
    <row r="82" spans="1:14" s="9" customFormat="1" ht="14.25" customHeight="1" x14ac:dyDescent="0.2">
      <c r="A82" s="287">
        <v>9.1999999999999993</v>
      </c>
      <c r="B82" s="85" t="s">
        <v>10</v>
      </c>
      <c r="C82" s="285">
        <v>1</v>
      </c>
      <c r="D82" s="286" t="s">
        <v>9</v>
      </c>
      <c r="E82" s="238">
        <v>0</v>
      </c>
      <c r="F82" s="238">
        <v>8000</v>
      </c>
      <c r="G82" s="104">
        <v>1</v>
      </c>
      <c r="H82" s="104">
        <f t="shared" si="27"/>
        <v>0</v>
      </c>
      <c r="I82" s="328">
        <f t="shared" si="28"/>
        <v>1</v>
      </c>
      <c r="J82" s="105">
        <f t="shared" si="29"/>
        <v>8000</v>
      </c>
      <c r="K82" s="106">
        <f t="shared" si="30"/>
        <v>8000</v>
      </c>
      <c r="L82" s="136"/>
      <c r="M82" s="136"/>
      <c r="N82" s="136"/>
    </row>
    <row r="83" spans="1:14" s="9" customFormat="1" ht="14.25" customHeight="1" x14ac:dyDescent="0.2">
      <c r="A83" s="235">
        <v>9.3000000000000007</v>
      </c>
      <c r="B83" s="85" t="s">
        <v>11</v>
      </c>
      <c r="C83" s="285">
        <v>1</v>
      </c>
      <c r="D83" s="286" t="s">
        <v>9</v>
      </c>
      <c r="E83" s="238">
        <v>0</v>
      </c>
      <c r="F83" s="238">
        <v>5000</v>
      </c>
      <c r="G83" s="104">
        <v>1</v>
      </c>
      <c r="H83" s="104">
        <f t="shared" si="27"/>
        <v>0</v>
      </c>
      <c r="I83" s="328">
        <f t="shared" si="28"/>
        <v>1</v>
      </c>
      <c r="J83" s="105">
        <f t="shared" si="29"/>
        <v>5000</v>
      </c>
      <c r="K83" s="106">
        <f t="shared" si="30"/>
        <v>5000</v>
      </c>
      <c r="L83" s="136"/>
      <c r="M83" s="136"/>
      <c r="N83" s="136"/>
    </row>
    <row r="84" spans="1:14" s="9" customFormat="1" ht="25.5" customHeight="1" x14ac:dyDescent="0.2">
      <c r="A84" s="287">
        <v>9.4</v>
      </c>
      <c r="B84" s="239" t="s">
        <v>260</v>
      </c>
      <c r="C84" s="285">
        <v>1</v>
      </c>
      <c r="D84" s="286" t="s">
        <v>9</v>
      </c>
      <c r="E84" s="238">
        <v>15000</v>
      </c>
      <c r="F84" s="238">
        <v>2000</v>
      </c>
      <c r="G84" s="104">
        <v>1</v>
      </c>
      <c r="H84" s="104">
        <f t="shared" si="27"/>
        <v>15000</v>
      </c>
      <c r="I84" s="328">
        <f t="shared" si="28"/>
        <v>1</v>
      </c>
      <c r="J84" s="105">
        <f t="shared" si="29"/>
        <v>2000</v>
      </c>
      <c r="K84" s="106">
        <f t="shared" si="30"/>
        <v>17000</v>
      </c>
      <c r="L84" s="136"/>
      <c r="M84" s="136"/>
      <c r="N84" s="136"/>
    </row>
    <row r="85" spans="1:14" s="9" customFormat="1" ht="14.25" customHeight="1" x14ac:dyDescent="0.2">
      <c r="A85" s="235">
        <v>9.5</v>
      </c>
      <c r="B85" s="85" t="s">
        <v>69</v>
      </c>
      <c r="C85" s="285">
        <v>1</v>
      </c>
      <c r="D85" s="286" t="s">
        <v>9</v>
      </c>
      <c r="E85" s="238">
        <v>7000</v>
      </c>
      <c r="F85" s="238">
        <v>2000</v>
      </c>
      <c r="G85" s="104">
        <v>1</v>
      </c>
      <c r="H85" s="104">
        <f t="shared" si="27"/>
        <v>7000</v>
      </c>
      <c r="I85" s="328">
        <f t="shared" si="28"/>
        <v>1</v>
      </c>
      <c r="J85" s="105">
        <f t="shared" si="29"/>
        <v>2000</v>
      </c>
      <c r="K85" s="106">
        <f t="shared" si="30"/>
        <v>9000</v>
      </c>
      <c r="L85" s="136"/>
      <c r="M85" s="136"/>
      <c r="N85" s="136"/>
    </row>
    <row r="86" spans="1:14" s="9" customFormat="1" ht="25.5" customHeight="1" thickBot="1" x14ac:dyDescent="0.25">
      <c r="A86" s="287">
        <v>9.6</v>
      </c>
      <c r="B86" s="239" t="s">
        <v>261</v>
      </c>
      <c r="C86" s="285">
        <v>1</v>
      </c>
      <c r="D86" s="247" t="s">
        <v>9</v>
      </c>
      <c r="E86" s="238">
        <v>0</v>
      </c>
      <c r="F86" s="238">
        <v>15000</v>
      </c>
      <c r="G86" s="104">
        <v>1</v>
      </c>
      <c r="H86" s="104">
        <f t="shared" si="27"/>
        <v>0</v>
      </c>
      <c r="I86" s="328">
        <f t="shared" si="28"/>
        <v>1</v>
      </c>
      <c r="J86" s="105">
        <f t="shared" si="29"/>
        <v>15000</v>
      </c>
      <c r="K86" s="106">
        <f t="shared" si="30"/>
        <v>15000</v>
      </c>
      <c r="L86" s="136"/>
      <c r="M86" s="136"/>
      <c r="N86" s="136"/>
    </row>
    <row r="87" spans="1:14" s="9" customFormat="1" ht="14.25" customHeight="1" thickBot="1" x14ac:dyDescent="0.25">
      <c r="A87" s="363" t="s">
        <v>8</v>
      </c>
      <c r="B87" s="364"/>
      <c r="C87" s="364"/>
      <c r="D87" s="364"/>
      <c r="E87" s="288"/>
      <c r="F87" s="288"/>
      <c r="G87" s="288"/>
      <c r="H87" s="288"/>
      <c r="I87" s="288"/>
      <c r="J87" s="288"/>
      <c r="K87" s="329">
        <f>SUM(K81:K86)</f>
        <v>69000</v>
      </c>
      <c r="L87" s="136"/>
      <c r="M87" s="136"/>
      <c r="N87" s="136"/>
    </row>
    <row r="88" spans="1:14" s="9" customFormat="1" ht="14.25" customHeight="1" thickBot="1" x14ac:dyDescent="0.25">
      <c r="A88" s="363" t="s">
        <v>262</v>
      </c>
      <c r="B88" s="364"/>
      <c r="C88" s="364"/>
      <c r="D88" s="364"/>
      <c r="E88" s="289"/>
      <c r="F88" s="289"/>
      <c r="G88" s="289"/>
      <c r="H88" s="289"/>
      <c r="I88" s="289"/>
      <c r="J88" s="289"/>
      <c r="K88" s="314">
        <f>K87+K79+K61+K58+K33+K19+K16+K13+K76</f>
        <v>834551.75</v>
      </c>
      <c r="L88" s="136"/>
      <c r="M88" s="136"/>
      <c r="N88" s="136"/>
    </row>
    <row r="89" spans="1:14" s="276" customFormat="1" ht="12" x14ac:dyDescent="0.2">
      <c r="A89" s="290"/>
      <c r="C89" s="291"/>
      <c r="D89" s="291"/>
      <c r="E89" s="292"/>
      <c r="F89" s="292"/>
      <c r="G89" s="292"/>
      <c r="H89" s="292"/>
      <c r="I89" s="292"/>
      <c r="J89" s="292"/>
      <c r="K89" s="292"/>
    </row>
    <row r="90" spans="1:14" s="276" customFormat="1" ht="12" x14ac:dyDescent="0.2">
      <c r="A90" s="290"/>
      <c r="C90" s="291"/>
      <c r="D90" s="291"/>
      <c r="E90" s="292"/>
      <c r="F90" s="292"/>
      <c r="G90" s="292"/>
      <c r="H90" s="292"/>
      <c r="I90" s="292"/>
      <c r="J90" s="292"/>
      <c r="K90" s="292"/>
    </row>
    <row r="91" spans="1:14" s="276" customFormat="1" ht="12" x14ac:dyDescent="0.2">
      <c r="A91" s="290"/>
      <c r="C91" s="291"/>
      <c r="D91" s="291"/>
      <c r="E91" s="292"/>
      <c r="F91" s="292"/>
      <c r="G91" s="292"/>
      <c r="H91" s="292"/>
      <c r="I91" s="292"/>
      <c r="J91" s="292"/>
      <c r="K91" s="292"/>
    </row>
    <row r="92" spans="1:14" s="276" customFormat="1" ht="12" x14ac:dyDescent="0.2">
      <c r="A92" s="290"/>
      <c r="C92" s="291"/>
      <c r="D92" s="291"/>
      <c r="E92" s="292"/>
      <c r="F92" s="292"/>
      <c r="G92" s="292"/>
      <c r="H92" s="292"/>
      <c r="I92" s="292"/>
      <c r="J92" s="292"/>
      <c r="K92" s="292"/>
    </row>
    <row r="93" spans="1:14" s="276" customFormat="1" ht="12" x14ac:dyDescent="0.2">
      <c r="A93" s="290"/>
      <c r="C93" s="291"/>
      <c r="D93" s="291"/>
      <c r="E93" s="292"/>
      <c r="F93" s="292"/>
      <c r="G93" s="292"/>
      <c r="H93" s="292"/>
      <c r="I93" s="292"/>
      <c r="J93" s="292"/>
      <c r="K93" s="292"/>
    </row>
    <row r="94" spans="1:14" s="276" customFormat="1" ht="12" x14ac:dyDescent="0.2">
      <c r="A94" s="290"/>
      <c r="C94" s="291"/>
      <c r="D94" s="291"/>
      <c r="E94" s="292"/>
      <c r="F94" s="292"/>
      <c r="G94" s="292"/>
      <c r="H94" s="292"/>
      <c r="I94" s="292"/>
      <c r="J94" s="292"/>
      <c r="K94" s="292"/>
    </row>
    <row r="95" spans="1:14" s="276" customFormat="1" ht="12" x14ac:dyDescent="0.2">
      <c r="A95" s="290"/>
      <c r="C95" s="291"/>
      <c r="D95" s="291"/>
      <c r="E95" s="292"/>
      <c r="F95" s="292"/>
      <c r="G95" s="292"/>
      <c r="H95" s="292"/>
      <c r="I95" s="292"/>
      <c r="J95" s="292"/>
      <c r="K95" s="292"/>
    </row>
    <row r="96" spans="1:14" s="276" customFormat="1" ht="12" x14ac:dyDescent="0.2">
      <c r="A96" s="290"/>
      <c r="C96" s="291"/>
      <c r="D96" s="291"/>
      <c r="E96" s="292"/>
      <c r="F96" s="292"/>
      <c r="G96" s="292"/>
      <c r="H96" s="292"/>
      <c r="I96" s="292"/>
      <c r="J96" s="292"/>
      <c r="K96" s="292"/>
    </row>
    <row r="97" spans="1:11" s="276" customFormat="1" ht="12" x14ac:dyDescent="0.2">
      <c r="A97" s="290"/>
      <c r="C97" s="291"/>
      <c r="D97" s="291"/>
      <c r="E97" s="292"/>
      <c r="F97" s="292"/>
      <c r="G97" s="292"/>
      <c r="H97" s="292"/>
      <c r="I97" s="292"/>
      <c r="J97" s="292"/>
      <c r="K97" s="292"/>
    </row>
    <row r="98" spans="1:11" s="276" customFormat="1" ht="12" x14ac:dyDescent="0.2">
      <c r="A98" s="290"/>
      <c r="C98" s="291"/>
      <c r="D98" s="291"/>
      <c r="E98" s="292"/>
      <c r="F98" s="292"/>
      <c r="G98" s="292"/>
      <c r="H98" s="292"/>
      <c r="I98" s="292"/>
      <c r="J98" s="292"/>
      <c r="K98" s="292"/>
    </row>
    <row r="99" spans="1:11" s="276" customFormat="1" ht="12" x14ac:dyDescent="0.2">
      <c r="A99" s="290"/>
      <c r="C99" s="291"/>
      <c r="D99" s="291"/>
      <c r="E99" s="292"/>
      <c r="F99" s="292"/>
      <c r="G99" s="292"/>
      <c r="H99" s="292"/>
      <c r="I99" s="292"/>
      <c r="J99" s="292"/>
      <c r="K99" s="292"/>
    </row>
    <row r="100" spans="1:11" s="276" customFormat="1" ht="12" x14ac:dyDescent="0.2">
      <c r="A100" s="290"/>
      <c r="C100" s="291"/>
      <c r="D100" s="291"/>
      <c r="E100" s="292"/>
      <c r="F100" s="292"/>
      <c r="G100" s="292"/>
      <c r="H100" s="292"/>
      <c r="I100" s="292"/>
      <c r="J100" s="292"/>
      <c r="K100" s="292"/>
    </row>
    <row r="101" spans="1:11" s="276" customFormat="1" ht="12" x14ac:dyDescent="0.2">
      <c r="A101" s="290"/>
      <c r="C101" s="291"/>
      <c r="D101" s="291"/>
      <c r="E101" s="292"/>
      <c r="F101" s="292"/>
      <c r="G101" s="292"/>
      <c r="H101" s="292"/>
      <c r="I101" s="292"/>
      <c r="J101" s="292"/>
      <c r="K101" s="292"/>
    </row>
    <row r="102" spans="1:11" s="276" customFormat="1" ht="12" x14ac:dyDescent="0.2">
      <c r="A102" s="290"/>
      <c r="C102" s="291"/>
      <c r="D102" s="291"/>
      <c r="E102" s="292"/>
      <c r="F102" s="292"/>
      <c r="G102" s="292"/>
      <c r="H102" s="292"/>
      <c r="I102" s="292"/>
      <c r="J102" s="292"/>
      <c r="K102" s="292"/>
    </row>
    <row r="103" spans="1:11" s="276" customFormat="1" ht="12" x14ac:dyDescent="0.2">
      <c r="A103" s="290"/>
      <c r="C103" s="291"/>
      <c r="D103" s="291"/>
      <c r="E103" s="292"/>
      <c r="F103" s="292"/>
      <c r="G103" s="292"/>
      <c r="H103" s="292"/>
      <c r="I103" s="292"/>
      <c r="J103" s="292"/>
      <c r="K103" s="292"/>
    </row>
    <row r="104" spans="1:11" s="276" customFormat="1" ht="12" x14ac:dyDescent="0.2">
      <c r="A104" s="290"/>
      <c r="C104" s="291"/>
      <c r="D104" s="291"/>
      <c r="E104" s="292"/>
      <c r="F104" s="292"/>
      <c r="G104" s="292"/>
      <c r="H104" s="292"/>
      <c r="I104" s="292"/>
      <c r="J104" s="292"/>
      <c r="K104" s="292"/>
    </row>
    <row r="105" spans="1:11" s="276" customFormat="1" ht="12" x14ac:dyDescent="0.2">
      <c r="A105" s="290"/>
      <c r="C105" s="291"/>
      <c r="D105" s="291"/>
      <c r="E105" s="292"/>
      <c r="F105" s="292"/>
      <c r="G105" s="292"/>
      <c r="H105" s="292"/>
      <c r="I105" s="292"/>
      <c r="J105" s="292"/>
      <c r="K105" s="292"/>
    </row>
    <row r="106" spans="1:11" s="276" customFormat="1" ht="12" x14ac:dyDescent="0.2">
      <c r="A106" s="290"/>
      <c r="C106" s="291"/>
      <c r="D106" s="291"/>
      <c r="E106" s="292"/>
      <c r="F106" s="292"/>
      <c r="G106" s="292"/>
      <c r="H106" s="292"/>
      <c r="I106" s="292"/>
      <c r="J106" s="292"/>
      <c r="K106" s="292"/>
    </row>
    <row r="107" spans="1:11" s="276" customFormat="1" ht="12" x14ac:dyDescent="0.2">
      <c r="A107" s="290"/>
      <c r="C107" s="291"/>
      <c r="D107" s="291"/>
      <c r="E107" s="292"/>
      <c r="F107" s="292"/>
      <c r="G107" s="292"/>
      <c r="H107" s="292"/>
      <c r="I107" s="292"/>
      <c r="J107" s="292"/>
      <c r="K107" s="292"/>
    </row>
    <row r="108" spans="1:11" s="276" customFormat="1" ht="12" x14ac:dyDescent="0.2">
      <c r="A108" s="290"/>
      <c r="C108" s="291"/>
      <c r="D108" s="291"/>
      <c r="E108" s="292"/>
      <c r="F108" s="292"/>
      <c r="G108" s="292"/>
      <c r="H108" s="292"/>
      <c r="I108" s="292"/>
      <c r="J108" s="292"/>
      <c r="K108" s="292"/>
    </row>
    <row r="109" spans="1:11" s="276" customFormat="1" ht="12" x14ac:dyDescent="0.2">
      <c r="A109" s="290"/>
      <c r="C109" s="291"/>
      <c r="D109" s="291"/>
      <c r="E109" s="292"/>
      <c r="F109" s="292"/>
      <c r="G109" s="292"/>
      <c r="H109" s="292"/>
      <c r="I109" s="292"/>
      <c r="J109" s="292"/>
      <c r="K109" s="292"/>
    </row>
    <row r="110" spans="1:11" s="276" customFormat="1" ht="12" x14ac:dyDescent="0.2">
      <c r="A110" s="290"/>
      <c r="C110" s="291"/>
      <c r="D110" s="291"/>
      <c r="E110" s="292"/>
      <c r="F110" s="292"/>
      <c r="G110" s="292"/>
      <c r="H110" s="292"/>
      <c r="I110" s="292"/>
      <c r="J110" s="292"/>
      <c r="K110" s="292"/>
    </row>
    <row r="111" spans="1:11" s="276" customFormat="1" ht="12" x14ac:dyDescent="0.2">
      <c r="A111" s="290"/>
      <c r="C111" s="291"/>
      <c r="D111" s="291"/>
      <c r="E111" s="292"/>
      <c r="F111" s="292"/>
      <c r="G111" s="292"/>
      <c r="H111" s="292"/>
      <c r="I111" s="292"/>
      <c r="J111" s="292"/>
      <c r="K111" s="292"/>
    </row>
    <row r="112" spans="1:11" s="276" customFormat="1" ht="12" x14ac:dyDescent="0.2">
      <c r="A112" s="290"/>
      <c r="C112" s="291"/>
      <c r="D112" s="291"/>
      <c r="E112" s="292"/>
      <c r="F112" s="292"/>
      <c r="G112" s="292"/>
      <c r="H112" s="292"/>
      <c r="I112" s="292"/>
      <c r="J112" s="292"/>
      <c r="K112" s="292"/>
    </row>
    <row r="113" spans="1:11" s="276" customFormat="1" ht="12" x14ac:dyDescent="0.2">
      <c r="A113" s="290"/>
      <c r="C113" s="291"/>
      <c r="D113" s="291"/>
      <c r="E113" s="292"/>
      <c r="F113" s="292"/>
      <c r="G113" s="292"/>
      <c r="H113" s="292"/>
      <c r="I113" s="292"/>
      <c r="J113" s="292"/>
      <c r="K113" s="292"/>
    </row>
    <row r="114" spans="1:11" s="276" customFormat="1" ht="12" x14ac:dyDescent="0.2">
      <c r="A114" s="290"/>
      <c r="C114" s="291"/>
      <c r="D114" s="291"/>
      <c r="E114" s="292"/>
      <c r="F114" s="292"/>
      <c r="G114" s="292"/>
      <c r="H114" s="292"/>
      <c r="I114" s="292"/>
      <c r="J114" s="292"/>
      <c r="K114" s="292"/>
    </row>
    <row r="115" spans="1:11" s="276" customFormat="1" ht="12" x14ac:dyDescent="0.2">
      <c r="A115" s="290"/>
      <c r="C115" s="291"/>
      <c r="D115" s="291"/>
      <c r="E115" s="292"/>
      <c r="F115" s="292"/>
      <c r="G115" s="292"/>
      <c r="H115" s="292"/>
      <c r="I115" s="292"/>
      <c r="J115" s="292"/>
      <c r="K115" s="292"/>
    </row>
    <row r="116" spans="1:11" s="276" customFormat="1" ht="12" x14ac:dyDescent="0.2">
      <c r="A116" s="290"/>
      <c r="C116" s="291"/>
      <c r="D116" s="291"/>
      <c r="E116" s="292"/>
      <c r="F116" s="292"/>
      <c r="G116" s="292"/>
      <c r="H116" s="292"/>
      <c r="I116" s="292"/>
      <c r="J116" s="292"/>
      <c r="K116" s="292"/>
    </row>
    <row r="117" spans="1:11" s="276" customFormat="1" ht="12" x14ac:dyDescent="0.2">
      <c r="A117" s="290"/>
      <c r="C117" s="291"/>
      <c r="D117" s="291"/>
      <c r="E117" s="292"/>
      <c r="F117" s="292"/>
      <c r="G117" s="292"/>
      <c r="H117" s="292"/>
      <c r="I117" s="292"/>
      <c r="J117" s="292"/>
      <c r="K117" s="292"/>
    </row>
    <row r="118" spans="1:11" s="276" customFormat="1" ht="12" x14ac:dyDescent="0.2">
      <c r="A118" s="290"/>
      <c r="C118" s="291"/>
      <c r="D118" s="291"/>
      <c r="E118" s="292"/>
      <c r="F118" s="292"/>
      <c r="G118" s="292"/>
      <c r="H118" s="292"/>
      <c r="I118" s="292"/>
      <c r="J118" s="292"/>
      <c r="K118" s="292"/>
    </row>
    <row r="119" spans="1:11" s="276" customFormat="1" ht="12" x14ac:dyDescent="0.2">
      <c r="A119" s="290"/>
      <c r="C119" s="291"/>
      <c r="D119" s="291"/>
      <c r="E119" s="292"/>
      <c r="F119" s="292"/>
      <c r="G119" s="292"/>
      <c r="H119" s="292"/>
      <c r="I119" s="292"/>
      <c r="J119" s="292"/>
      <c r="K119" s="292"/>
    </row>
    <row r="120" spans="1:11" s="276" customFormat="1" ht="12" x14ac:dyDescent="0.2">
      <c r="A120" s="290"/>
      <c r="C120" s="291"/>
      <c r="D120" s="291"/>
      <c r="E120" s="292"/>
      <c r="F120" s="292"/>
      <c r="G120" s="292"/>
      <c r="H120" s="292"/>
      <c r="I120" s="292"/>
      <c r="J120" s="292"/>
      <c r="K120" s="292"/>
    </row>
    <row r="121" spans="1:11" s="276" customFormat="1" ht="12" x14ac:dyDescent="0.2">
      <c r="A121" s="290"/>
      <c r="C121" s="291"/>
      <c r="D121" s="291"/>
      <c r="E121" s="292"/>
      <c r="F121" s="292"/>
      <c r="G121" s="292"/>
      <c r="H121" s="292"/>
      <c r="I121" s="292"/>
      <c r="J121" s="292"/>
      <c r="K121" s="292"/>
    </row>
    <row r="122" spans="1:11" s="276" customFormat="1" ht="12" x14ac:dyDescent="0.2">
      <c r="A122" s="290"/>
      <c r="C122" s="291"/>
      <c r="D122" s="291"/>
      <c r="E122" s="292"/>
      <c r="F122" s="292"/>
      <c r="G122" s="292"/>
      <c r="H122" s="292"/>
      <c r="I122" s="292"/>
      <c r="J122" s="292"/>
      <c r="K122" s="292"/>
    </row>
    <row r="123" spans="1:11" s="276" customFormat="1" ht="12" x14ac:dyDescent="0.2">
      <c r="A123" s="290"/>
      <c r="C123" s="291"/>
      <c r="D123" s="291"/>
      <c r="E123" s="292"/>
      <c r="F123" s="292"/>
      <c r="G123" s="292"/>
      <c r="H123" s="292"/>
      <c r="I123" s="292"/>
      <c r="J123" s="292"/>
      <c r="K123" s="292"/>
    </row>
    <row r="124" spans="1:11" s="276" customFormat="1" ht="12" x14ac:dyDescent="0.2">
      <c r="A124" s="290"/>
      <c r="C124" s="291"/>
      <c r="D124" s="291"/>
      <c r="E124" s="292"/>
      <c r="F124" s="292"/>
      <c r="G124" s="292"/>
      <c r="H124" s="292"/>
      <c r="I124" s="292"/>
      <c r="J124" s="292"/>
      <c r="K124" s="292"/>
    </row>
    <row r="125" spans="1:11" s="276" customFormat="1" ht="12" x14ac:dyDescent="0.2">
      <c r="A125" s="290"/>
      <c r="C125" s="291"/>
      <c r="D125" s="291"/>
      <c r="E125" s="292"/>
      <c r="F125" s="292"/>
      <c r="G125" s="292"/>
      <c r="H125" s="292"/>
      <c r="I125" s="292"/>
      <c r="J125" s="292"/>
      <c r="K125" s="292"/>
    </row>
    <row r="126" spans="1:11" s="276" customFormat="1" ht="12" x14ac:dyDescent="0.2">
      <c r="A126" s="290"/>
      <c r="C126" s="291"/>
      <c r="D126" s="291"/>
      <c r="E126" s="292"/>
      <c r="F126" s="292"/>
      <c r="G126" s="292"/>
      <c r="H126" s="292"/>
      <c r="I126" s="292"/>
      <c r="J126" s="292"/>
      <c r="K126" s="292"/>
    </row>
    <row r="127" spans="1:11" s="276" customFormat="1" ht="12" x14ac:dyDescent="0.2">
      <c r="A127" s="290"/>
      <c r="C127" s="291"/>
      <c r="D127" s="291"/>
      <c r="E127" s="292"/>
      <c r="F127" s="292"/>
      <c r="G127" s="292"/>
      <c r="H127" s="292"/>
      <c r="I127" s="292"/>
      <c r="J127" s="292"/>
      <c r="K127" s="292"/>
    </row>
    <row r="128" spans="1:11" s="276" customFormat="1" ht="12" x14ac:dyDescent="0.2">
      <c r="A128" s="290"/>
      <c r="C128" s="291"/>
      <c r="D128" s="291"/>
      <c r="E128" s="292"/>
      <c r="F128" s="292"/>
      <c r="G128" s="292"/>
      <c r="H128" s="292"/>
      <c r="I128" s="292"/>
      <c r="J128" s="292"/>
      <c r="K128" s="292"/>
    </row>
    <row r="129" spans="1:11" s="276" customFormat="1" ht="12" x14ac:dyDescent="0.2">
      <c r="A129" s="290"/>
      <c r="C129" s="291"/>
      <c r="D129" s="291"/>
      <c r="E129" s="292"/>
      <c r="F129" s="292"/>
      <c r="G129" s="292"/>
      <c r="H129" s="292"/>
      <c r="I129" s="292"/>
      <c r="J129" s="292"/>
      <c r="K129" s="292"/>
    </row>
    <row r="130" spans="1:11" s="276" customFormat="1" ht="12" x14ac:dyDescent="0.2">
      <c r="A130" s="290"/>
      <c r="C130" s="291"/>
      <c r="D130" s="291"/>
      <c r="E130" s="292"/>
      <c r="F130" s="292"/>
      <c r="G130" s="292"/>
      <c r="H130" s="292"/>
      <c r="I130" s="292"/>
      <c r="J130" s="292"/>
      <c r="K130" s="292"/>
    </row>
    <row r="131" spans="1:11" s="276" customFormat="1" ht="12" x14ac:dyDescent="0.2">
      <c r="A131" s="290"/>
      <c r="C131" s="291"/>
      <c r="D131" s="291"/>
      <c r="E131" s="292"/>
      <c r="F131" s="292"/>
      <c r="G131" s="292"/>
      <c r="H131" s="292"/>
      <c r="I131" s="292"/>
      <c r="J131" s="292"/>
      <c r="K131" s="292"/>
    </row>
    <row r="132" spans="1:11" s="276" customFormat="1" ht="12" x14ac:dyDescent="0.2">
      <c r="A132" s="290"/>
      <c r="C132" s="291"/>
      <c r="D132" s="291"/>
      <c r="E132" s="292"/>
      <c r="F132" s="292"/>
      <c r="G132" s="292"/>
      <c r="H132" s="292"/>
      <c r="I132" s="292"/>
      <c r="J132" s="292"/>
      <c r="K132" s="292"/>
    </row>
    <row r="133" spans="1:11" s="276" customFormat="1" ht="12" x14ac:dyDescent="0.2">
      <c r="A133" s="290"/>
      <c r="C133" s="291"/>
      <c r="D133" s="291"/>
      <c r="E133" s="292"/>
      <c r="F133" s="292"/>
      <c r="G133" s="292"/>
      <c r="H133" s="292"/>
      <c r="I133" s="292"/>
      <c r="J133" s="292"/>
      <c r="K133" s="292"/>
    </row>
    <row r="134" spans="1:11" s="276" customFormat="1" ht="12" x14ac:dyDescent="0.2">
      <c r="A134" s="290"/>
      <c r="C134" s="291"/>
      <c r="D134" s="291"/>
      <c r="E134" s="292"/>
      <c r="F134" s="292"/>
      <c r="G134" s="292"/>
      <c r="H134" s="292"/>
      <c r="I134" s="292"/>
      <c r="J134" s="292"/>
      <c r="K134" s="292"/>
    </row>
    <row r="135" spans="1:11" s="276" customFormat="1" ht="12" x14ac:dyDescent="0.2">
      <c r="A135" s="290"/>
      <c r="C135" s="291"/>
      <c r="D135" s="291"/>
      <c r="E135" s="292"/>
      <c r="F135" s="292"/>
      <c r="G135" s="292"/>
      <c r="H135" s="292"/>
      <c r="I135" s="292"/>
      <c r="J135" s="292"/>
      <c r="K135" s="292"/>
    </row>
    <row r="136" spans="1:11" s="276" customFormat="1" ht="12" x14ac:dyDescent="0.2">
      <c r="A136" s="290"/>
      <c r="C136" s="291"/>
      <c r="D136" s="291"/>
      <c r="E136" s="292"/>
      <c r="F136" s="292"/>
      <c r="G136" s="292"/>
      <c r="H136" s="292"/>
      <c r="I136" s="292"/>
      <c r="J136" s="292"/>
      <c r="K136" s="292"/>
    </row>
    <row r="137" spans="1:11" s="276" customFormat="1" ht="12" x14ac:dyDescent="0.2">
      <c r="A137" s="290"/>
      <c r="C137" s="291"/>
      <c r="D137" s="291"/>
      <c r="E137" s="292"/>
      <c r="F137" s="292"/>
      <c r="G137" s="292"/>
      <c r="H137" s="292"/>
      <c r="I137" s="292"/>
      <c r="J137" s="292"/>
      <c r="K137" s="292"/>
    </row>
    <row r="138" spans="1:11" s="276" customFormat="1" ht="12" x14ac:dyDescent="0.2">
      <c r="A138" s="290"/>
      <c r="C138" s="291"/>
      <c r="D138" s="291"/>
      <c r="E138" s="292"/>
      <c r="F138" s="292"/>
      <c r="G138" s="292"/>
      <c r="H138" s="292"/>
      <c r="I138" s="292"/>
      <c r="J138" s="292"/>
      <c r="K138" s="292"/>
    </row>
    <row r="139" spans="1:11" s="276" customFormat="1" ht="12" x14ac:dyDescent="0.2">
      <c r="A139" s="290"/>
      <c r="C139" s="291"/>
      <c r="D139" s="291"/>
      <c r="E139" s="292"/>
      <c r="F139" s="292"/>
      <c r="G139" s="292"/>
      <c r="H139" s="292"/>
      <c r="I139" s="292"/>
      <c r="J139" s="292"/>
      <c r="K139" s="292"/>
    </row>
    <row r="140" spans="1:11" s="276" customFormat="1" ht="12" x14ac:dyDescent="0.2">
      <c r="A140" s="290"/>
      <c r="C140" s="291"/>
      <c r="D140" s="291"/>
      <c r="E140" s="292"/>
      <c r="F140" s="292"/>
      <c r="G140" s="292"/>
      <c r="H140" s="292"/>
      <c r="I140" s="292"/>
      <c r="J140" s="292"/>
      <c r="K140" s="292"/>
    </row>
    <row r="141" spans="1:11" s="276" customFormat="1" ht="12" x14ac:dyDescent="0.2">
      <c r="A141" s="290"/>
      <c r="C141" s="291"/>
      <c r="D141" s="291"/>
      <c r="E141" s="292"/>
      <c r="F141" s="292"/>
      <c r="G141" s="292"/>
      <c r="H141" s="292"/>
      <c r="I141" s="292"/>
      <c r="J141" s="292"/>
      <c r="K141" s="292"/>
    </row>
    <row r="142" spans="1:11" s="276" customFormat="1" ht="12" x14ac:dyDescent="0.2">
      <c r="A142" s="290"/>
      <c r="C142" s="291"/>
      <c r="D142" s="291"/>
      <c r="E142" s="292"/>
      <c r="F142" s="292"/>
      <c r="G142" s="292"/>
      <c r="H142" s="292"/>
      <c r="I142" s="292"/>
      <c r="J142" s="292"/>
      <c r="K142" s="292"/>
    </row>
    <row r="143" spans="1:11" s="276" customFormat="1" ht="12" x14ac:dyDescent="0.2">
      <c r="A143" s="290"/>
      <c r="C143" s="291"/>
      <c r="D143" s="291"/>
      <c r="E143" s="292"/>
      <c r="F143" s="292"/>
      <c r="G143" s="292"/>
      <c r="H143" s="292"/>
      <c r="I143" s="292"/>
      <c r="J143" s="292"/>
      <c r="K143" s="292"/>
    </row>
    <row r="144" spans="1:11" s="276" customFormat="1" ht="12" x14ac:dyDescent="0.2">
      <c r="A144" s="290"/>
      <c r="C144" s="291"/>
      <c r="D144" s="291"/>
      <c r="E144" s="292"/>
      <c r="F144" s="292"/>
      <c r="G144" s="292"/>
      <c r="H144" s="292"/>
      <c r="I144" s="292"/>
      <c r="J144" s="292"/>
      <c r="K144" s="292"/>
    </row>
    <row r="145" spans="1:11" s="276" customFormat="1" ht="12" x14ac:dyDescent="0.2">
      <c r="A145" s="290"/>
      <c r="C145" s="291"/>
      <c r="D145" s="291"/>
      <c r="E145" s="292"/>
      <c r="F145" s="292"/>
      <c r="G145" s="292"/>
      <c r="H145" s="292"/>
      <c r="I145" s="292"/>
      <c r="J145" s="292"/>
      <c r="K145" s="292"/>
    </row>
    <row r="146" spans="1:11" s="276" customFormat="1" ht="12" x14ac:dyDescent="0.2">
      <c r="A146" s="290"/>
      <c r="C146" s="291"/>
      <c r="D146" s="291"/>
      <c r="E146" s="292"/>
      <c r="F146" s="292"/>
      <c r="G146" s="292"/>
      <c r="H146" s="292"/>
      <c r="I146" s="292"/>
      <c r="J146" s="292"/>
      <c r="K146" s="292"/>
    </row>
    <row r="147" spans="1:11" s="276" customFormat="1" ht="12" x14ac:dyDescent="0.2">
      <c r="A147" s="290"/>
      <c r="C147" s="291"/>
      <c r="D147" s="291"/>
      <c r="E147" s="292"/>
      <c r="F147" s="292"/>
      <c r="G147" s="292"/>
      <c r="H147" s="292"/>
      <c r="I147" s="292"/>
      <c r="J147" s="292"/>
      <c r="K147" s="292"/>
    </row>
    <row r="148" spans="1:11" s="276" customFormat="1" ht="12" x14ac:dyDescent="0.2">
      <c r="A148" s="290"/>
      <c r="C148" s="291"/>
      <c r="D148" s="291"/>
      <c r="E148" s="292"/>
      <c r="F148" s="292"/>
      <c r="G148" s="292"/>
      <c r="H148" s="292"/>
      <c r="I148" s="292"/>
      <c r="J148" s="292"/>
      <c r="K148" s="292"/>
    </row>
    <row r="149" spans="1:11" s="276" customFormat="1" ht="12" x14ac:dyDescent="0.2">
      <c r="A149" s="290"/>
      <c r="C149" s="291"/>
      <c r="D149" s="291"/>
      <c r="E149" s="292"/>
      <c r="F149" s="292"/>
      <c r="G149" s="292"/>
      <c r="H149" s="292"/>
      <c r="I149" s="292"/>
      <c r="J149" s="292"/>
      <c r="K149" s="292"/>
    </row>
    <row r="150" spans="1:11" s="276" customFormat="1" ht="12" x14ac:dyDescent="0.2">
      <c r="A150" s="290"/>
      <c r="C150" s="291"/>
      <c r="D150" s="291"/>
      <c r="E150" s="292"/>
      <c r="F150" s="292"/>
      <c r="G150" s="292"/>
      <c r="H150" s="292"/>
      <c r="I150" s="292"/>
      <c r="J150" s="292"/>
      <c r="K150" s="292"/>
    </row>
    <row r="151" spans="1:11" s="276" customFormat="1" ht="12" x14ac:dyDescent="0.2">
      <c r="A151" s="290"/>
      <c r="C151" s="291"/>
      <c r="D151" s="291"/>
      <c r="E151" s="292"/>
      <c r="F151" s="292"/>
      <c r="G151" s="292"/>
      <c r="H151" s="292"/>
      <c r="I151" s="292"/>
      <c r="J151" s="292"/>
      <c r="K151" s="292"/>
    </row>
    <row r="152" spans="1:11" s="276" customFormat="1" ht="12" x14ac:dyDescent="0.2">
      <c r="A152" s="290"/>
      <c r="C152" s="291"/>
      <c r="D152" s="291"/>
      <c r="E152" s="292"/>
      <c r="F152" s="292"/>
      <c r="G152" s="292"/>
      <c r="H152" s="292"/>
      <c r="I152" s="292"/>
      <c r="J152" s="292"/>
      <c r="K152" s="292"/>
    </row>
    <row r="153" spans="1:11" s="276" customFormat="1" ht="12" x14ac:dyDescent="0.2">
      <c r="A153" s="290"/>
      <c r="C153" s="291"/>
      <c r="D153" s="291"/>
      <c r="E153" s="292"/>
      <c r="F153" s="292"/>
      <c r="G153" s="292"/>
      <c r="H153" s="292"/>
      <c r="I153" s="292"/>
      <c r="J153" s="292"/>
      <c r="K153" s="292"/>
    </row>
    <row r="154" spans="1:11" s="276" customFormat="1" ht="12" x14ac:dyDescent="0.2">
      <c r="A154" s="290"/>
      <c r="C154" s="291"/>
      <c r="D154" s="291"/>
      <c r="E154" s="292"/>
      <c r="F154" s="292"/>
      <c r="G154" s="292"/>
      <c r="H154" s="292"/>
      <c r="I154" s="292"/>
      <c r="J154" s="292"/>
      <c r="K154" s="292"/>
    </row>
    <row r="155" spans="1:11" s="276" customFormat="1" ht="12" x14ac:dyDescent="0.2">
      <c r="A155" s="290"/>
      <c r="C155" s="291"/>
      <c r="D155" s="291"/>
      <c r="E155" s="292"/>
      <c r="F155" s="292"/>
      <c r="G155" s="292"/>
      <c r="H155" s="292"/>
      <c r="I155" s="292"/>
      <c r="J155" s="292"/>
      <c r="K155" s="292"/>
    </row>
    <row r="156" spans="1:11" s="276" customFormat="1" ht="12" x14ac:dyDescent="0.2">
      <c r="A156" s="290"/>
      <c r="C156" s="291"/>
      <c r="D156" s="291"/>
      <c r="E156" s="292"/>
      <c r="F156" s="292"/>
      <c r="G156" s="292"/>
      <c r="H156" s="292"/>
      <c r="I156" s="292"/>
      <c r="J156" s="292"/>
      <c r="K156" s="292"/>
    </row>
    <row r="157" spans="1:11" s="276" customFormat="1" ht="12" x14ac:dyDescent="0.2">
      <c r="A157" s="290"/>
      <c r="C157" s="291"/>
      <c r="D157" s="291"/>
      <c r="E157" s="292"/>
      <c r="F157" s="292"/>
      <c r="G157" s="292"/>
      <c r="H157" s="292"/>
      <c r="I157" s="292"/>
      <c r="J157" s="292"/>
      <c r="K157" s="292"/>
    </row>
    <row r="158" spans="1:11" s="276" customFormat="1" ht="12" x14ac:dyDescent="0.2">
      <c r="A158" s="290"/>
      <c r="C158" s="291"/>
      <c r="D158" s="291"/>
      <c r="E158" s="292"/>
      <c r="F158" s="292"/>
      <c r="G158" s="292"/>
      <c r="H158" s="292"/>
      <c r="I158" s="292"/>
      <c r="J158" s="292"/>
      <c r="K158" s="292"/>
    </row>
    <row r="159" spans="1:11" s="276" customFormat="1" ht="12" x14ac:dyDescent="0.2">
      <c r="A159" s="290"/>
      <c r="C159" s="291"/>
      <c r="D159" s="291"/>
      <c r="E159" s="292"/>
      <c r="F159" s="292"/>
      <c r="G159" s="292"/>
      <c r="H159" s="292"/>
      <c r="I159" s="292"/>
      <c r="J159" s="292"/>
      <c r="K159" s="292"/>
    </row>
    <row r="160" spans="1:11" s="276" customFormat="1" ht="12" x14ac:dyDescent="0.2">
      <c r="A160" s="290"/>
      <c r="C160" s="291"/>
      <c r="D160" s="291"/>
      <c r="E160" s="292"/>
      <c r="F160" s="292"/>
      <c r="G160" s="292"/>
      <c r="H160" s="292"/>
      <c r="I160" s="292"/>
      <c r="J160" s="292"/>
      <c r="K160" s="292"/>
    </row>
    <row r="161" spans="1:11" s="276" customFormat="1" ht="12" x14ac:dyDescent="0.2">
      <c r="A161" s="290"/>
      <c r="C161" s="291"/>
      <c r="D161" s="291"/>
      <c r="E161" s="292"/>
      <c r="F161" s="292"/>
      <c r="G161" s="292"/>
      <c r="H161" s="292"/>
      <c r="I161" s="292"/>
      <c r="J161" s="292"/>
      <c r="K161" s="292"/>
    </row>
    <row r="162" spans="1:11" s="276" customFormat="1" ht="12" x14ac:dyDescent="0.2">
      <c r="A162" s="290"/>
      <c r="C162" s="291"/>
      <c r="D162" s="291"/>
      <c r="E162" s="292"/>
      <c r="F162" s="292"/>
      <c r="G162" s="292"/>
      <c r="H162" s="292"/>
      <c r="I162" s="292"/>
      <c r="J162" s="292"/>
      <c r="K162" s="292"/>
    </row>
    <row r="163" spans="1:11" s="276" customFormat="1" ht="12" x14ac:dyDescent="0.2">
      <c r="A163" s="290"/>
      <c r="C163" s="291"/>
      <c r="D163" s="291"/>
      <c r="E163" s="293"/>
      <c r="F163" s="293"/>
      <c r="G163" s="293"/>
      <c r="H163" s="293"/>
      <c r="I163" s="293"/>
      <c r="J163" s="293"/>
      <c r="K163" s="293"/>
    </row>
    <row r="164" spans="1:11" s="276" customFormat="1" ht="12" x14ac:dyDescent="0.2">
      <c r="A164" s="290"/>
      <c r="C164" s="291"/>
      <c r="D164" s="291"/>
      <c r="E164" s="293"/>
      <c r="F164" s="293"/>
      <c r="G164" s="293"/>
      <c r="H164" s="293"/>
      <c r="I164" s="293"/>
      <c r="J164" s="293"/>
      <c r="K164" s="293"/>
    </row>
    <row r="165" spans="1:11" s="276" customFormat="1" ht="12" x14ac:dyDescent="0.2">
      <c r="A165" s="290"/>
      <c r="C165" s="291"/>
      <c r="D165" s="291"/>
      <c r="E165" s="293"/>
      <c r="F165" s="293"/>
      <c r="G165" s="293"/>
      <c r="H165" s="293"/>
      <c r="I165" s="293"/>
      <c r="J165" s="293"/>
      <c r="K165" s="293"/>
    </row>
    <row r="166" spans="1:11" s="276" customFormat="1" ht="12" x14ac:dyDescent="0.2">
      <c r="A166" s="290"/>
      <c r="C166" s="291"/>
      <c r="D166" s="291"/>
      <c r="E166" s="293"/>
      <c r="F166" s="293"/>
      <c r="G166" s="293"/>
      <c r="H166" s="293"/>
      <c r="I166" s="293"/>
      <c r="J166" s="293"/>
      <c r="K166" s="293"/>
    </row>
    <row r="167" spans="1:11" x14ac:dyDescent="0.2">
      <c r="A167" s="290"/>
      <c r="B167" s="276"/>
      <c r="C167" s="291"/>
      <c r="D167" s="291"/>
      <c r="E167" s="293"/>
      <c r="F167" s="293"/>
      <c r="G167" s="293"/>
      <c r="H167" s="293"/>
      <c r="I167" s="293"/>
      <c r="J167" s="293"/>
      <c r="K167" s="293"/>
    </row>
    <row r="168" spans="1:11" x14ac:dyDescent="0.2">
      <c r="A168" s="290"/>
      <c r="B168" s="276"/>
      <c r="C168" s="291"/>
      <c r="D168" s="291"/>
      <c r="E168" s="293"/>
      <c r="F168" s="293"/>
      <c r="G168" s="293"/>
      <c r="H168" s="293"/>
      <c r="I168" s="293"/>
      <c r="J168" s="293"/>
      <c r="K168" s="293"/>
    </row>
    <row r="169" spans="1:11" x14ac:dyDescent="0.2">
      <c r="A169" s="290"/>
      <c r="B169" s="276"/>
      <c r="C169" s="291"/>
      <c r="D169" s="291"/>
      <c r="E169" s="293"/>
      <c r="F169" s="293"/>
      <c r="G169" s="293"/>
      <c r="H169" s="293"/>
      <c r="I169" s="293"/>
      <c r="J169" s="293"/>
      <c r="K169" s="293"/>
    </row>
    <row r="170" spans="1:11" x14ac:dyDescent="0.2">
      <c r="A170" s="290"/>
      <c r="B170" s="276"/>
      <c r="C170" s="291"/>
      <c r="D170" s="291"/>
      <c r="E170" s="293"/>
      <c r="F170" s="293"/>
      <c r="G170" s="293"/>
      <c r="H170" s="293"/>
      <c r="I170" s="293"/>
      <c r="J170" s="293"/>
      <c r="K170" s="293"/>
    </row>
    <row r="171" spans="1:11" x14ac:dyDescent="0.2">
      <c r="A171" s="290"/>
      <c r="B171" s="276"/>
      <c r="C171" s="291"/>
      <c r="D171" s="291"/>
      <c r="E171" s="293"/>
      <c r="F171" s="293"/>
      <c r="G171" s="293"/>
      <c r="H171" s="293"/>
      <c r="I171" s="293"/>
      <c r="J171" s="293"/>
      <c r="K171" s="293"/>
    </row>
    <row r="172" spans="1:11" x14ac:dyDescent="0.2">
      <c r="A172" s="290"/>
      <c r="B172" s="276"/>
      <c r="C172" s="291"/>
      <c r="D172" s="291"/>
      <c r="E172" s="293"/>
      <c r="F172" s="293"/>
      <c r="G172" s="293"/>
      <c r="H172" s="293"/>
      <c r="I172" s="293"/>
      <c r="J172" s="293"/>
      <c r="K172" s="293"/>
    </row>
    <row r="173" spans="1:11" x14ac:dyDescent="0.2">
      <c r="A173" s="290"/>
      <c r="B173" s="276"/>
      <c r="C173" s="291"/>
      <c r="D173" s="291"/>
      <c r="E173" s="293"/>
      <c r="F173" s="293"/>
      <c r="G173" s="293"/>
      <c r="H173" s="293"/>
      <c r="I173" s="293"/>
      <c r="J173" s="293"/>
      <c r="K173" s="293"/>
    </row>
    <row r="174" spans="1:11" x14ac:dyDescent="0.2">
      <c r="A174" s="290"/>
      <c r="B174" s="276"/>
      <c r="C174" s="291"/>
      <c r="D174" s="291"/>
      <c r="E174" s="293"/>
      <c r="F174" s="293"/>
      <c r="G174" s="293"/>
      <c r="H174" s="293"/>
      <c r="I174" s="293"/>
      <c r="J174" s="293"/>
      <c r="K174" s="293"/>
    </row>
    <row r="175" spans="1:11" x14ac:dyDescent="0.2">
      <c r="A175" s="290"/>
      <c r="B175" s="276"/>
      <c r="C175" s="291"/>
      <c r="D175" s="291"/>
      <c r="E175" s="293"/>
      <c r="F175" s="293"/>
      <c r="G175" s="293"/>
      <c r="H175" s="293"/>
      <c r="I175" s="293"/>
      <c r="J175" s="293"/>
      <c r="K175" s="293"/>
    </row>
    <row r="176" spans="1:11" x14ac:dyDescent="0.2">
      <c r="A176" s="290"/>
      <c r="B176" s="276"/>
      <c r="C176" s="291"/>
      <c r="D176" s="291"/>
      <c r="E176" s="293"/>
      <c r="F176" s="293"/>
      <c r="G176" s="293"/>
      <c r="H176" s="293"/>
      <c r="I176" s="293"/>
      <c r="J176" s="293"/>
      <c r="K176" s="293"/>
    </row>
    <row r="177" spans="1:11" x14ac:dyDescent="0.2">
      <c r="A177" s="290"/>
      <c r="B177" s="276"/>
      <c r="C177" s="291"/>
      <c r="D177" s="291"/>
      <c r="E177" s="293"/>
      <c r="F177" s="293"/>
      <c r="G177" s="293"/>
      <c r="H177" s="293"/>
      <c r="I177" s="293"/>
      <c r="J177" s="293"/>
      <c r="K177" s="293"/>
    </row>
    <row r="178" spans="1:11" x14ac:dyDescent="0.2">
      <c r="A178" s="290"/>
      <c r="B178" s="276"/>
      <c r="C178" s="291"/>
      <c r="D178" s="291"/>
      <c r="E178" s="293"/>
      <c r="F178" s="293"/>
      <c r="G178" s="293"/>
      <c r="H178" s="293"/>
      <c r="I178" s="293"/>
      <c r="J178" s="293"/>
      <c r="K178" s="293"/>
    </row>
    <row r="179" spans="1:11" x14ac:dyDescent="0.2">
      <c r="A179" s="290"/>
      <c r="B179" s="276"/>
      <c r="C179" s="291"/>
      <c r="D179" s="291"/>
      <c r="E179" s="293"/>
      <c r="F179" s="293"/>
      <c r="G179" s="293"/>
      <c r="H179" s="293"/>
      <c r="I179" s="293"/>
      <c r="J179" s="293"/>
      <c r="K179" s="293"/>
    </row>
    <row r="180" spans="1:11" x14ac:dyDescent="0.2">
      <c r="A180" s="290"/>
      <c r="B180" s="276"/>
      <c r="C180" s="291"/>
      <c r="D180" s="291"/>
      <c r="E180" s="293"/>
      <c r="F180" s="293"/>
      <c r="G180" s="293"/>
      <c r="H180" s="293"/>
      <c r="I180" s="293"/>
      <c r="J180" s="293"/>
      <c r="K180" s="293"/>
    </row>
    <row r="181" spans="1:11" x14ac:dyDescent="0.2">
      <c r="A181" s="290"/>
      <c r="B181" s="276"/>
      <c r="C181" s="291"/>
      <c r="D181" s="291"/>
      <c r="E181" s="293"/>
      <c r="F181" s="293"/>
      <c r="G181" s="293"/>
      <c r="H181" s="293"/>
      <c r="I181" s="293"/>
      <c r="J181" s="293"/>
      <c r="K181" s="293"/>
    </row>
    <row r="182" spans="1:11" x14ac:dyDescent="0.2">
      <c r="A182" s="290"/>
      <c r="B182" s="276"/>
      <c r="C182" s="291"/>
      <c r="D182" s="291"/>
      <c r="E182" s="293"/>
      <c r="F182" s="293"/>
      <c r="G182" s="293"/>
      <c r="H182" s="293"/>
      <c r="I182" s="293"/>
      <c r="J182" s="293"/>
      <c r="K182" s="293"/>
    </row>
    <row r="183" spans="1:11" x14ac:dyDescent="0.2">
      <c r="A183" s="290"/>
      <c r="B183" s="276"/>
      <c r="C183" s="291"/>
      <c r="D183" s="291"/>
      <c r="E183" s="293"/>
      <c r="F183" s="293"/>
      <c r="G183" s="293"/>
      <c r="H183" s="293"/>
      <c r="I183" s="293"/>
      <c r="J183" s="293"/>
      <c r="K183" s="293"/>
    </row>
    <row r="184" spans="1:11" x14ac:dyDescent="0.2">
      <c r="A184" s="290"/>
      <c r="B184" s="276"/>
      <c r="C184" s="291"/>
      <c r="D184" s="291"/>
      <c r="E184" s="293"/>
      <c r="F184" s="293"/>
      <c r="G184" s="293"/>
      <c r="H184" s="293"/>
      <c r="I184" s="293"/>
      <c r="J184" s="293"/>
      <c r="K184" s="293"/>
    </row>
    <row r="185" spans="1:11" x14ac:dyDescent="0.2">
      <c r="A185" s="290"/>
      <c r="B185" s="276"/>
      <c r="C185" s="291"/>
      <c r="D185" s="291"/>
      <c r="E185" s="293"/>
      <c r="F185" s="293"/>
      <c r="G185" s="293"/>
      <c r="H185" s="293"/>
      <c r="I185" s="293"/>
      <c r="J185" s="293"/>
      <c r="K185" s="293"/>
    </row>
    <row r="186" spans="1:11" x14ac:dyDescent="0.2">
      <c r="A186" s="290"/>
      <c r="B186" s="276"/>
      <c r="C186" s="291"/>
      <c r="D186" s="291"/>
      <c r="E186" s="293"/>
      <c r="F186" s="293"/>
      <c r="G186" s="293"/>
      <c r="H186" s="293"/>
      <c r="I186" s="293"/>
      <c r="J186" s="293"/>
      <c r="K186" s="293"/>
    </row>
  </sheetData>
  <mergeCells count="22">
    <mergeCell ref="B6:B8"/>
    <mergeCell ref="K7:K8"/>
    <mergeCell ref="C7:C8"/>
    <mergeCell ref="D7:D8"/>
    <mergeCell ref="E7:E8"/>
    <mergeCell ref="F7:F8"/>
    <mergeCell ref="A4:K4"/>
    <mergeCell ref="A76:D76"/>
    <mergeCell ref="A79:D79"/>
    <mergeCell ref="A87:D87"/>
    <mergeCell ref="A88:D88"/>
    <mergeCell ref="A13:D13"/>
    <mergeCell ref="A16:D16"/>
    <mergeCell ref="A19:D19"/>
    <mergeCell ref="A33:D33"/>
    <mergeCell ref="A58:D58"/>
    <mergeCell ref="A61:D61"/>
    <mergeCell ref="A6:A8"/>
    <mergeCell ref="C6:F6"/>
    <mergeCell ref="G6:K6"/>
    <mergeCell ref="G7:H7"/>
    <mergeCell ref="I7:J7"/>
  </mergeCells>
  <printOptions horizontalCentered="1"/>
  <pageMargins left="0.51181102362204722" right="0.23622047244094491" top="0.74803149606299213" bottom="0.55118110236220474" header="0.51181102362204722" footer="0.11811023622047245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P95"/>
  <sheetViews>
    <sheetView showGridLines="0" defaultGridColor="0" topLeftCell="A70" colorId="8" zoomScaleNormal="100" zoomScaleSheetLayoutView="100" workbookViewId="0">
      <selection activeCell="M70" sqref="M1:M1048576"/>
    </sheetView>
  </sheetViews>
  <sheetFormatPr defaultRowHeight="11.25" x14ac:dyDescent="0.2"/>
  <cols>
    <col min="1" max="1" width="9.85546875" style="226" customWidth="1"/>
    <col min="2" max="2" width="23.5703125" style="227" customWidth="1"/>
    <col min="3" max="3" width="51.28515625" style="227" customWidth="1"/>
    <col min="4" max="4" width="7.5703125" style="226" customWidth="1"/>
    <col min="5" max="5" width="5.28515625" style="228" customWidth="1"/>
    <col min="6" max="7" width="12.140625" style="229" customWidth="1"/>
    <col min="8" max="8" width="8.5703125" style="230" customWidth="1"/>
    <col min="9" max="9" width="12.140625" style="229" customWidth="1"/>
    <col min="10" max="10" width="9.140625" style="229" customWidth="1"/>
    <col min="11" max="11" width="12.140625" style="229" customWidth="1"/>
    <col min="12" max="12" width="16.42578125" style="227" customWidth="1"/>
    <col min="13" max="14" width="9.140625" style="227"/>
    <col min="15" max="15" width="15" style="227" customWidth="1"/>
    <col min="16" max="16" width="15.28515625" style="227" customWidth="1"/>
    <col min="17" max="255" width="9.140625" style="227"/>
    <col min="256" max="256" width="9.85546875" style="227" customWidth="1"/>
    <col min="257" max="257" width="23.5703125" style="227" customWidth="1"/>
    <col min="258" max="258" width="57.85546875" style="227" customWidth="1"/>
    <col min="259" max="259" width="12.140625" style="227" customWidth="1"/>
    <col min="260" max="260" width="5.28515625" style="227" customWidth="1"/>
    <col min="261" max="266" width="12.140625" style="227" customWidth="1"/>
    <col min="267" max="511" width="9.140625" style="227"/>
    <col min="512" max="512" width="9.85546875" style="227" customWidth="1"/>
    <col min="513" max="513" width="23.5703125" style="227" customWidth="1"/>
    <col min="514" max="514" width="57.85546875" style="227" customWidth="1"/>
    <col min="515" max="515" width="12.140625" style="227" customWidth="1"/>
    <col min="516" max="516" width="5.28515625" style="227" customWidth="1"/>
    <col min="517" max="522" width="12.140625" style="227" customWidth="1"/>
    <col min="523" max="767" width="9.140625" style="227"/>
    <col min="768" max="768" width="9.85546875" style="227" customWidth="1"/>
    <col min="769" max="769" width="23.5703125" style="227" customWidth="1"/>
    <col min="770" max="770" width="57.85546875" style="227" customWidth="1"/>
    <col min="771" max="771" width="12.140625" style="227" customWidth="1"/>
    <col min="772" max="772" width="5.28515625" style="227" customWidth="1"/>
    <col min="773" max="778" width="12.140625" style="227" customWidth="1"/>
    <col min="779" max="1023" width="9.140625" style="227"/>
    <col min="1024" max="1024" width="9.85546875" style="227" customWidth="1"/>
    <col min="1025" max="1025" width="23.5703125" style="227" customWidth="1"/>
    <col min="1026" max="1026" width="57.85546875" style="227" customWidth="1"/>
    <col min="1027" max="1027" width="12.140625" style="227" customWidth="1"/>
    <col min="1028" max="1028" width="5.28515625" style="227" customWidth="1"/>
    <col min="1029" max="1034" width="12.140625" style="227" customWidth="1"/>
    <col min="1035" max="1279" width="9.140625" style="227"/>
    <col min="1280" max="1280" width="9.85546875" style="227" customWidth="1"/>
    <col min="1281" max="1281" width="23.5703125" style="227" customWidth="1"/>
    <col min="1282" max="1282" width="57.85546875" style="227" customWidth="1"/>
    <col min="1283" max="1283" width="12.140625" style="227" customWidth="1"/>
    <col min="1284" max="1284" width="5.28515625" style="227" customWidth="1"/>
    <col min="1285" max="1290" width="12.140625" style="227" customWidth="1"/>
    <col min="1291" max="1535" width="9.140625" style="227"/>
    <col min="1536" max="1536" width="9.85546875" style="227" customWidth="1"/>
    <col min="1537" max="1537" width="23.5703125" style="227" customWidth="1"/>
    <col min="1538" max="1538" width="57.85546875" style="227" customWidth="1"/>
    <col min="1539" max="1539" width="12.140625" style="227" customWidth="1"/>
    <col min="1540" max="1540" width="5.28515625" style="227" customWidth="1"/>
    <col min="1541" max="1546" width="12.140625" style="227" customWidth="1"/>
    <col min="1547" max="1791" width="9.140625" style="227"/>
    <col min="1792" max="1792" width="9.85546875" style="227" customWidth="1"/>
    <col min="1793" max="1793" width="23.5703125" style="227" customWidth="1"/>
    <col min="1794" max="1794" width="57.85546875" style="227" customWidth="1"/>
    <col min="1795" max="1795" width="12.140625" style="227" customWidth="1"/>
    <col min="1796" max="1796" width="5.28515625" style="227" customWidth="1"/>
    <col min="1797" max="1802" width="12.140625" style="227" customWidth="1"/>
    <col min="1803" max="2047" width="9.140625" style="227"/>
    <col min="2048" max="2048" width="9.85546875" style="227" customWidth="1"/>
    <col min="2049" max="2049" width="23.5703125" style="227" customWidth="1"/>
    <col min="2050" max="2050" width="57.85546875" style="227" customWidth="1"/>
    <col min="2051" max="2051" width="12.140625" style="227" customWidth="1"/>
    <col min="2052" max="2052" width="5.28515625" style="227" customWidth="1"/>
    <col min="2053" max="2058" width="12.140625" style="227" customWidth="1"/>
    <col min="2059" max="2303" width="9.140625" style="227"/>
    <col min="2304" max="2304" width="9.85546875" style="227" customWidth="1"/>
    <col min="2305" max="2305" width="23.5703125" style="227" customWidth="1"/>
    <col min="2306" max="2306" width="57.85546875" style="227" customWidth="1"/>
    <col min="2307" max="2307" width="12.140625" style="227" customWidth="1"/>
    <col min="2308" max="2308" width="5.28515625" style="227" customWidth="1"/>
    <col min="2309" max="2314" width="12.140625" style="227" customWidth="1"/>
    <col min="2315" max="2559" width="9.140625" style="227"/>
    <col min="2560" max="2560" width="9.85546875" style="227" customWidth="1"/>
    <col min="2561" max="2561" width="23.5703125" style="227" customWidth="1"/>
    <col min="2562" max="2562" width="57.85546875" style="227" customWidth="1"/>
    <col min="2563" max="2563" width="12.140625" style="227" customWidth="1"/>
    <col min="2564" max="2564" width="5.28515625" style="227" customWidth="1"/>
    <col min="2565" max="2570" width="12.140625" style="227" customWidth="1"/>
    <col min="2571" max="2815" width="9.140625" style="227"/>
    <col min="2816" max="2816" width="9.85546875" style="227" customWidth="1"/>
    <col min="2817" max="2817" width="23.5703125" style="227" customWidth="1"/>
    <col min="2818" max="2818" width="57.85546875" style="227" customWidth="1"/>
    <col min="2819" max="2819" width="12.140625" style="227" customWidth="1"/>
    <col min="2820" max="2820" width="5.28515625" style="227" customWidth="1"/>
    <col min="2821" max="2826" width="12.140625" style="227" customWidth="1"/>
    <col min="2827" max="3071" width="9.140625" style="227"/>
    <col min="3072" max="3072" width="9.85546875" style="227" customWidth="1"/>
    <col min="3073" max="3073" width="23.5703125" style="227" customWidth="1"/>
    <col min="3074" max="3074" width="57.85546875" style="227" customWidth="1"/>
    <col min="3075" max="3075" width="12.140625" style="227" customWidth="1"/>
    <col min="3076" max="3076" width="5.28515625" style="227" customWidth="1"/>
    <col min="3077" max="3082" width="12.140625" style="227" customWidth="1"/>
    <col min="3083" max="3327" width="9.140625" style="227"/>
    <col min="3328" max="3328" width="9.85546875" style="227" customWidth="1"/>
    <col min="3329" max="3329" width="23.5703125" style="227" customWidth="1"/>
    <col min="3330" max="3330" width="57.85546875" style="227" customWidth="1"/>
    <col min="3331" max="3331" width="12.140625" style="227" customWidth="1"/>
    <col min="3332" max="3332" width="5.28515625" style="227" customWidth="1"/>
    <col min="3333" max="3338" width="12.140625" style="227" customWidth="1"/>
    <col min="3339" max="3583" width="9.140625" style="227"/>
    <col min="3584" max="3584" width="9.85546875" style="227" customWidth="1"/>
    <col min="3585" max="3585" width="23.5703125" style="227" customWidth="1"/>
    <col min="3586" max="3586" width="57.85546875" style="227" customWidth="1"/>
    <col min="3587" max="3587" width="12.140625" style="227" customWidth="1"/>
    <col min="3588" max="3588" width="5.28515625" style="227" customWidth="1"/>
    <col min="3589" max="3594" width="12.140625" style="227" customWidth="1"/>
    <col min="3595" max="3839" width="9.140625" style="227"/>
    <col min="3840" max="3840" width="9.85546875" style="227" customWidth="1"/>
    <col min="3841" max="3841" width="23.5703125" style="227" customWidth="1"/>
    <col min="3842" max="3842" width="57.85546875" style="227" customWidth="1"/>
    <col min="3843" max="3843" width="12.140625" style="227" customWidth="1"/>
    <col min="3844" max="3844" width="5.28515625" style="227" customWidth="1"/>
    <col min="3845" max="3850" width="12.140625" style="227" customWidth="1"/>
    <col min="3851" max="4095" width="9.140625" style="227"/>
    <col min="4096" max="4096" width="9.85546875" style="227" customWidth="1"/>
    <col min="4097" max="4097" width="23.5703125" style="227" customWidth="1"/>
    <col min="4098" max="4098" width="57.85546875" style="227" customWidth="1"/>
    <col min="4099" max="4099" width="12.140625" style="227" customWidth="1"/>
    <col min="4100" max="4100" width="5.28515625" style="227" customWidth="1"/>
    <col min="4101" max="4106" width="12.140625" style="227" customWidth="1"/>
    <col min="4107" max="4351" width="9.140625" style="227"/>
    <col min="4352" max="4352" width="9.85546875" style="227" customWidth="1"/>
    <col min="4353" max="4353" width="23.5703125" style="227" customWidth="1"/>
    <col min="4354" max="4354" width="57.85546875" style="227" customWidth="1"/>
    <col min="4355" max="4355" width="12.140625" style="227" customWidth="1"/>
    <col min="4356" max="4356" width="5.28515625" style="227" customWidth="1"/>
    <col min="4357" max="4362" width="12.140625" style="227" customWidth="1"/>
    <col min="4363" max="4607" width="9.140625" style="227"/>
    <col min="4608" max="4608" width="9.85546875" style="227" customWidth="1"/>
    <col min="4609" max="4609" width="23.5703125" style="227" customWidth="1"/>
    <col min="4610" max="4610" width="57.85546875" style="227" customWidth="1"/>
    <col min="4611" max="4611" width="12.140625" style="227" customWidth="1"/>
    <col min="4612" max="4612" width="5.28515625" style="227" customWidth="1"/>
    <col min="4613" max="4618" width="12.140625" style="227" customWidth="1"/>
    <col min="4619" max="4863" width="9.140625" style="227"/>
    <col min="4864" max="4864" width="9.85546875" style="227" customWidth="1"/>
    <col min="4865" max="4865" width="23.5703125" style="227" customWidth="1"/>
    <col min="4866" max="4866" width="57.85546875" style="227" customWidth="1"/>
    <col min="4867" max="4867" width="12.140625" style="227" customWidth="1"/>
    <col min="4868" max="4868" width="5.28515625" style="227" customWidth="1"/>
    <col min="4869" max="4874" width="12.140625" style="227" customWidth="1"/>
    <col min="4875" max="5119" width="9.140625" style="227"/>
    <col min="5120" max="5120" width="9.85546875" style="227" customWidth="1"/>
    <col min="5121" max="5121" width="23.5703125" style="227" customWidth="1"/>
    <col min="5122" max="5122" width="57.85546875" style="227" customWidth="1"/>
    <col min="5123" max="5123" width="12.140625" style="227" customWidth="1"/>
    <col min="5124" max="5124" width="5.28515625" style="227" customWidth="1"/>
    <col min="5125" max="5130" width="12.140625" style="227" customWidth="1"/>
    <col min="5131" max="5375" width="9.140625" style="227"/>
    <col min="5376" max="5376" width="9.85546875" style="227" customWidth="1"/>
    <col min="5377" max="5377" width="23.5703125" style="227" customWidth="1"/>
    <col min="5378" max="5378" width="57.85546875" style="227" customWidth="1"/>
    <col min="5379" max="5379" width="12.140625" style="227" customWidth="1"/>
    <col min="5380" max="5380" width="5.28515625" style="227" customWidth="1"/>
    <col min="5381" max="5386" width="12.140625" style="227" customWidth="1"/>
    <col min="5387" max="5631" width="9.140625" style="227"/>
    <col min="5632" max="5632" width="9.85546875" style="227" customWidth="1"/>
    <col min="5633" max="5633" width="23.5703125" style="227" customWidth="1"/>
    <col min="5634" max="5634" width="57.85546875" style="227" customWidth="1"/>
    <col min="5635" max="5635" width="12.140625" style="227" customWidth="1"/>
    <col min="5636" max="5636" width="5.28515625" style="227" customWidth="1"/>
    <col min="5637" max="5642" width="12.140625" style="227" customWidth="1"/>
    <col min="5643" max="5887" width="9.140625" style="227"/>
    <col min="5888" max="5888" width="9.85546875" style="227" customWidth="1"/>
    <col min="5889" max="5889" width="23.5703125" style="227" customWidth="1"/>
    <col min="5890" max="5890" width="57.85546875" style="227" customWidth="1"/>
    <col min="5891" max="5891" width="12.140625" style="227" customWidth="1"/>
    <col min="5892" max="5892" width="5.28515625" style="227" customWidth="1"/>
    <col min="5893" max="5898" width="12.140625" style="227" customWidth="1"/>
    <col min="5899" max="6143" width="9.140625" style="227"/>
    <col min="6144" max="6144" width="9.85546875" style="227" customWidth="1"/>
    <col min="6145" max="6145" width="23.5703125" style="227" customWidth="1"/>
    <col min="6146" max="6146" width="57.85546875" style="227" customWidth="1"/>
    <col min="6147" max="6147" width="12.140625" style="227" customWidth="1"/>
    <col min="6148" max="6148" width="5.28515625" style="227" customWidth="1"/>
    <col min="6149" max="6154" width="12.140625" style="227" customWidth="1"/>
    <col min="6155" max="6399" width="9.140625" style="227"/>
    <col min="6400" max="6400" width="9.85546875" style="227" customWidth="1"/>
    <col min="6401" max="6401" width="23.5703125" style="227" customWidth="1"/>
    <col min="6402" max="6402" width="57.85546875" style="227" customWidth="1"/>
    <col min="6403" max="6403" width="12.140625" style="227" customWidth="1"/>
    <col min="6404" max="6404" width="5.28515625" style="227" customWidth="1"/>
    <col min="6405" max="6410" width="12.140625" style="227" customWidth="1"/>
    <col min="6411" max="6655" width="9.140625" style="227"/>
    <col min="6656" max="6656" width="9.85546875" style="227" customWidth="1"/>
    <col min="6657" max="6657" width="23.5703125" style="227" customWidth="1"/>
    <col min="6658" max="6658" width="57.85546875" style="227" customWidth="1"/>
    <col min="6659" max="6659" width="12.140625" style="227" customWidth="1"/>
    <col min="6660" max="6660" width="5.28515625" style="227" customWidth="1"/>
    <col min="6661" max="6666" width="12.140625" style="227" customWidth="1"/>
    <col min="6667" max="6911" width="9.140625" style="227"/>
    <col min="6912" max="6912" width="9.85546875" style="227" customWidth="1"/>
    <col min="6913" max="6913" width="23.5703125" style="227" customWidth="1"/>
    <col min="6914" max="6914" width="57.85546875" style="227" customWidth="1"/>
    <col min="6915" max="6915" width="12.140625" style="227" customWidth="1"/>
    <col min="6916" max="6916" width="5.28515625" style="227" customWidth="1"/>
    <col min="6917" max="6922" width="12.140625" style="227" customWidth="1"/>
    <col min="6923" max="7167" width="9.140625" style="227"/>
    <col min="7168" max="7168" width="9.85546875" style="227" customWidth="1"/>
    <col min="7169" max="7169" width="23.5703125" style="227" customWidth="1"/>
    <col min="7170" max="7170" width="57.85546875" style="227" customWidth="1"/>
    <col min="7171" max="7171" width="12.140625" style="227" customWidth="1"/>
    <col min="7172" max="7172" width="5.28515625" style="227" customWidth="1"/>
    <col min="7173" max="7178" width="12.140625" style="227" customWidth="1"/>
    <col min="7179" max="7423" width="9.140625" style="227"/>
    <col min="7424" max="7424" width="9.85546875" style="227" customWidth="1"/>
    <col min="7425" max="7425" width="23.5703125" style="227" customWidth="1"/>
    <col min="7426" max="7426" width="57.85546875" style="227" customWidth="1"/>
    <col min="7427" max="7427" width="12.140625" style="227" customWidth="1"/>
    <col min="7428" max="7428" width="5.28515625" style="227" customWidth="1"/>
    <col min="7429" max="7434" width="12.140625" style="227" customWidth="1"/>
    <col min="7435" max="7679" width="9.140625" style="227"/>
    <col min="7680" max="7680" width="9.85546875" style="227" customWidth="1"/>
    <col min="7681" max="7681" width="23.5703125" style="227" customWidth="1"/>
    <col min="7682" max="7682" width="57.85546875" style="227" customWidth="1"/>
    <col min="7683" max="7683" width="12.140625" style="227" customWidth="1"/>
    <col min="7684" max="7684" width="5.28515625" style="227" customWidth="1"/>
    <col min="7685" max="7690" width="12.140625" style="227" customWidth="1"/>
    <col min="7691" max="7935" width="9.140625" style="227"/>
    <col min="7936" max="7936" width="9.85546875" style="227" customWidth="1"/>
    <col min="7937" max="7937" width="23.5703125" style="227" customWidth="1"/>
    <col min="7938" max="7938" width="57.85546875" style="227" customWidth="1"/>
    <col min="7939" max="7939" width="12.140625" style="227" customWidth="1"/>
    <col min="7940" max="7940" width="5.28515625" style="227" customWidth="1"/>
    <col min="7941" max="7946" width="12.140625" style="227" customWidth="1"/>
    <col min="7947" max="8191" width="9.140625" style="227"/>
    <col min="8192" max="8192" width="9.85546875" style="227" customWidth="1"/>
    <col min="8193" max="8193" width="23.5703125" style="227" customWidth="1"/>
    <col min="8194" max="8194" width="57.85546875" style="227" customWidth="1"/>
    <col min="8195" max="8195" width="12.140625" style="227" customWidth="1"/>
    <col min="8196" max="8196" width="5.28515625" style="227" customWidth="1"/>
    <col min="8197" max="8202" width="12.140625" style="227" customWidth="1"/>
    <col min="8203" max="8447" width="9.140625" style="227"/>
    <col min="8448" max="8448" width="9.85546875" style="227" customWidth="1"/>
    <col min="8449" max="8449" width="23.5703125" style="227" customWidth="1"/>
    <col min="8450" max="8450" width="57.85546875" style="227" customWidth="1"/>
    <col min="8451" max="8451" width="12.140625" style="227" customWidth="1"/>
    <col min="8452" max="8452" width="5.28515625" style="227" customWidth="1"/>
    <col min="8453" max="8458" width="12.140625" style="227" customWidth="1"/>
    <col min="8459" max="8703" width="9.140625" style="227"/>
    <col min="8704" max="8704" width="9.85546875" style="227" customWidth="1"/>
    <col min="8705" max="8705" width="23.5703125" style="227" customWidth="1"/>
    <col min="8706" max="8706" width="57.85546875" style="227" customWidth="1"/>
    <col min="8707" max="8707" width="12.140625" style="227" customWidth="1"/>
    <col min="8708" max="8708" width="5.28515625" style="227" customWidth="1"/>
    <col min="8709" max="8714" width="12.140625" style="227" customWidth="1"/>
    <col min="8715" max="8959" width="9.140625" style="227"/>
    <col min="8960" max="8960" width="9.85546875" style="227" customWidth="1"/>
    <col min="8961" max="8961" width="23.5703125" style="227" customWidth="1"/>
    <col min="8962" max="8962" width="57.85546875" style="227" customWidth="1"/>
    <col min="8963" max="8963" width="12.140625" style="227" customWidth="1"/>
    <col min="8964" max="8964" width="5.28515625" style="227" customWidth="1"/>
    <col min="8965" max="8970" width="12.140625" style="227" customWidth="1"/>
    <col min="8971" max="9215" width="9.140625" style="227"/>
    <col min="9216" max="9216" width="9.85546875" style="227" customWidth="1"/>
    <col min="9217" max="9217" width="23.5703125" style="227" customWidth="1"/>
    <col min="9218" max="9218" width="57.85546875" style="227" customWidth="1"/>
    <col min="9219" max="9219" width="12.140625" style="227" customWidth="1"/>
    <col min="9220" max="9220" width="5.28515625" style="227" customWidth="1"/>
    <col min="9221" max="9226" width="12.140625" style="227" customWidth="1"/>
    <col min="9227" max="9471" width="9.140625" style="227"/>
    <col min="9472" max="9472" width="9.85546875" style="227" customWidth="1"/>
    <col min="9473" max="9473" width="23.5703125" style="227" customWidth="1"/>
    <col min="9474" max="9474" width="57.85546875" style="227" customWidth="1"/>
    <col min="9475" max="9475" width="12.140625" style="227" customWidth="1"/>
    <col min="9476" max="9476" width="5.28515625" style="227" customWidth="1"/>
    <col min="9477" max="9482" width="12.140625" style="227" customWidth="1"/>
    <col min="9483" max="9727" width="9.140625" style="227"/>
    <col min="9728" max="9728" width="9.85546875" style="227" customWidth="1"/>
    <col min="9729" max="9729" width="23.5703125" style="227" customWidth="1"/>
    <col min="9730" max="9730" width="57.85546875" style="227" customWidth="1"/>
    <col min="9731" max="9731" width="12.140625" style="227" customWidth="1"/>
    <col min="9732" max="9732" width="5.28515625" style="227" customWidth="1"/>
    <col min="9733" max="9738" width="12.140625" style="227" customWidth="1"/>
    <col min="9739" max="9983" width="9.140625" style="227"/>
    <col min="9984" max="9984" width="9.85546875" style="227" customWidth="1"/>
    <col min="9985" max="9985" width="23.5703125" style="227" customWidth="1"/>
    <col min="9986" max="9986" width="57.85546875" style="227" customWidth="1"/>
    <col min="9987" max="9987" width="12.140625" style="227" customWidth="1"/>
    <col min="9988" max="9988" width="5.28515625" style="227" customWidth="1"/>
    <col min="9989" max="9994" width="12.140625" style="227" customWidth="1"/>
    <col min="9995" max="10239" width="9.140625" style="227"/>
    <col min="10240" max="10240" width="9.85546875" style="227" customWidth="1"/>
    <col min="10241" max="10241" width="23.5703125" style="227" customWidth="1"/>
    <col min="10242" max="10242" width="57.85546875" style="227" customWidth="1"/>
    <col min="10243" max="10243" width="12.140625" style="227" customWidth="1"/>
    <col min="10244" max="10244" width="5.28515625" style="227" customWidth="1"/>
    <col min="10245" max="10250" width="12.140625" style="227" customWidth="1"/>
    <col min="10251" max="10495" width="9.140625" style="227"/>
    <col min="10496" max="10496" width="9.85546875" style="227" customWidth="1"/>
    <col min="10497" max="10497" width="23.5703125" style="227" customWidth="1"/>
    <col min="10498" max="10498" width="57.85546875" style="227" customWidth="1"/>
    <col min="10499" max="10499" width="12.140625" style="227" customWidth="1"/>
    <col min="10500" max="10500" width="5.28515625" style="227" customWidth="1"/>
    <col min="10501" max="10506" width="12.140625" style="227" customWidth="1"/>
    <col min="10507" max="10751" width="9.140625" style="227"/>
    <col min="10752" max="10752" width="9.85546875" style="227" customWidth="1"/>
    <col min="10753" max="10753" width="23.5703125" style="227" customWidth="1"/>
    <col min="10754" max="10754" width="57.85546875" style="227" customWidth="1"/>
    <col min="10755" max="10755" width="12.140625" style="227" customWidth="1"/>
    <col min="10756" max="10756" width="5.28515625" style="227" customWidth="1"/>
    <col min="10757" max="10762" width="12.140625" style="227" customWidth="1"/>
    <col min="10763" max="11007" width="9.140625" style="227"/>
    <col min="11008" max="11008" width="9.85546875" style="227" customWidth="1"/>
    <col min="11009" max="11009" width="23.5703125" style="227" customWidth="1"/>
    <col min="11010" max="11010" width="57.85546875" style="227" customWidth="1"/>
    <col min="11011" max="11011" width="12.140625" style="227" customWidth="1"/>
    <col min="11012" max="11012" width="5.28515625" style="227" customWidth="1"/>
    <col min="11013" max="11018" width="12.140625" style="227" customWidth="1"/>
    <col min="11019" max="11263" width="9.140625" style="227"/>
    <col min="11264" max="11264" width="9.85546875" style="227" customWidth="1"/>
    <col min="11265" max="11265" width="23.5703125" style="227" customWidth="1"/>
    <col min="11266" max="11266" width="57.85546875" style="227" customWidth="1"/>
    <col min="11267" max="11267" width="12.140625" style="227" customWidth="1"/>
    <col min="11268" max="11268" width="5.28515625" style="227" customWidth="1"/>
    <col min="11269" max="11274" width="12.140625" style="227" customWidth="1"/>
    <col min="11275" max="11519" width="9.140625" style="227"/>
    <col min="11520" max="11520" width="9.85546875" style="227" customWidth="1"/>
    <col min="11521" max="11521" width="23.5703125" style="227" customWidth="1"/>
    <col min="11522" max="11522" width="57.85546875" style="227" customWidth="1"/>
    <col min="11523" max="11523" width="12.140625" style="227" customWidth="1"/>
    <col min="11524" max="11524" width="5.28515625" style="227" customWidth="1"/>
    <col min="11525" max="11530" width="12.140625" style="227" customWidth="1"/>
    <col min="11531" max="11775" width="9.140625" style="227"/>
    <col min="11776" max="11776" width="9.85546875" style="227" customWidth="1"/>
    <col min="11777" max="11777" width="23.5703125" style="227" customWidth="1"/>
    <col min="11778" max="11778" width="57.85546875" style="227" customWidth="1"/>
    <col min="11779" max="11779" width="12.140625" style="227" customWidth="1"/>
    <col min="11780" max="11780" width="5.28515625" style="227" customWidth="1"/>
    <col min="11781" max="11786" width="12.140625" style="227" customWidth="1"/>
    <col min="11787" max="12031" width="9.140625" style="227"/>
    <col min="12032" max="12032" width="9.85546875" style="227" customWidth="1"/>
    <col min="12033" max="12033" width="23.5703125" style="227" customWidth="1"/>
    <col min="12034" max="12034" width="57.85546875" style="227" customWidth="1"/>
    <col min="12035" max="12035" width="12.140625" style="227" customWidth="1"/>
    <col min="12036" max="12036" width="5.28515625" style="227" customWidth="1"/>
    <col min="12037" max="12042" width="12.140625" style="227" customWidth="1"/>
    <col min="12043" max="12287" width="9.140625" style="227"/>
    <col min="12288" max="12288" width="9.85546875" style="227" customWidth="1"/>
    <col min="12289" max="12289" width="23.5703125" style="227" customWidth="1"/>
    <col min="12290" max="12290" width="57.85546875" style="227" customWidth="1"/>
    <col min="12291" max="12291" width="12.140625" style="227" customWidth="1"/>
    <col min="12292" max="12292" width="5.28515625" style="227" customWidth="1"/>
    <col min="12293" max="12298" width="12.140625" style="227" customWidth="1"/>
    <col min="12299" max="12543" width="9.140625" style="227"/>
    <col min="12544" max="12544" width="9.85546875" style="227" customWidth="1"/>
    <col min="12545" max="12545" width="23.5703125" style="227" customWidth="1"/>
    <col min="12546" max="12546" width="57.85546875" style="227" customWidth="1"/>
    <col min="12547" max="12547" width="12.140625" style="227" customWidth="1"/>
    <col min="12548" max="12548" width="5.28515625" style="227" customWidth="1"/>
    <col min="12549" max="12554" width="12.140625" style="227" customWidth="1"/>
    <col min="12555" max="12799" width="9.140625" style="227"/>
    <col min="12800" max="12800" width="9.85546875" style="227" customWidth="1"/>
    <col min="12801" max="12801" width="23.5703125" style="227" customWidth="1"/>
    <col min="12802" max="12802" width="57.85546875" style="227" customWidth="1"/>
    <col min="12803" max="12803" width="12.140625" style="227" customWidth="1"/>
    <col min="12804" max="12804" width="5.28515625" style="227" customWidth="1"/>
    <col min="12805" max="12810" width="12.140625" style="227" customWidth="1"/>
    <col min="12811" max="13055" width="9.140625" style="227"/>
    <col min="13056" max="13056" width="9.85546875" style="227" customWidth="1"/>
    <col min="13057" max="13057" width="23.5703125" style="227" customWidth="1"/>
    <col min="13058" max="13058" width="57.85546875" style="227" customWidth="1"/>
    <col min="13059" max="13059" width="12.140625" style="227" customWidth="1"/>
    <col min="13060" max="13060" width="5.28515625" style="227" customWidth="1"/>
    <col min="13061" max="13066" width="12.140625" style="227" customWidth="1"/>
    <col min="13067" max="13311" width="9.140625" style="227"/>
    <col min="13312" max="13312" width="9.85546875" style="227" customWidth="1"/>
    <col min="13313" max="13313" width="23.5703125" style="227" customWidth="1"/>
    <col min="13314" max="13314" width="57.85546875" style="227" customWidth="1"/>
    <col min="13315" max="13315" width="12.140625" style="227" customWidth="1"/>
    <col min="13316" max="13316" width="5.28515625" style="227" customWidth="1"/>
    <col min="13317" max="13322" width="12.140625" style="227" customWidth="1"/>
    <col min="13323" max="13567" width="9.140625" style="227"/>
    <col min="13568" max="13568" width="9.85546875" style="227" customWidth="1"/>
    <col min="13569" max="13569" width="23.5703125" style="227" customWidth="1"/>
    <col min="13570" max="13570" width="57.85546875" style="227" customWidth="1"/>
    <col min="13571" max="13571" width="12.140625" style="227" customWidth="1"/>
    <col min="13572" max="13572" width="5.28515625" style="227" customWidth="1"/>
    <col min="13573" max="13578" width="12.140625" style="227" customWidth="1"/>
    <col min="13579" max="13823" width="9.140625" style="227"/>
    <col min="13824" max="13824" width="9.85546875" style="227" customWidth="1"/>
    <col min="13825" max="13825" width="23.5703125" style="227" customWidth="1"/>
    <col min="13826" max="13826" width="57.85546875" style="227" customWidth="1"/>
    <col min="13827" max="13827" width="12.140625" style="227" customWidth="1"/>
    <col min="13828" max="13828" width="5.28515625" style="227" customWidth="1"/>
    <col min="13829" max="13834" width="12.140625" style="227" customWidth="1"/>
    <col min="13835" max="14079" width="9.140625" style="227"/>
    <col min="14080" max="14080" width="9.85546875" style="227" customWidth="1"/>
    <col min="14081" max="14081" width="23.5703125" style="227" customWidth="1"/>
    <col min="14082" max="14082" width="57.85546875" style="227" customWidth="1"/>
    <col min="14083" max="14083" width="12.140625" style="227" customWidth="1"/>
    <col min="14084" max="14084" width="5.28515625" style="227" customWidth="1"/>
    <col min="14085" max="14090" width="12.140625" style="227" customWidth="1"/>
    <col min="14091" max="14335" width="9.140625" style="227"/>
    <col min="14336" max="14336" width="9.85546875" style="227" customWidth="1"/>
    <col min="14337" max="14337" width="23.5703125" style="227" customWidth="1"/>
    <col min="14338" max="14338" width="57.85546875" style="227" customWidth="1"/>
    <col min="14339" max="14339" width="12.140625" style="227" customWidth="1"/>
    <col min="14340" max="14340" width="5.28515625" style="227" customWidth="1"/>
    <col min="14341" max="14346" width="12.140625" style="227" customWidth="1"/>
    <col min="14347" max="14591" width="9.140625" style="227"/>
    <col min="14592" max="14592" width="9.85546875" style="227" customWidth="1"/>
    <col min="14593" max="14593" width="23.5703125" style="227" customWidth="1"/>
    <col min="14594" max="14594" width="57.85546875" style="227" customWidth="1"/>
    <col min="14595" max="14595" width="12.140625" style="227" customWidth="1"/>
    <col min="14596" max="14596" width="5.28515625" style="227" customWidth="1"/>
    <col min="14597" max="14602" width="12.140625" style="227" customWidth="1"/>
    <col min="14603" max="14847" width="9.140625" style="227"/>
    <col min="14848" max="14848" width="9.85546875" style="227" customWidth="1"/>
    <col min="14849" max="14849" width="23.5703125" style="227" customWidth="1"/>
    <col min="14850" max="14850" width="57.85546875" style="227" customWidth="1"/>
    <col min="14851" max="14851" width="12.140625" style="227" customWidth="1"/>
    <col min="14852" max="14852" width="5.28515625" style="227" customWidth="1"/>
    <col min="14853" max="14858" width="12.140625" style="227" customWidth="1"/>
    <col min="14859" max="15103" width="9.140625" style="227"/>
    <col min="15104" max="15104" width="9.85546875" style="227" customWidth="1"/>
    <col min="15105" max="15105" width="23.5703125" style="227" customWidth="1"/>
    <col min="15106" max="15106" width="57.85546875" style="227" customWidth="1"/>
    <col min="15107" max="15107" width="12.140625" style="227" customWidth="1"/>
    <col min="15108" max="15108" width="5.28515625" style="227" customWidth="1"/>
    <col min="15109" max="15114" width="12.140625" style="227" customWidth="1"/>
    <col min="15115" max="15359" width="9.140625" style="227"/>
    <col min="15360" max="15360" width="9.85546875" style="227" customWidth="1"/>
    <col min="15361" max="15361" width="23.5703125" style="227" customWidth="1"/>
    <col min="15362" max="15362" width="57.85546875" style="227" customWidth="1"/>
    <col min="15363" max="15363" width="12.140625" style="227" customWidth="1"/>
    <col min="15364" max="15364" width="5.28515625" style="227" customWidth="1"/>
    <col min="15365" max="15370" width="12.140625" style="227" customWidth="1"/>
    <col min="15371" max="15615" width="9.140625" style="227"/>
    <col min="15616" max="15616" width="9.85546875" style="227" customWidth="1"/>
    <col min="15617" max="15617" width="23.5703125" style="227" customWidth="1"/>
    <col min="15618" max="15618" width="57.85546875" style="227" customWidth="1"/>
    <col min="15619" max="15619" width="12.140625" style="227" customWidth="1"/>
    <col min="15620" max="15620" width="5.28515625" style="227" customWidth="1"/>
    <col min="15621" max="15626" width="12.140625" style="227" customWidth="1"/>
    <col min="15627" max="15871" width="9.140625" style="227"/>
    <col min="15872" max="15872" width="9.85546875" style="227" customWidth="1"/>
    <col min="15873" max="15873" width="23.5703125" style="227" customWidth="1"/>
    <col min="15874" max="15874" width="57.85546875" style="227" customWidth="1"/>
    <col min="15875" max="15875" width="12.140625" style="227" customWidth="1"/>
    <col min="15876" max="15876" width="5.28515625" style="227" customWidth="1"/>
    <col min="15877" max="15882" width="12.140625" style="227" customWidth="1"/>
    <col min="15883" max="16127" width="9.140625" style="227"/>
    <col min="16128" max="16128" width="9.85546875" style="227" customWidth="1"/>
    <col min="16129" max="16129" width="23.5703125" style="227" customWidth="1"/>
    <col min="16130" max="16130" width="57.85546875" style="227" customWidth="1"/>
    <col min="16131" max="16131" width="12.140625" style="227" customWidth="1"/>
    <col min="16132" max="16132" width="5.28515625" style="227" customWidth="1"/>
    <col min="16133" max="16138" width="12.140625" style="227" customWidth="1"/>
    <col min="16139" max="16384" width="9.140625" style="227"/>
  </cols>
  <sheetData>
    <row r="1" spans="1:12" s="108" customFormat="1" ht="15" x14ac:dyDescent="0.2">
      <c r="A1" s="368" t="s">
        <v>104</v>
      </c>
      <c r="B1" s="368"/>
      <c r="C1" s="368"/>
      <c r="F1" s="109"/>
      <c r="G1" s="5"/>
      <c r="H1" s="110"/>
      <c r="I1" s="110"/>
      <c r="J1" s="111"/>
      <c r="K1" s="110" t="s">
        <v>105</v>
      </c>
    </row>
    <row r="2" spans="1:12" s="108" customFormat="1" ht="15" x14ac:dyDescent="0.2">
      <c r="A2" s="112" t="s">
        <v>106</v>
      </c>
      <c r="F2" s="113"/>
      <c r="G2" s="8"/>
      <c r="H2" s="111"/>
      <c r="I2" s="111"/>
      <c r="J2" s="112"/>
      <c r="K2" s="114" t="s">
        <v>76</v>
      </c>
    </row>
    <row r="3" spans="1:12" s="108" customFormat="1" ht="15" x14ac:dyDescent="0.2">
      <c r="A3" s="115"/>
      <c r="F3" s="113"/>
      <c r="G3" s="8"/>
      <c r="H3" s="111"/>
      <c r="I3" s="111"/>
      <c r="J3" s="111"/>
      <c r="K3" s="111"/>
    </row>
    <row r="4" spans="1:12" s="116" customFormat="1" ht="15" x14ac:dyDescent="0.2">
      <c r="A4" s="369" t="s">
        <v>105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</row>
    <row r="5" spans="1:12" s="118" customFormat="1" ht="6.95" customHeight="1" x14ac:dyDescent="0.2">
      <c r="A5" s="117"/>
      <c r="B5" s="117"/>
      <c r="C5" s="117"/>
      <c r="F5" s="119"/>
      <c r="G5" s="119"/>
      <c r="H5" s="119"/>
      <c r="I5" s="119"/>
      <c r="J5" s="119"/>
      <c r="K5" s="119"/>
    </row>
    <row r="6" spans="1:12" s="10" customFormat="1" ht="21.75" customHeight="1" x14ac:dyDescent="0.2">
      <c r="A6" s="348" t="s">
        <v>1</v>
      </c>
      <c r="B6" s="389" t="s">
        <v>2</v>
      </c>
      <c r="C6" s="390"/>
      <c r="D6" s="350" t="s">
        <v>4</v>
      </c>
      <c r="E6" s="350"/>
      <c r="F6" s="350"/>
      <c r="G6" s="350"/>
      <c r="H6" s="351" t="s">
        <v>277</v>
      </c>
      <c r="I6" s="352"/>
      <c r="J6" s="352"/>
      <c r="K6" s="352"/>
      <c r="L6" s="353"/>
    </row>
    <row r="7" spans="1:12" s="10" customFormat="1" ht="21.75" customHeight="1" x14ac:dyDescent="0.2">
      <c r="A7" s="348"/>
      <c r="B7" s="391"/>
      <c r="C7" s="392"/>
      <c r="D7" s="356" t="s">
        <v>271</v>
      </c>
      <c r="E7" s="358" t="s">
        <v>0</v>
      </c>
      <c r="F7" s="356" t="s">
        <v>272</v>
      </c>
      <c r="G7" s="356" t="s">
        <v>273</v>
      </c>
      <c r="H7" s="351" t="s">
        <v>267</v>
      </c>
      <c r="I7" s="353"/>
      <c r="J7" s="351" t="s">
        <v>268</v>
      </c>
      <c r="K7" s="353"/>
      <c r="L7" s="354" t="s">
        <v>269</v>
      </c>
    </row>
    <row r="8" spans="1:12" s="14" customFormat="1" ht="24.75" customHeight="1" x14ac:dyDescent="0.2">
      <c r="A8" s="348"/>
      <c r="B8" s="393"/>
      <c r="C8" s="394"/>
      <c r="D8" s="357"/>
      <c r="E8" s="359"/>
      <c r="F8" s="357"/>
      <c r="G8" s="357"/>
      <c r="H8" s="327" t="s">
        <v>274</v>
      </c>
      <c r="I8" s="327" t="s">
        <v>270</v>
      </c>
      <c r="J8" s="327" t="s">
        <v>274</v>
      </c>
      <c r="K8" s="327" t="s">
        <v>270</v>
      </c>
      <c r="L8" s="355"/>
    </row>
    <row r="9" spans="1:12" s="120" customFormat="1" ht="15" customHeight="1" x14ac:dyDescent="0.2">
      <c r="A9" s="121">
        <v>1</v>
      </c>
      <c r="B9" s="122" t="s">
        <v>107</v>
      </c>
      <c r="C9" s="123"/>
      <c r="D9" s="123"/>
      <c r="E9" s="124"/>
      <c r="F9" s="125"/>
      <c r="G9" s="125"/>
      <c r="H9" s="125"/>
      <c r="I9" s="125"/>
      <c r="J9" s="125"/>
      <c r="K9" s="126"/>
      <c r="L9" s="137"/>
    </row>
    <row r="10" spans="1:12" s="128" customFormat="1" ht="25.5" customHeight="1" x14ac:dyDescent="0.2">
      <c r="A10" s="127">
        <v>1.1000000000000001</v>
      </c>
      <c r="B10" s="395" t="s">
        <v>108</v>
      </c>
      <c r="C10" s="396"/>
      <c r="D10" s="396"/>
      <c r="E10" s="396"/>
      <c r="F10" s="396"/>
      <c r="G10" s="396"/>
      <c r="H10" s="396"/>
      <c r="I10" s="396"/>
      <c r="J10" s="396"/>
      <c r="K10" s="397"/>
      <c r="L10" s="137"/>
    </row>
    <row r="11" spans="1:12" s="136" customFormat="1" ht="15" customHeight="1" x14ac:dyDescent="0.2">
      <c r="A11" s="129" t="s">
        <v>77</v>
      </c>
      <c r="B11" s="130" t="s">
        <v>109</v>
      </c>
      <c r="C11" s="131"/>
      <c r="D11" s="132" t="s">
        <v>110</v>
      </c>
      <c r="E11" s="133" t="s">
        <v>73</v>
      </c>
      <c r="F11" s="134">
        <v>0</v>
      </c>
      <c r="G11" s="135" t="s">
        <v>111</v>
      </c>
      <c r="H11" s="104"/>
      <c r="I11" s="104">
        <f>H11*F11</f>
        <v>0</v>
      </c>
      <c r="J11" s="104">
        <f>H11</f>
        <v>0</v>
      </c>
      <c r="K11" s="105"/>
      <c r="L11" s="106">
        <f>K11+I11</f>
        <v>0</v>
      </c>
    </row>
    <row r="12" spans="1:12" s="136" customFormat="1" ht="15" customHeight="1" x14ac:dyDescent="0.2">
      <c r="A12" s="129" t="s">
        <v>78</v>
      </c>
      <c r="B12" s="130" t="s">
        <v>112</v>
      </c>
      <c r="C12" s="131"/>
      <c r="D12" s="132">
        <v>7.5</v>
      </c>
      <c r="E12" s="133" t="s">
        <v>73</v>
      </c>
      <c r="F12" s="134">
        <v>5371</v>
      </c>
      <c r="G12" s="137">
        <v>413</v>
      </c>
      <c r="H12" s="104">
        <v>18.3</v>
      </c>
      <c r="I12" s="104">
        <f t="shared" ref="I12:I16" si="0">H12*F12</f>
        <v>98289.3</v>
      </c>
      <c r="J12" s="333">
        <f t="shared" ref="J12:J16" si="1">H12</f>
        <v>18.3</v>
      </c>
      <c r="K12" s="105">
        <f t="shared" ref="K12:K16" si="2">J12*G12</f>
        <v>7557.9000000000005</v>
      </c>
      <c r="L12" s="106">
        <f t="shared" ref="L12:L16" si="3">K12+I12</f>
        <v>105847.2</v>
      </c>
    </row>
    <row r="13" spans="1:12" s="136" customFormat="1" ht="15" customHeight="1" x14ac:dyDescent="0.2">
      <c r="A13" s="129" t="s">
        <v>79</v>
      </c>
      <c r="B13" s="130" t="s">
        <v>113</v>
      </c>
      <c r="C13" s="131"/>
      <c r="D13" s="132">
        <v>4</v>
      </c>
      <c r="E13" s="133" t="s">
        <v>73</v>
      </c>
      <c r="F13" s="134">
        <v>3718</v>
      </c>
      <c r="G13" s="137">
        <v>372</v>
      </c>
      <c r="H13" s="104">
        <v>15.2</v>
      </c>
      <c r="I13" s="104">
        <f t="shared" si="0"/>
        <v>56513.599999999999</v>
      </c>
      <c r="J13" s="104">
        <f t="shared" si="1"/>
        <v>15.2</v>
      </c>
      <c r="K13" s="105">
        <f t="shared" si="2"/>
        <v>5654.4</v>
      </c>
      <c r="L13" s="106">
        <f t="shared" si="3"/>
        <v>62168</v>
      </c>
    </row>
    <row r="14" spans="1:12" s="136" customFormat="1" ht="15" customHeight="1" x14ac:dyDescent="0.2">
      <c r="A14" s="129" t="s">
        <v>114</v>
      </c>
      <c r="B14" s="130" t="s">
        <v>115</v>
      </c>
      <c r="C14" s="131"/>
      <c r="D14" s="132">
        <v>13</v>
      </c>
      <c r="E14" s="133" t="s">
        <v>73</v>
      </c>
      <c r="F14" s="134">
        <v>2024</v>
      </c>
      <c r="G14" s="137">
        <v>331</v>
      </c>
      <c r="H14" s="104">
        <v>21.3</v>
      </c>
      <c r="I14" s="104">
        <f t="shared" si="0"/>
        <v>43111.200000000004</v>
      </c>
      <c r="J14" s="104">
        <f t="shared" si="1"/>
        <v>21.3</v>
      </c>
      <c r="K14" s="105">
        <f t="shared" si="2"/>
        <v>7050.3</v>
      </c>
      <c r="L14" s="106">
        <f t="shared" si="3"/>
        <v>50161.500000000007</v>
      </c>
    </row>
    <row r="15" spans="1:12" s="136" customFormat="1" ht="15" customHeight="1" x14ac:dyDescent="0.2">
      <c r="A15" s="129" t="s">
        <v>116</v>
      </c>
      <c r="B15" s="138" t="s">
        <v>117</v>
      </c>
      <c r="C15" s="131"/>
      <c r="D15" s="132">
        <v>25</v>
      </c>
      <c r="E15" s="133" t="s">
        <v>73</v>
      </c>
      <c r="F15" s="134">
        <v>1570</v>
      </c>
      <c r="G15" s="137">
        <v>289</v>
      </c>
      <c r="H15" s="104">
        <v>36.6</v>
      </c>
      <c r="I15" s="104">
        <f t="shared" si="0"/>
        <v>57462</v>
      </c>
      <c r="J15" s="104">
        <f t="shared" si="1"/>
        <v>36.6</v>
      </c>
      <c r="K15" s="105">
        <f t="shared" si="2"/>
        <v>10577.4</v>
      </c>
      <c r="L15" s="106">
        <f t="shared" si="3"/>
        <v>68039.399999999994</v>
      </c>
    </row>
    <row r="16" spans="1:12" s="136" customFormat="1" ht="15" customHeight="1" x14ac:dyDescent="0.2">
      <c r="A16" s="129" t="s">
        <v>118</v>
      </c>
      <c r="B16" s="138" t="s">
        <v>119</v>
      </c>
      <c r="C16" s="131"/>
      <c r="D16" s="132">
        <v>3</v>
      </c>
      <c r="E16" s="133" t="s">
        <v>73</v>
      </c>
      <c r="F16" s="134">
        <v>992</v>
      </c>
      <c r="G16" s="137">
        <v>248</v>
      </c>
      <c r="H16" s="104">
        <v>0</v>
      </c>
      <c r="I16" s="104">
        <f t="shared" si="0"/>
        <v>0</v>
      </c>
      <c r="J16" s="104">
        <f t="shared" si="1"/>
        <v>0</v>
      </c>
      <c r="K16" s="105">
        <f t="shared" si="2"/>
        <v>0</v>
      </c>
      <c r="L16" s="106">
        <f t="shared" si="3"/>
        <v>0</v>
      </c>
    </row>
    <row r="17" spans="1:15" s="128" customFormat="1" ht="15" customHeight="1" x14ac:dyDescent="0.2">
      <c r="A17" s="139">
        <v>1.2</v>
      </c>
      <c r="B17" s="140" t="s">
        <v>120</v>
      </c>
      <c r="C17" s="141"/>
      <c r="D17" s="141"/>
      <c r="E17" s="142"/>
      <c r="F17" s="143"/>
      <c r="G17" s="143"/>
      <c r="H17" s="143"/>
      <c r="I17" s="143"/>
      <c r="J17" s="143"/>
      <c r="K17" s="144"/>
      <c r="L17" s="144"/>
      <c r="M17" s="136"/>
      <c r="N17" s="136"/>
      <c r="O17" s="136"/>
    </row>
    <row r="18" spans="1:15" s="128" customFormat="1" ht="15" customHeight="1" x14ac:dyDescent="0.2">
      <c r="A18" s="127" t="s">
        <v>121</v>
      </c>
      <c r="B18" s="140" t="s">
        <v>122</v>
      </c>
      <c r="C18" s="141"/>
      <c r="D18" s="141"/>
      <c r="E18" s="142"/>
      <c r="F18" s="143"/>
      <c r="G18" s="143"/>
      <c r="H18" s="143"/>
      <c r="I18" s="143"/>
      <c r="J18" s="143"/>
      <c r="K18" s="144"/>
      <c r="L18" s="144"/>
      <c r="M18" s="136"/>
      <c r="N18" s="136"/>
      <c r="O18" s="136"/>
    </row>
    <row r="19" spans="1:15" s="136" customFormat="1" ht="15" customHeight="1" x14ac:dyDescent="0.2">
      <c r="A19" s="129" t="s">
        <v>123</v>
      </c>
      <c r="B19" s="130" t="s">
        <v>112</v>
      </c>
      <c r="C19" s="131"/>
      <c r="D19" s="132" t="s">
        <v>110</v>
      </c>
      <c r="E19" s="133" t="s">
        <v>6</v>
      </c>
      <c r="F19" s="134">
        <v>0</v>
      </c>
      <c r="G19" s="135" t="s">
        <v>111</v>
      </c>
      <c r="H19" s="134">
        <v>0</v>
      </c>
      <c r="I19" s="135" t="s">
        <v>111</v>
      </c>
      <c r="J19" s="104">
        <f t="shared" ref="J19:J22" si="4">H19</f>
        <v>0</v>
      </c>
      <c r="K19" s="135" t="s">
        <v>111</v>
      </c>
      <c r="L19" s="135"/>
    </row>
    <row r="20" spans="1:15" s="136" customFormat="1" ht="15" customHeight="1" x14ac:dyDescent="0.2">
      <c r="A20" s="129" t="s">
        <v>124</v>
      </c>
      <c r="B20" s="130" t="s">
        <v>113</v>
      </c>
      <c r="C20" s="131"/>
      <c r="D20" s="132" t="s">
        <v>110</v>
      </c>
      <c r="E20" s="133" t="s">
        <v>6</v>
      </c>
      <c r="F20" s="134">
        <v>0</v>
      </c>
      <c r="G20" s="135" t="s">
        <v>111</v>
      </c>
      <c r="H20" s="134">
        <v>0</v>
      </c>
      <c r="I20" s="135" t="s">
        <v>111</v>
      </c>
      <c r="J20" s="104">
        <f t="shared" si="4"/>
        <v>0</v>
      </c>
      <c r="K20" s="135" t="s">
        <v>111</v>
      </c>
      <c r="L20" s="135"/>
    </row>
    <row r="21" spans="1:15" s="128" customFormat="1" ht="15" customHeight="1" x14ac:dyDescent="0.2">
      <c r="A21" s="129" t="s">
        <v>125</v>
      </c>
      <c r="B21" s="130" t="s">
        <v>115</v>
      </c>
      <c r="C21" s="131"/>
      <c r="D21" s="132">
        <v>3</v>
      </c>
      <c r="E21" s="133" t="s">
        <v>6</v>
      </c>
      <c r="F21" s="134">
        <v>9295</v>
      </c>
      <c r="G21" s="137">
        <v>826</v>
      </c>
      <c r="H21" s="104">
        <v>1</v>
      </c>
      <c r="I21" s="104">
        <f t="shared" ref="I21:I22" si="5">H21*F21</f>
        <v>9295</v>
      </c>
      <c r="J21" s="104">
        <f t="shared" si="4"/>
        <v>1</v>
      </c>
      <c r="K21" s="105">
        <f t="shared" ref="K21:K22" si="6">J21*G21</f>
        <v>826</v>
      </c>
      <c r="L21" s="106">
        <f t="shared" ref="L21:L22" si="7">K21+I21</f>
        <v>10121</v>
      </c>
      <c r="M21" s="136"/>
      <c r="N21" s="136"/>
      <c r="O21" s="136"/>
    </row>
    <row r="22" spans="1:15" s="148" customFormat="1" ht="15" customHeight="1" x14ac:dyDescent="0.2">
      <c r="A22" s="129" t="s">
        <v>126</v>
      </c>
      <c r="B22" s="138" t="s">
        <v>117</v>
      </c>
      <c r="C22" s="145"/>
      <c r="D22" s="146">
        <v>6</v>
      </c>
      <c r="E22" s="147" t="s">
        <v>6</v>
      </c>
      <c r="F22" s="134">
        <v>7023</v>
      </c>
      <c r="G22" s="137">
        <v>826</v>
      </c>
      <c r="H22" s="104">
        <v>6</v>
      </c>
      <c r="I22" s="104">
        <f t="shared" si="5"/>
        <v>42138</v>
      </c>
      <c r="J22" s="104">
        <f t="shared" si="4"/>
        <v>6</v>
      </c>
      <c r="K22" s="105">
        <f t="shared" si="6"/>
        <v>4956</v>
      </c>
      <c r="L22" s="106">
        <f t="shared" si="7"/>
        <v>47094</v>
      </c>
      <c r="M22" s="136"/>
      <c r="N22" s="136"/>
      <c r="O22" s="136"/>
    </row>
    <row r="23" spans="1:15" s="128" customFormat="1" ht="15" customHeight="1" x14ac:dyDescent="0.2">
      <c r="A23" s="127" t="s">
        <v>127</v>
      </c>
      <c r="B23" s="140" t="s">
        <v>128</v>
      </c>
      <c r="C23" s="141"/>
      <c r="D23" s="141"/>
      <c r="E23" s="142"/>
      <c r="F23" s="143"/>
      <c r="G23" s="143"/>
      <c r="H23" s="143"/>
      <c r="I23" s="143"/>
      <c r="J23" s="143"/>
      <c r="K23" s="144"/>
      <c r="L23" s="144"/>
      <c r="M23" s="136"/>
      <c r="N23" s="136"/>
      <c r="O23" s="136"/>
    </row>
    <row r="24" spans="1:15" s="128" customFormat="1" ht="15" customHeight="1" x14ac:dyDescent="0.2">
      <c r="A24" s="129" t="s">
        <v>129</v>
      </c>
      <c r="B24" s="138" t="s">
        <v>117</v>
      </c>
      <c r="C24" s="131"/>
      <c r="D24" s="132">
        <v>1</v>
      </c>
      <c r="E24" s="133" t="s">
        <v>6</v>
      </c>
      <c r="F24" s="134">
        <v>7436</v>
      </c>
      <c r="G24" s="137">
        <v>826</v>
      </c>
      <c r="H24" s="104">
        <v>1</v>
      </c>
      <c r="I24" s="104">
        <f>H24*F24</f>
        <v>7436</v>
      </c>
      <c r="J24" s="104">
        <f>H24</f>
        <v>1</v>
      </c>
      <c r="K24" s="105">
        <f>J24*G24</f>
        <v>826</v>
      </c>
      <c r="L24" s="106">
        <f>K24+I24</f>
        <v>8262</v>
      </c>
      <c r="M24" s="136"/>
      <c r="N24" s="136"/>
      <c r="O24" s="136"/>
    </row>
    <row r="25" spans="1:15" s="128" customFormat="1" ht="15" customHeight="1" x14ac:dyDescent="0.2">
      <c r="A25" s="127" t="s">
        <v>130</v>
      </c>
      <c r="B25" s="140" t="s">
        <v>131</v>
      </c>
      <c r="C25" s="149"/>
      <c r="D25" s="149"/>
      <c r="E25" s="142"/>
      <c r="F25" s="150"/>
      <c r="G25" s="150"/>
      <c r="H25" s="150"/>
      <c r="I25" s="150"/>
      <c r="J25" s="150"/>
      <c r="K25" s="151"/>
      <c r="L25" s="151"/>
      <c r="M25" s="136"/>
      <c r="N25" s="136"/>
      <c r="O25" s="136"/>
    </row>
    <row r="26" spans="1:15" s="128" customFormat="1" ht="15" customHeight="1" x14ac:dyDescent="0.2">
      <c r="A26" s="129" t="s">
        <v>132</v>
      </c>
      <c r="B26" s="130" t="s">
        <v>112</v>
      </c>
      <c r="C26" s="152"/>
      <c r="D26" s="153">
        <v>1</v>
      </c>
      <c r="E26" s="133" t="s">
        <v>7</v>
      </c>
      <c r="F26" s="134">
        <v>122286</v>
      </c>
      <c r="G26" s="137">
        <v>2479</v>
      </c>
      <c r="H26" s="104">
        <v>1</v>
      </c>
      <c r="I26" s="104">
        <f t="shared" ref="I26:I31" si="8">H26*F26</f>
        <v>122286</v>
      </c>
      <c r="J26" s="104">
        <f t="shared" ref="J26:J31" si="9">H26</f>
        <v>1</v>
      </c>
      <c r="K26" s="105">
        <f t="shared" ref="K26:K31" si="10">J26*G26</f>
        <v>2479</v>
      </c>
      <c r="L26" s="106">
        <f t="shared" ref="L26:L31" si="11">K26+I26</f>
        <v>124765</v>
      </c>
      <c r="M26" s="136"/>
      <c r="N26" s="136"/>
      <c r="O26" s="136"/>
    </row>
    <row r="27" spans="1:15" s="128" customFormat="1" ht="24" customHeight="1" x14ac:dyDescent="0.2">
      <c r="A27" s="154">
        <v>1.3</v>
      </c>
      <c r="B27" s="383" t="s">
        <v>133</v>
      </c>
      <c r="C27" s="384"/>
      <c r="D27" s="155">
        <v>1</v>
      </c>
      <c r="E27" s="133" t="s">
        <v>9</v>
      </c>
      <c r="F27" s="134">
        <v>37182</v>
      </c>
      <c r="G27" s="137">
        <v>6610</v>
      </c>
      <c r="H27" s="104">
        <v>1</v>
      </c>
      <c r="I27" s="104">
        <f t="shared" si="8"/>
        <v>37182</v>
      </c>
      <c r="J27" s="104">
        <f t="shared" si="9"/>
        <v>1</v>
      </c>
      <c r="K27" s="105">
        <f t="shared" si="10"/>
        <v>6610</v>
      </c>
      <c r="L27" s="106">
        <f t="shared" si="11"/>
        <v>43792</v>
      </c>
      <c r="M27" s="136"/>
      <c r="N27" s="136"/>
      <c r="O27" s="136"/>
    </row>
    <row r="28" spans="1:15" s="128" customFormat="1" ht="25.5" customHeight="1" x14ac:dyDescent="0.2">
      <c r="A28" s="154">
        <v>1.4</v>
      </c>
      <c r="B28" s="378" t="s">
        <v>134</v>
      </c>
      <c r="C28" s="379"/>
      <c r="D28" s="155">
        <v>1</v>
      </c>
      <c r="E28" s="133" t="s">
        <v>9</v>
      </c>
      <c r="F28" s="134">
        <v>0</v>
      </c>
      <c r="G28" s="137">
        <v>20656</v>
      </c>
      <c r="H28" s="104">
        <v>1</v>
      </c>
      <c r="I28" s="104">
        <f t="shared" si="8"/>
        <v>0</v>
      </c>
      <c r="J28" s="104">
        <f t="shared" si="9"/>
        <v>1</v>
      </c>
      <c r="K28" s="105">
        <f t="shared" si="10"/>
        <v>20656</v>
      </c>
      <c r="L28" s="106">
        <f t="shared" si="11"/>
        <v>20656</v>
      </c>
      <c r="M28" s="136"/>
      <c r="N28" s="136"/>
      <c r="O28" s="136"/>
    </row>
    <row r="29" spans="1:15" s="128" customFormat="1" ht="29.25" customHeight="1" x14ac:dyDescent="0.2">
      <c r="A29" s="156">
        <v>1.5</v>
      </c>
      <c r="B29" s="383" t="s">
        <v>135</v>
      </c>
      <c r="C29" s="384"/>
      <c r="D29" s="157">
        <v>5</v>
      </c>
      <c r="E29" s="158" t="s">
        <v>6</v>
      </c>
      <c r="F29" s="134">
        <v>7436</v>
      </c>
      <c r="G29" s="137">
        <v>826</v>
      </c>
      <c r="H29" s="104">
        <v>0</v>
      </c>
      <c r="I29" s="104">
        <f t="shared" si="8"/>
        <v>0</v>
      </c>
      <c r="J29" s="104">
        <f t="shared" si="9"/>
        <v>0</v>
      </c>
      <c r="K29" s="105">
        <f t="shared" si="10"/>
        <v>0</v>
      </c>
      <c r="L29" s="106">
        <f t="shared" si="11"/>
        <v>0</v>
      </c>
      <c r="M29" s="136"/>
      <c r="N29" s="136"/>
      <c r="O29" s="136"/>
    </row>
    <row r="30" spans="1:15" s="128" customFormat="1" ht="29.25" customHeight="1" x14ac:dyDescent="0.2">
      <c r="A30" s="154">
        <v>1.6</v>
      </c>
      <c r="B30" s="383" t="s">
        <v>136</v>
      </c>
      <c r="C30" s="384"/>
      <c r="D30" s="157">
        <v>1</v>
      </c>
      <c r="E30" s="158" t="s">
        <v>7</v>
      </c>
      <c r="F30" s="134">
        <v>14873</v>
      </c>
      <c r="G30" s="137">
        <v>826</v>
      </c>
      <c r="H30" s="104">
        <v>0</v>
      </c>
      <c r="I30" s="104">
        <f t="shared" si="8"/>
        <v>0</v>
      </c>
      <c r="J30" s="104">
        <f t="shared" si="9"/>
        <v>0</v>
      </c>
      <c r="K30" s="105">
        <f t="shared" si="10"/>
        <v>0</v>
      </c>
      <c r="L30" s="106">
        <f t="shared" si="11"/>
        <v>0</v>
      </c>
      <c r="M30" s="136"/>
      <c r="N30" s="136"/>
      <c r="O30" s="136"/>
    </row>
    <row r="31" spans="1:15" s="128" customFormat="1" ht="15" customHeight="1" thickBot="1" x14ac:dyDescent="0.25">
      <c r="A31" s="156">
        <v>1.7</v>
      </c>
      <c r="B31" s="383" t="s">
        <v>137</v>
      </c>
      <c r="C31" s="384"/>
      <c r="D31" s="157">
        <v>1</v>
      </c>
      <c r="E31" s="158" t="s">
        <v>7</v>
      </c>
      <c r="F31" s="134">
        <v>8263</v>
      </c>
      <c r="G31" s="137">
        <v>826</v>
      </c>
      <c r="H31" s="104">
        <v>1</v>
      </c>
      <c r="I31" s="104">
        <f t="shared" si="8"/>
        <v>8263</v>
      </c>
      <c r="J31" s="104">
        <f t="shared" si="9"/>
        <v>1</v>
      </c>
      <c r="K31" s="105">
        <f t="shared" si="10"/>
        <v>826</v>
      </c>
      <c r="L31" s="106">
        <f t="shared" si="11"/>
        <v>9089</v>
      </c>
      <c r="M31" s="136"/>
      <c r="N31" s="136"/>
      <c r="O31" s="136"/>
    </row>
    <row r="32" spans="1:15" s="128" customFormat="1" ht="15" customHeight="1" thickBot="1" x14ac:dyDescent="0.25">
      <c r="A32" s="380" t="s">
        <v>13</v>
      </c>
      <c r="B32" s="381"/>
      <c r="C32" s="381"/>
      <c r="D32" s="381"/>
      <c r="E32" s="382"/>
      <c r="F32" s="159"/>
      <c r="G32" s="160">
        <f>SUM(G11:G31)</f>
        <v>36354</v>
      </c>
      <c r="H32" s="159"/>
      <c r="I32" s="160">
        <f>SUM(I11:I31)</f>
        <v>481976.1</v>
      </c>
      <c r="J32" s="161"/>
      <c r="K32" s="160">
        <f>SUM(K11:K31)</f>
        <v>68019</v>
      </c>
      <c r="L32" s="160">
        <f>SUM(L11:L31)</f>
        <v>549995.1</v>
      </c>
      <c r="M32" s="136"/>
      <c r="N32" s="136"/>
      <c r="O32" s="136"/>
    </row>
    <row r="33" spans="1:16" s="167" customFormat="1" ht="15" customHeight="1" x14ac:dyDescent="0.2">
      <c r="A33" s="121">
        <v>2</v>
      </c>
      <c r="B33" s="122" t="s">
        <v>138</v>
      </c>
      <c r="C33" s="162"/>
      <c r="D33" s="163"/>
      <c r="E33" s="164"/>
      <c r="F33" s="165"/>
      <c r="G33" s="165"/>
      <c r="H33" s="165"/>
      <c r="I33" s="165"/>
      <c r="J33" s="165"/>
      <c r="K33" s="166"/>
      <c r="M33" s="136"/>
      <c r="N33" s="136"/>
      <c r="O33" s="136"/>
    </row>
    <row r="34" spans="1:16" s="174" customFormat="1" ht="15" customHeight="1" x14ac:dyDescent="0.2">
      <c r="A34" s="168">
        <v>2.1</v>
      </c>
      <c r="B34" s="169" t="s">
        <v>108</v>
      </c>
      <c r="C34" s="170"/>
      <c r="D34" s="170"/>
      <c r="E34" s="171"/>
      <c r="F34" s="172"/>
      <c r="G34" s="172"/>
      <c r="H34" s="172"/>
      <c r="I34" s="172"/>
      <c r="J34" s="172"/>
      <c r="K34" s="173"/>
      <c r="M34" s="136"/>
      <c r="N34" s="136"/>
      <c r="O34" s="136"/>
    </row>
    <row r="35" spans="1:16" s="174" customFormat="1" ht="15" customHeight="1" x14ac:dyDescent="0.2">
      <c r="A35" s="129" t="s">
        <v>139</v>
      </c>
      <c r="B35" s="130" t="s">
        <v>115</v>
      </c>
      <c r="C35" s="145"/>
      <c r="D35" s="175" t="s">
        <v>110</v>
      </c>
      <c r="E35" s="133" t="s">
        <v>73</v>
      </c>
      <c r="F35" s="134">
        <v>0</v>
      </c>
      <c r="G35" s="135" t="s">
        <v>111</v>
      </c>
      <c r="H35" s="134">
        <v>0</v>
      </c>
      <c r="I35" s="135" t="s">
        <v>111</v>
      </c>
      <c r="J35" s="104">
        <f t="shared" ref="J35:J37" si="12">H35</f>
        <v>0</v>
      </c>
      <c r="K35" s="135" t="s">
        <v>111</v>
      </c>
      <c r="L35" s="137"/>
      <c r="M35" s="136"/>
      <c r="N35" s="136"/>
      <c r="O35" s="136"/>
    </row>
    <row r="36" spans="1:16" s="174" customFormat="1" ht="15" customHeight="1" x14ac:dyDescent="0.2">
      <c r="A36" s="129" t="s">
        <v>140</v>
      </c>
      <c r="B36" s="138" t="s">
        <v>117</v>
      </c>
      <c r="C36" s="145"/>
      <c r="D36" s="175">
        <v>32</v>
      </c>
      <c r="E36" s="133" t="s">
        <v>73</v>
      </c>
      <c r="F36" s="134">
        <v>1363</v>
      </c>
      <c r="G36" s="137">
        <v>331</v>
      </c>
      <c r="H36" s="104">
        <v>30.5</v>
      </c>
      <c r="I36" s="104">
        <f>H36*F36</f>
        <v>41571.5</v>
      </c>
      <c r="J36" s="104">
        <f t="shared" si="12"/>
        <v>30.5</v>
      </c>
      <c r="K36" s="105">
        <f>J36*G36</f>
        <v>10095.5</v>
      </c>
      <c r="L36" s="106">
        <f>K36+I36</f>
        <v>51667</v>
      </c>
      <c r="M36" s="136"/>
      <c r="N36" s="136"/>
      <c r="O36" s="136"/>
    </row>
    <row r="37" spans="1:16" s="174" customFormat="1" ht="15" customHeight="1" x14ac:dyDescent="0.2">
      <c r="A37" s="129" t="s">
        <v>141</v>
      </c>
      <c r="B37" s="138" t="s">
        <v>119</v>
      </c>
      <c r="C37" s="145"/>
      <c r="D37" s="175" t="s">
        <v>110</v>
      </c>
      <c r="E37" s="133" t="s">
        <v>73</v>
      </c>
      <c r="F37" s="134">
        <v>0</v>
      </c>
      <c r="G37" s="135" t="s">
        <v>111</v>
      </c>
      <c r="H37" s="134">
        <v>0</v>
      </c>
      <c r="I37" s="135" t="s">
        <v>111</v>
      </c>
      <c r="J37" s="104">
        <f t="shared" si="12"/>
        <v>0</v>
      </c>
      <c r="K37" s="135" t="s">
        <v>111</v>
      </c>
      <c r="L37" s="137"/>
      <c r="M37" s="136"/>
      <c r="N37" s="136"/>
      <c r="O37" s="136"/>
    </row>
    <row r="38" spans="1:16" s="174" customFormat="1" ht="15" customHeight="1" x14ac:dyDescent="0.2">
      <c r="A38" s="168">
        <v>2.2000000000000002</v>
      </c>
      <c r="B38" s="169" t="s">
        <v>120</v>
      </c>
      <c r="C38" s="176"/>
      <c r="D38" s="177"/>
      <c r="E38" s="177"/>
      <c r="F38" s="172"/>
      <c r="G38" s="172"/>
      <c r="H38" s="172"/>
      <c r="I38" s="172"/>
      <c r="J38" s="172"/>
      <c r="K38" s="173"/>
      <c r="L38" s="137"/>
      <c r="M38" s="136"/>
      <c r="N38" s="136"/>
      <c r="O38" s="136"/>
    </row>
    <row r="39" spans="1:16" s="174" customFormat="1" ht="15" customHeight="1" x14ac:dyDescent="0.2">
      <c r="A39" s="178" t="s">
        <v>142</v>
      </c>
      <c r="B39" s="179" t="s">
        <v>143</v>
      </c>
      <c r="C39" s="170"/>
      <c r="D39" s="170"/>
      <c r="E39" s="180"/>
      <c r="F39" s="172"/>
      <c r="G39" s="172"/>
      <c r="H39" s="172"/>
      <c r="I39" s="172"/>
      <c r="J39" s="172"/>
      <c r="K39" s="181"/>
      <c r="L39" s="137"/>
      <c r="M39" s="136"/>
      <c r="N39" s="136"/>
      <c r="O39" s="136"/>
    </row>
    <row r="40" spans="1:16" s="148" customFormat="1" ht="15" customHeight="1" x14ac:dyDescent="0.2">
      <c r="A40" s="129" t="s">
        <v>144</v>
      </c>
      <c r="B40" s="138" t="s">
        <v>117</v>
      </c>
      <c r="C40" s="145"/>
      <c r="D40" s="146">
        <v>2</v>
      </c>
      <c r="E40" s="147" t="s">
        <v>6</v>
      </c>
      <c r="F40" s="134">
        <v>71058</v>
      </c>
      <c r="G40" s="137">
        <v>1653</v>
      </c>
      <c r="H40" s="104">
        <v>0</v>
      </c>
      <c r="I40" s="104">
        <f>H40*F40</f>
        <v>0</v>
      </c>
      <c r="J40" s="104">
        <f t="shared" ref="J40" si="13">H40</f>
        <v>0</v>
      </c>
      <c r="K40" s="105">
        <f>J40*G40</f>
        <v>0</v>
      </c>
      <c r="L40" s="106">
        <f>K40+I40</f>
        <v>0</v>
      </c>
      <c r="M40" s="136"/>
      <c r="N40" s="136"/>
      <c r="O40" s="136"/>
    </row>
    <row r="41" spans="1:16" s="174" customFormat="1" ht="15" customHeight="1" x14ac:dyDescent="0.2">
      <c r="A41" s="178" t="s">
        <v>145</v>
      </c>
      <c r="B41" s="140" t="s">
        <v>122</v>
      </c>
      <c r="C41" s="170"/>
      <c r="D41" s="170"/>
      <c r="E41" s="180"/>
      <c r="F41" s="172"/>
      <c r="G41" s="172"/>
      <c r="H41" s="172"/>
      <c r="I41" s="172"/>
      <c r="J41" s="172"/>
      <c r="K41" s="181"/>
      <c r="L41" s="137"/>
      <c r="M41" s="136"/>
      <c r="N41" s="136"/>
      <c r="O41" s="136"/>
    </row>
    <row r="42" spans="1:16" s="148" customFormat="1" ht="15" customHeight="1" x14ac:dyDescent="0.2">
      <c r="A42" s="129" t="s">
        <v>146</v>
      </c>
      <c r="B42" s="130" t="s">
        <v>115</v>
      </c>
      <c r="C42" s="145"/>
      <c r="D42" s="146" t="s">
        <v>110</v>
      </c>
      <c r="E42" s="147" t="s">
        <v>7</v>
      </c>
      <c r="F42" s="134">
        <v>0</v>
      </c>
      <c r="G42" s="135" t="s">
        <v>111</v>
      </c>
      <c r="H42" s="134">
        <v>0</v>
      </c>
      <c r="I42" s="135" t="s">
        <v>111</v>
      </c>
      <c r="J42" s="104">
        <f t="shared" ref="J42:J44" si="14">H42</f>
        <v>0</v>
      </c>
      <c r="K42" s="135" t="s">
        <v>111</v>
      </c>
      <c r="L42" s="137"/>
      <c r="M42" s="136"/>
      <c r="N42" s="136"/>
      <c r="O42" s="136"/>
    </row>
    <row r="43" spans="1:16" s="148" customFormat="1" ht="15" customHeight="1" x14ac:dyDescent="0.2">
      <c r="A43" s="129" t="s">
        <v>147</v>
      </c>
      <c r="B43" s="138" t="s">
        <v>117</v>
      </c>
      <c r="C43" s="145"/>
      <c r="D43" s="146">
        <f>3+3</f>
        <v>6</v>
      </c>
      <c r="E43" s="147" t="s">
        <v>6</v>
      </c>
      <c r="F43" s="134">
        <v>8263</v>
      </c>
      <c r="G43" s="137">
        <v>826</v>
      </c>
      <c r="H43" s="104">
        <v>5</v>
      </c>
      <c r="I43" s="104">
        <f>H43*F43</f>
        <v>41315</v>
      </c>
      <c r="J43" s="104">
        <f t="shared" si="14"/>
        <v>5</v>
      </c>
      <c r="K43" s="105">
        <f>J43*G43</f>
        <v>4130</v>
      </c>
      <c r="L43" s="106">
        <f>K43+I43</f>
        <v>45445</v>
      </c>
      <c r="M43" s="136"/>
      <c r="N43" s="136"/>
      <c r="O43" s="136"/>
    </row>
    <row r="44" spans="1:16" s="174" customFormat="1" ht="15" customHeight="1" x14ac:dyDescent="0.2">
      <c r="A44" s="129" t="s">
        <v>148</v>
      </c>
      <c r="B44" s="138" t="s">
        <v>119</v>
      </c>
      <c r="C44" s="145"/>
      <c r="D44" s="175" t="s">
        <v>110</v>
      </c>
      <c r="E44" s="133" t="s">
        <v>6</v>
      </c>
      <c r="F44" s="134">
        <v>0</v>
      </c>
      <c r="G44" s="135" t="s">
        <v>111</v>
      </c>
      <c r="H44" s="134">
        <v>0</v>
      </c>
      <c r="I44" s="135" t="s">
        <v>111</v>
      </c>
      <c r="J44" s="104">
        <f t="shared" si="14"/>
        <v>0</v>
      </c>
      <c r="K44" s="135" t="s">
        <v>111</v>
      </c>
      <c r="L44" s="137"/>
      <c r="M44" s="136"/>
      <c r="N44" s="136"/>
      <c r="O44" s="136"/>
    </row>
    <row r="45" spans="1:16" s="128" customFormat="1" ht="15" customHeight="1" x14ac:dyDescent="0.2">
      <c r="A45" s="127" t="s">
        <v>149</v>
      </c>
      <c r="B45" s="140" t="s">
        <v>128</v>
      </c>
      <c r="C45" s="141"/>
      <c r="D45" s="141"/>
      <c r="E45" s="142"/>
      <c r="F45" s="143"/>
      <c r="G45" s="143"/>
      <c r="H45" s="143"/>
      <c r="I45" s="143"/>
      <c r="J45" s="143"/>
      <c r="K45" s="144"/>
      <c r="L45" s="137"/>
      <c r="M45" s="136"/>
      <c r="N45" s="136"/>
      <c r="O45" s="136"/>
    </row>
    <row r="46" spans="1:16" s="128" customFormat="1" ht="15" customHeight="1" x14ac:dyDescent="0.2">
      <c r="A46" s="129" t="s">
        <v>150</v>
      </c>
      <c r="B46" s="138" t="s">
        <v>117</v>
      </c>
      <c r="C46" s="131"/>
      <c r="D46" s="132">
        <v>3</v>
      </c>
      <c r="E46" s="133" t="s">
        <v>6</v>
      </c>
      <c r="F46" s="134">
        <v>7436</v>
      </c>
      <c r="G46" s="137">
        <v>826</v>
      </c>
      <c r="H46" s="104">
        <v>0</v>
      </c>
      <c r="I46" s="104">
        <f>H46*F46</f>
        <v>0</v>
      </c>
      <c r="J46" s="104">
        <f t="shared" ref="J46" si="15">H46</f>
        <v>0</v>
      </c>
      <c r="K46" s="105">
        <f>J46*G46</f>
        <v>0</v>
      </c>
      <c r="L46" s="106">
        <f>K46+I46</f>
        <v>0</v>
      </c>
      <c r="M46" s="136"/>
      <c r="N46" s="136"/>
      <c r="O46" s="136"/>
    </row>
    <row r="47" spans="1:16" s="187" customFormat="1" ht="17.25" customHeight="1" x14ac:dyDescent="0.2">
      <c r="A47" s="182">
        <v>2.2999999999999998</v>
      </c>
      <c r="B47" s="183" t="s">
        <v>151</v>
      </c>
      <c r="C47" s="184"/>
      <c r="D47" s="184"/>
      <c r="E47" s="184"/>
      <c r="F47" s="185"/>
      <c r="G47" s="185"/>
      <c r="H47" s="185"/>
      <c r="I47" s="185"/>
      <c r="J47" s="185"/>
      <c r="K47" s="186"/>
      <c r="L47" s="137"/>
      <c r="M47" s="136"/>
      <c r="N47" s="136"/>
      <c r="O47" s="136"/>
    </row>
    <row r="48" spans="1:16" s="191" customFormat="1" ht="15" customHeight="1" x14ac:dyDescent="0.2">
      <c r="A48" s="188" t="s">
        <v>152</v>
      </c>
      <c r="B48" s="130" t="s">
        <v>115</v>
      </c>
      <c r="C48" s="189"/>
      <c r="D48" s="190" t="s">
        <v>110</v>
      </c>
      <c r="E48" s="133" t="s">
        <v>73</v>
      </c>
      <c r="F48" s="134">
        <v>0</v>
      </c>
      <c r="G48" s="135" t="s">
        <v>111</v>
      </c>
      <c r="H48" s="134">
        <v>0</v>
      </c>
      <c r="I48" s="135" t="s">
        <v>111</v>
      </c>
      <c r="J48" s="104">
        <f t="shared" ref="J48:J52" si="16">H48</f>
        <v>0</v>
      </c>
      <c r="K48" s="135" t="s">
        <v>111</v>
      </c>
      <c r="L48" s="137"/>
      <c r="M48" s="136"/>
      <c r="N48" s="136"/>
      <c r="O48" s="136"/>
      <c r="P48" s="174"/>
    </row>
    <row r="49" spans="1:15" s="192" customFormat="1" ht="15" customHeight="1" x14ac:dyDescent="0.2">
      <c r="A49" s="188" t="s">
        <v>153</v>
      </c>
      <c r="B49" s="138" t="s">
        <v>117</v>
      </c>
      <c r="C49" s="189"/>
      <c r="D49" s="190">
        <f>D36</f>
        <v>32</v>
      </c>
      <c r="E49" s="133" t="s">
        <v>73</v>
      </c>
      <c r="F49" s="134">
        <v>3512</v>
      </c>
      <c r="G49" s="137">
        <v>496</v>
      </c>
      <c r="H49" s="104">
        <v>30.5</v>
      </c>
      <c r="I49" s="104">
        <f>H49*F49</f>
        <v>107116</v>
      </c>
      <c r="J49" s="104">
        <f t="shared" si="16"/>
        <v>30.5</v>
      </c>
      <c r="K49" s="105">
        <f>J49*G49</f>
        <v>15128</v>
      </c>
      <c r="L49" s="106">
        <f>K49+I49</f>
        <v>122244</v>
      </c>
      <c r="M49" s="136"/>
      <c r="N49" s="136"/>
      <c r="O49" s="136"/>
    </row>
    <row r="50" spans="1:15" s="192" customFormat="1" ht="15" customHeight="1" x14ac:dyDescent="0.2">
      <c r="A50" s="188" t="s">
        <v>154</v>
      </c>
      <c r="B50" s="138" t="s">
        <v>119</v>
      </c>
      <c r="C50" s="189"/>
      <c r="D50" s="190" t="str">
        <f>D37</f>
        <v>-</v>
      </c>
      <c r="E50" s="133" t="s">
        <v>73</v>
      </c>
      <c r="F50" s="134">
        <v>0</v>
      </c>
      <c r="G50" s="135" t="s">
        <v>111</v>
      </c>
      <c r="H50" s="134">
        <v>0</v>
      </c>
      <c r="I50" s="135" t="s">
        <v>111</v>
      </c>
      <c r="J50" s="104">
        <f t="shared" si="16"/>
        <v>0</v>
      </c>
      <c r="K50" s="135" t="s">
        <v>111</v>
      </c>
      <c r="L50" s="137"/>
      <c r="M50" s="136"/>
      <c r="N50" s="136"/>
      <c r="O50" s="136"/>
    </row>
    <row r="51" spans="1:15" s="174" customFormat="1" ht="36.75" customHeight="1" x14ac:dyDescent="0.2">
      <c r="A51" s="193">
        <v>2.4</v>
      </c>
      <c r="B51" s="383" t="s">
        <v>155</v>
      </c>
      <c r="C51" s="384"/>
      <c r="D51" s="146">
        <v>1</v>
      </c>
      <c r="E51" s="147" t="s">
        <v>9</v>
      </c>
      <c r="F51" s="134">
        <v>39660</v>
      </c>
      <c r="G51" s="137">
        <v>9915</v>
      </c>
      <c r="H51" s="104">
        <v>1</v>
      </c>
      <c r="I51" s="104">
        <f t="shared" ref="I51:I52" si="17">H51*F51</f>
        <v>39660</v>
      </c>
      <c r="J51" s="104">
        <f t="shared" si="16"/>
        <v>1</v>
      </c>
      <c r="K51" s="105">
        <f t="shared" ref="K51:K52" si="18">J51*G51</f>
        <v>9915</v>
      </c>
      <c r="L51" s="106">
        <f t="shared" ref="L51:L52" si="19">K51+I51</f>
        <v>49575</v>
      </c>
      <c r="M51" s="136"/>
      <c r="N51" s="136"/>
      <c r="O51" s="136"/>
    </row>
    <row r="52" spans="1:15" s="174" customFormat="1" ht="35.25" customHeight="1" x14ac:dyDescent="0.2">
      <c r="A52" s="193">
        <v>2.5</v>
      </c>
      <c r="B52" s="383" t="s">
        <v>156</v>
      </c>
      <c r="C52" s="384"/>
      <c r="D52" s="146">
        <v>1</v>
      </c>
      <c r="E52" s="147" t="s">
        <v>9</v>
      </c>
      <c r="F52" s="134">
        <v>0</v>
      </c>
      <c r="G52" s="137">
        <v>12394</v>
      </c>
      <c r="H52" s="104">
        <v>1</v>
      </c>
      <c r="I52" s="104">
        <f t="shared" si="17"/>
        <v>0</v>
      </c>
      <c r="J52" s="104">
        <f t="shared" si="16"/>
        <v>1</v>
      </c>
      <c r="K52" s="105">
        <f t="shared" si="18"/>
        <v>12394</v>
      </c>
      <c r="L52" s="106">
        <f t="shared" si="19"/>
        <v>12394</v>
      </c>
      <c r="M52" s="136"/>
      <c r="N52" s="136"/>
      <c r="O52" s="136"/>
    </row>
    <row r="53" spans="1:15" s="187" customFormat="1" ht="15" customHeight="1" x14ac:dyDescent="0.2">
      <c r="A53" s="182">
        <v>2.6</v>
      </c>
      <c r="B53" s="169" t="s">
        <v>157</v>
      </c>
      <c r="C53" s="184"/>
      <c r="D53" s="184"/>
      <c r="E53" s="184"/>
      <c r="F53" s="185"/>
      <c r="G53" s="185"/>
      <c r="H53" s="185"/>
      <c r="I53" s="185"/>
      <c r="J53" s="185"/>
      <c r="K53" s="186"/>
      <c r="L53" s="137"/>
      <c r="M53" s="136"/>
      <c r="N53" s="136"/>
      <c r="O53" s="136"/>
    </row>
    <row r="54" spans="1:15" s="191" customFormat="1" ht="38.450000000000003" customHeight="1" thickBot="1" x14ac:dyDescent="0.25">
      <c r="A54" s="188" t="s">
        <v>158</v>
      </c>
      <c r="B54" s="385" t="s">
        <v>159</v>
      </c>
      <c r="C54" s="386"/>
      <c r="D54" s="190">
        <v>2</v>
      </c>
      <c r="E54" s="133" t="s">
        <v>6</v>
      </c>
      <c r="F54" s="134">
        <v>65274</v>
      </c>
      <c r="G54" s="137">
        <v>2479</v>
      </c>
      <c r="H54" s="104">
        <v>1</v>
      </c>
      <c r="I54" s="104">
        <f>H54*F54</f>
        <v>65274</v>
      </c>
      <c r="J54" s="104">
        <f t="shared" ref="J54" si="20">H54</f>
        <v>1</v>
      </c>
      <c r="K54" s="105">
        <f>J54*G54</f>
        <v>2479</v>
      </c>
      <c r="L54" s="106">
        <f>K54+I54</f>
        <v>67753</v>
      </c>
      <c r="M54" s="136"/>
      <c r="N54" s="136"/>
      <c r="O54" s="136"/>
    </row>
    <row r="55" spans="1:15" s="128" customFormat="1" ht="15" customHeight="1" thickBot="1" x14ac:dyDescent="0.25">
      <c r="A55" s="380" t="s">
        <v>13</v>
      </c>
      <c r="B55" s="381"/>
      <c r="C55" s="381"/>
      <c r="D55" s="381"/>
      <c r="E55" s="382"/>
      <c r="F55" s="159"/>
      <c r="G55" s="160">
        <f>SUM(G35:G54)</f>
        <v>28920</v>
      </c>
      <c r="H55" s="159"/>
      <c r="I55" s="160">
        <f>SUM(I35:I54)</f>
        <v>294936.5</v>
      </c>
      <c r="J55" s="161"/>
      <c r="K55" s="160">
        <f>SUM(K35:K54)</f>
        <v>54141.5</v>
      </c>
      <c r="L55" s="160">
        <f>SUM(L35:L54)</f>
        <v>349078</v>
      </c>
      <c r="M55" s="136"/>
      <c r="N55" s="136"/>
      <c r="O55" s="136"/>
    </row>
    <row r="56" spans="1:15" s="120" customFormat="1" ht="15" customHeight="1" x14ac:dyDescent="0.2">
      <c r="A56" s="121">
        <v>3</v>
      </c>
      <c r="B56" s="122" t="s">
        <v>160</v>
      </c>
      <c r="C56" s="123"/>
      <c r="D56" s="123"/>
      <c r="E56" s="124"/>
      <c r="F56" s="125"/>
      <c r="G56" s="125"/>
      <c r="H56" s="125"/>
      <c r="I56" s="125"/>
      <c r="J56" s="125"/>
      <c r="K56" s="126"/>
      <c r="M56" s="136"/>
      <c r="N56" s="136"/>
      <c r="O56" s="136"/>
    </row>
    <row r="57" spans="1:15" s="194" customFormat="1" ht="45" customHeight="1" x14ac:dyDescent="0.2">
      <c r="A57" s="168">
        <v>3.1</v>
      </c>
      <c r="B57" s="375" t="s">
        <v>161</v>
      </c>
      <c r="C57" s="376"/>
      <c r="D57" s="376"/>
      <c r="E57" s="376"/>
      <c r="F57" s="376"/>
      <c r="G57" s="376"/>
      <c r="H57" s="376"/>
      <c r="I57" s="376"/>
      <c r="J57" s="376"/>
      <c r="K57" s="377"/>
      <c r="L57" s="137"/>
      <c r="M57" s="136"/>
      <c r="N57" s="136"/>
      <c r="O57" s="136"/>
    </row>
    <row r="58" spans="1:15" s="136" customFormat="1" ht="15" customHeight="1" x14ac:dyDescent="0.2">
      <c r="A58" s="129" t="s">
        <v>162</v>
      </c>
      <c r="B58" s="195" t="s">
        <v>163</v>
      </c>
      <c r="C58" s="131"/>
      <c r="D58" s="132">
        <v>18</v>
      </c>
      <c r="E58" s="133" t="s">
        <v>73</v>
      </c>
      <c r="F58" s="134">
        <v>4049</v>
      </c>
      <c r="G58" s="137">
        <v>826</v>
      </c>
      <c r="H58" s="104">
        <v>27.4</v>
      </c>
      <c r="I58" s="104">
        <f t="shared" ref="I58:I59" si="21">H58*F58</f>
        <v>110942.59999999999</v>
      </c>
      <c r="J58" s="104">
        <f t="shared" ref="J58:J62" si="22">H58</f>
        <v>27.4</v>
      </c>
      <c r="K58" s="105">
        <f t="shared" ref="K58:K59" si="23">J58*G58</f>
        <v>22632.399999999998</v>
      </c>
      <c r="L58" s="106">
        <f t="shared" ref="L58:L59" si="24">K58+I58</f>
        <v>133575</v>
      </c>
    </row>
    <row r="59" spans="1:15" s="136" customFormat="1" ht="15" customHeight="1" x14ac:dyDescent="0.2">
      <c r="A59" s="129" t="s">
        <v>164</v>
      </c>
      <c r="B59" s="195" t="s">
        <v>165</v>
      </c>
      <c r="C59" s="131"/>
      <c r="D59" s="155">
        <v>5</v>
      </c>
      <c r="E59" s="133" t="s">
        <v>73</v>
      </c>
      <c r="F59" s="134">
        <v>3123</v>
      </c>
      <c r="G59" s="137">
        <v>826</v>
      </c>
      <c r="H59" s="104">
        <v>9.1</v>
      </c>
      <c r="I59" s="104">
        <f t="shared" si="21"/>
        <v>28419.3</v>
      </c>
      <c r="J59" s="104">
        <f t="shared" si="22"/>
        <v>9.1</v>
      </c>
      <c r="K59" s="105">
        <f t="shared" si="23"/>
        <v>7516.5999999999995</v>
      </c>
      <c r="L59" s="106">
        <f t="shared" si="24"/>
        <v>35935.9</v>
      </c>
    </row>
    <row r="60" spans="1:15" s="128" customFormat="1" ht="15" customHeight="1" x14ac:dyDescent="0.2">
      <c r="A60" s="129" t="s">
        <v>166</v>
      </c>
      <c r="B60" s="130" t="s">
        <v>112</v>
      </c>
      <c r="C60" s="131"/>
      <c r="D60" s="155" t="s">
        <v>110</v>
      </c>
      <c r="E60" s="133" t="s">
        <v>73</v>
      </c>
      <c r="F60" s="134">
        <v>0</v>
      </c>
      <c r="G60" s="135" t="s">
        <v>111</v>
      </c>
      <c r="H60" s="134">
        <v>0</v>
      </c>
      <c r="I60" s="135" t="s">
        <v>111</v>
      </c>
      <c r="J60" s="104">
        <f t="shared" si="22"/>
        <v>0</v>
      </c>
      <c r="K60" s="135" t="s">
        <v>111</v>
      </c>
      <c r="L60" s="137"/>
      <c r="M60" s="136"/>
      <c r="N60" s="136"/>
      <c r="O60" s="136"/>
    </row>
    <row r="61" spans="1:15" s="136" customFormat="1" ht="15" customHeight="1" x14ac:dyDescent="0.2">
      <c r="A61" s="129" t="s">
        <v>167</v>
      </c>
      <c r="B61" s="130" t="s">
        <v>113</v>
      </c>
      <c r="C61" s="131"/>
      <c r="D61" s="155">
        <v>29</v>
      </c>
      <c r="E61" s="133" t="s">
        <v>73</v>
      </c>
      <c r="F61" s="134">
        <v>1405</v>
      </c>
      <c r="G61" s="137">
        <v>496</v>
      </c>
      <c r="H61" s="104">
        <v>18.3</v>
      </c>
      <c r="I61" s="104">
        <f>H61*F61</f>
        <v>25711.5</v>
      </c>
      <c r="J61" s="104">
        <f t="shared" si="22"/>
        <v>18.3</v>
      </c>
      <c r="K61" s="105">
        <f>J61*G61</f>
        <v>9076.8000000000011</v>
      </c>
      <c r="L61" s="106">
        <f>K61+I61</f>
        <v>34788.300000000003</v>
      </c>
    </row>
    <row r="62" spans="1:15" s="128" customFormat="1" ht="15" customHeight="1" x14ac:dyDescent="0.2">
      <c r="A62" s="129" t="s">
        <v>168</v>
      </c>
      <c r="B62" s="130" t="s">
        <v>115</v>
      </c>
      <c r="C62" s="131"/>
      <c r="D62" s="155" t="s">
        <v>110</v>
      </c>
      <c r="E62" s="133" t="s">
        <v>73</v>
      </c>
      <c r="F62" s="134">
        <v>0</v>
      </c>
      <c r="G62" s="135" t="s">
        <v>111</v>
      </c>
      <c r="H62" s="134">
        <v>0</v>
      </c>
      <c r="I62" s="135" t="s">
        <v>111</v>
      </c>
      <c r="J62" s="104">
        <f t="shared" si="22"/>
        <v>0</v>
      </c>
      <c r="K62" s="135" t="s">
        <v>111</v>
      </c>
      <c r="L62" s="137"/>
      <c r="M62" s="136"/>
      <c r="N62" s="136"/>
      <c r="O62" s="136"/>
    </row>
    <row r="63" spans="1:15" s="194" customFormat="1" ht="30.6" customHeight="1" x14ac:dyDescent="0.2">
      <c r="A63" s="168">
        <v>3.2</v>
      </c>
      <c r="B63" s="375" t="s">
        <v>169</v>
      </c>
      <c r="C63" s="376"/>
      <c r="D63" s="376"/>
      <c r="E63" s="376"/>
      <c r="F63" s="376"/>
      <c r="G63" s="376"/>
      <c r="H63" s="376"/>
      <c r="I63" s="376"/>
      <c r="J63" s="376"/>
      <c r="K63" s="377"/>
      <c r="M63" s="136"/>
      <c r="N63" s="136"/>
      <c r="O63" s="136"/>
    </row>
    <row r="64" spans="1:15" s="128" customFormat="1" ht="15" customHeight="1" x14ac:dyDescent="0.2">
      <c r="A64" s="129" t="s">
        <v>170</v>
      </c>
      <c r="B64" s="195" t="s">
        <v>165</v>
      </c>
      <c r="C64" s="131"/>
      <c r="D64" s="155" t="s">
        <v>110</v>
      </c>
      <c r="E64" s="133" t="s">
        <v>73</v>
      </c>
      <c r="F64" s="134">
        <v>0</v>
      </c>
      <c r="G64" s="135" t="s">
        <v>111</v>
      </c>
      <c r="H64" s="134">
        <v>0</v>
      </c>
      <c r="I64" s="135" t="s">
        <v>111</v>
      </c>
      <c r="J64" s="104">
        <f t="shared" ref="J64:J66" si="25">H64</f>
        <v>0</v>
      </c>
      <c r="K64" s="135" t="s">
        <v>111</v>
      </c>
      <c r="L64" s="137"/>
      <c r="M64" s="136"/>
      <c r="N64" s="136"/>
      <c r="O64" s="136"/>
    </row>
    <row r="65" spans="1:15" s="128" customFormat="1" ht="15" customHeight="1" x14ac:dyDescent="0.2">
      <c r="A65" s="129" t="s">
        <v>171</v>
      </c>
      <c r="B65" s="130" t="s">
        <v>112</v>
      </c>
      <c r="C65" s="131"/>
      <c r="D65" s="155">
        <v>10</v>
      </c>
      <c r="E65" s="133" t="s">
        <v>73</v>
      </c>
      <c r="F65" s="134">
        <v>1900</v>
      </c>
      <c r="G65" s="137">
        <v>413</v>
      </c>
      <c r="H65" s="104">
        <v>15</v>
      </c>
      <c r="I65" s="104">
        <f>H65*F65</f>
        <v>28500</v>
      </c>
      <c r="J65" s="104">
        <f t="shared" si="25"/>
        <v>15</v>
      </c>
      <c r="K65" s="105">
        <f>J65*G65</f>
        <v>6195</v>
      </c>
      <c r="L65" s="106">
        <f>K65+I65</f>
        <v>34695</v>
      </c>
      <c r="M65" s="136"/>
      <c r="N65" s="136"/>
      <c r="O65" s="136"/>
    </row>
    <row r="66" spans="1:15" s="136" customFormat="1" ht="15" customHeight="1" x14ac:dyDescent="0.2">
      <c r="A66" s="129" t="s">
        <v>172</v>
      </c>
      <c r="B66" s="130" t="s">
        <v>113</v>
      </c>
      <c r="C66" s="131"/>
      <c r="D66" s="155">
        <v>15</v>
      </c>
      <c r="E66" s="133" t="s">
        <v>73</v>
      </c>
      <c r="F66" s="134">
        <v>1405</v>
      </c>
      <c r="G66" s="137">
        <v>413</v>
      </c>
      <c r="H66" s="104">
        <v>0</v>
      </c>
      <c r="I66" s="104">
        <f>H66*F66</f>
        <v>0</v>
      </c>
      <c r="J66" s="104">
        <f t="shared" si="25"/>
        <v>0</v>
      </c>
      <c r="K66" s="105">
        <f>J66*G66</f>
        <v>0</v>
      </c>
      <c r="L66" s="106">
        <f>K66+I66</f>
        <v>0</v>
      </c>
    </row>
    <row r="67" spans="1:15" s="194" customFormat="1" ht="15" customHeight="1" x14ac:dyDescent="0.2">
      <c r="A67" s="168">
        <v>3.3</v>
      </c>
      <c r="B67" s="375" t="s">
        <v>173</v>
      </c>
      <c r="C67" s="376"/>
      <c r="D67" s="376"/>
      <c r="E67" s="376"/>
      <c r="F67" s="376"/>
      <c r="G67" s="376"/>
      <c r="H67" s="376"/>
      <c r="I67" s="376"/>
      <c r="J67" s="376"/>
      <c r="K67" s="377"/>
      <c r="L67" s="137"/>
      <c r="M67" s="136"/>
      <c r="N67" s="136"/>
      <c r="O67" s="136"/>
    </row>
    <row r="68" spans="1:15" s="128" customFormat="1" ht="15" customHeight="1" x14ac:dyDescent="0.2">
      <c r="A68" s="178" t="s">
        <v>174</v>
      </c>
      <c r="B68" s="169" t="s">
        <v>175</v>
      </c>
      <c r="C68" s="196"/>
      <c r="D68" s="197"/>
      <c r="E68" s="198"/>
      <c r="F68" s="143"/>
      <c r="G68" s="143"/>
      <c r="H68" s="143"/>
      <c r="I68" s="143"/>
      <c r="J68" s="143"/>
      <c r="K68" s="144" t="s">
        <v>176</v>
      </c>
      <c r="L68" s="137"/>
      <c r="M68" s="136"/>
      <c r="N68" s="136"/>
      <c r="O68" s="136"/>
    </row>
    <row r="69" spans="1:15" s="128" customFormat="1" ht="15" customHeight="1" x14ac:dyDescent="0.2">
      <c r="A69" s="199" t="s">
        <v>177</v>
      </c>
      <c r="B69" s="195" t="s">
        <v>165</v>
      </c>
      <c r="C69" s="200"/>
      <c r="D69" s="201">
        <v>5</v>
      </c>
      <c r="E69" s="202" t="s">
        <v>6</v>
      </c>
      <c r="F69" s="134">
        <v>7436</v>
      </c>
      <c r="G69" s="137">
        <v>826</v>
      </c>
      <c r="H69" s="104">
        <v>3</v>
      </c>
      <c r="I69" s="104">
        <f>H69*F69</f>
        <v>22308</v>
      </c>
      <c r="J69" s="104">
        <f t="shared" ref="J69" si="26">H69</f>
        <v>3</v>
      </c>
      <c r="K69" s="105">
        <f>J69*G69</f>
        <v>2478</v>
      </c>
      <c r="L69" s="106">
        <f>K69+I69</f>
        <v>24786</v>
      </c>
      <c r="M69" s="136"/>
      <c r="N69" s="136"/>
      <c r="O69" s="136"/>
    </row>
    <row r="70" spans="1:15" s="128" customFormat="1" ht="15" customHeight="1" x14ac:dyDescent="0.2">
      <c r="A70" s="178" t="s">
        <v>178</v>
      </c>
      <c r="B70" s="169" t="s">
        <v>179</v>
      </c>
      <c r="C70" s="196"/>
      <c r="D70" s="197"/>
      <c r="E70" s="198"/>
      <c r="F70" s="143"/>
      <c r="G70" s="143"/>
      <c r="H70" s="143"/>
      <c r="I70" s="143"/>
      <c r="J70" s="143"/>
      <c r="K70" s="144"/>
      <c r="L70" s="137"/>
      <c r="M70" s="136"/>
      <c r="N70" s="136"/>
      <c r="O70" s="136"/>
    </row>
    <row r="71" spans="1:15" s="128" customFormat="1" ht="15" customHeight="1" x14ac:dyDescent="0.2">
      <c r="A71" s="199" t="s">
        <v>180</v>
      </c>
      <c r="B71" s="195" t="s">
        <v>163</v>
      </c>
      <c r="C71" s="200"/>
      <c r="D71" s="201">
        <v>2</v>
      </c>
      <c r="E71" s="202" t="s">
        <v>6</v>
      </c>
      <c r="F71" s="134">
        <v>5784</v>
      </c>
      <c r="G71" s="137">
        <v>826</v>
      </c>
      <c r="H71" s="104">
        <v>1</v>
      </c>
      <c r="I71" s="104">
        <f>H71*F71</f>
        <v>5784</v>
      </c>
      <c r="J71" s="104">
        <f t="shared" ref="J71" si="27">H71</f>
        <v>1</v>
      </c>
      <c r="K71" s="105">
        <f>J71*G71</f>
        <v>826</v>
      </c>
      <c r="L71" s="106">
        <f>K71+I71</f>
        <v>6610</v>
      </c>
      <c r="M71" s="136"/>
      <c r="N71" s="136"/>
      <c r="O71" s="136"/>
    </row>
    <row r="72" spans="1:15" s="128" customFormat="1" ht="15" customHeight="1" x14ac:dyDescent="0.2">
      <c r="A72" s="178" t="s">
        <v>181</v>
      </c>
      <c r="B72" s="169" t="s">
        <v>182</v>
      </c>
      <c r="C72" s="196"/>
      <c r="D72" s="197"/>
      <c r="E72" s="198"/>
      <c r="F72" s="143"/>
      <c r="G72" s="143"/>
      <c r="H72" s="143"/>
      <c r="I72" s="143"/>
      <c r="J72" s="143"/>
      <c r="K72" s="144"/>
      <c r="L72" s="137"/>
      <c r="M72" s="136"/>
      <c r="N72" s="136"/>
      <c r="O72" s="136"/>
    </row>
    <row r="73" spans="1:15" s="128" customFormat="1" ht="15" customHeight="1" x14ac:dyDescent="0.2">
      <c r="A73" s="199" t="s">
        <v>183</v>
      </c>
      <c r="B73" s="195" t="s">
        <v>163</v>
      </c>
      <c r="C73" s="200"/>
      <c r="D73" s="201">
        <v>1</v>
      </c>
      <c r="E73" s="202" t="s">
        <v>7</v>
      </c>
      <c r="F73" s="134">
        <v>6197</v>
      </c>
      <c r="G73" s="137">
        <v>826</v>
      </c>
      <c r="H73" s="104">
        <v>4</v>
      </c>
      <c r="I73" s="104">
        <f t="shared" ref="I73:I75" si="28">H73*F73</f>
        <v>24788</v>
      </c>
      <c r="J73" s="104">
        <f t="shared" ref="J73:J75" si="29">H73</f>
        <v>4</v>
      </c>
      <c r="K73" s="105">
        <f t="shared" ref="K73:K75" si="30">J73*G73</f>
        <v>3304</v>
      </c>
      <c r="L73" s="106">
        <f t="shared" ref="L73:L75" si="31">K73+I73</f>
        <v>28092</v>
      </c>
      <c r="M73" s="136"/>
      <c r="N73" s="136"/>
      <c r="O73" s="136"/>
    </row>
    <row r="74" spans="1:15" s="128" customFormat="1" ht="25.5" customHeight="1" x14ac:dyDescent="0.2">
      <c r="A74" s="203">
        <v>3.4</v>
      </c>
      <c r="B74" s="378" t="s">
        <v>184</v>
      </c>
      <c r="C74" s="379"/>
      <c r="D74" s="201">
        <v>1</v>
      </c>
      <c r="E74" s="133" t="s">
        <v>9</v>
      </c>
      <c r="F74" s="134">
        <v>26440</v>
      </c>
      <c r="G74" s="137">
        <v>6610</v>
      </c>
      <c r="H74" s="104">
        <v>1</v>
      </c>
      <c r="I74" s="104">
        <f t="shared" si="28"/>
        <v>26440</v>
      </c>
      <c r="J74" s="104">
        <f t="shared" si="29"/>
        <v>1</v>
      </c>
      <c r="K74" s="105">
        <f t="shared" si="30"/>
        <v>6610</v>
      </c>
      <c r="L74" s="106">
        <f t="shared" si="31"/>
        <v>33050</v>
      </c>
      <c r="M74" s="136"/>
      <c r="N74" s="136"/>
      <c r="O74" s="136"/>
    </row>
    <row r="75" spans="1:15" s="128" customFormat="1" ht="25.5" customHeight="1" thickBot="1" x14ac:dyDescent="0.25">
      <c r="A75" s="203">
        <v>3.5</v>
      </c>
      <c r="B75" s="378" t="s">
        <v>185</v>
      </c>
      <c r="C75" s="379"/>
      <c r="D75" s="201">
        <v>1</v>
      </c>
      <c r="E75" s="133" t="s">
        <v>9</v>
      </c>
      <c r="F75" s="134">
        <v>0</v>
      </c>
      <c r="G75" s="137">
        <v>12394</v>
      </c>
      <c r="H75" s="104">
        <v>1</v>
      </c>
      <c r="I75" s="104">
        <f t="shared" si="28"/>
        <v>0</v>
      </c>
      <c r="J75" s="104">
        <f t="shared" si="29"/>
        <v>1</v>
      </c>
      <c r="K75" s="105">
        <f t="shared" si="30"/>
        <v>12394</v>
      </c>
      <c r="L75" s="106">
        <f t="shared" si="31"/>
        <v>12394</v>
      </c>
      <c r="M75" s="136"/>
      <c r="N75" s="136"/>
      <c r="O75" s="136"/>
    </row>
    <row r="76" spans="1:15" s="128" customFormat="1" ht="15" customHeight="1" thickBot="1" x14ac:dyDescent="0.25">
      <c r="A76" s="380" t="s">
        <v>13</v>
      </c>
      <c r="B76" s="381"/>
      <c r="C76" s="381"/>
      <c r="D76" s="381"/>
      <c r="E76" s="382"/>
      <c r="F76" s="159"/>
      <c r="G76" s="160">
        <f>SUM(G58:G75)</f>
        <v>24456</v>
      </c>
      <c r="H76" s="159"/>
      <c r="I76" s="160">
        <f>SUM(I58:I75)</f>
        <v>272893.40000000002</v>
      </c>
      <c r="J76" s="161"/>
      <c r="K76" s="160">
        <f>SUM(K58:K75)</f>
        <v>71032.799999999988</v>
      </c>
      <c r="L76" s="160">
        <f>SUM(L58:L75)</f>
        <v>343926.2</v>
      </c>
      <c r="M76" s="136"/>
      <c r="N76" s="136"/>
      <c r="O76" s="136"/>
    </row>
    <row r="77" spans="1:15" s="128" customFormat="1" ht="14.45" customHeight="1" x14ac:dyDescent="0.2">
      <c r="A77" s="204">
        <v>4</v>
      </c>
      <c r="B77" s="205" t="s">
        <v>186</v>
      </c>
      <c r="C77" s="206"/>
      <c r="D77" s="207"/>
      <c r="E77" s="208"/>
      <c r="F77" s="29"/>
      <c r="G77" s="29"/>
      <c r="H77" s="29"/>
      <c r="I77" s="29"/>
      <c r="J77" s="29"/>
      <c r="K77" s="209"/>
      <c r="M77" s="136"/>
      <c r="N77" s="136"/>
      <c r="O77" s="136"/>
    </row>
    <row r="78" spans="1:15" s="128" customFormat="1" ht="25.5" customHeight="1" x14ac:dyDescent="0.2">
      <c r="A78" s="210">
        <v>4.0999999999999996</v>
      </c>
      <c r="B78" s="373" t="s">
        <v>187</v>
      </c>
      <c r="C78" s="374"/>
      <c r="D78" s="211">
        <v>3</v>
      </c>
      <c r="E78" s="211" t="s">
        <v>6</v>
      </c>
      <c r="F78" s="134">
        <v>133854</v>
      </c>
      <c r="G78" s="137">
        <v>8263</v>
      </c>
      <c r="H78" s="104">
        <v>2</v>
      </c>
      <c r="I78" s="104">
        <f t="shared" ref="I78:I86" si="32">H78*F78</f>
        <v>267708</v>
      </c>
      <c r="J78" s="104">
        <f t="shared" ref="J78:J86" si="33">H78</f>
        <v>2</v>
      </c>
      <c r="K78" s="105">
        <f t="shared" ref="K78:K86" si="34">J78*G78</f>
        <v>16526</v>
      </c>
      <c r="L78" s="106">
        <f t="shared" ref="L78:L86" si="35">K78+I78</f>
        <v>284234</v>
      </c>
      <c r="M78" s="136"/>
      <c r="N78" s="136"/>
      <c r="O78" s="136"/>
    </row>
    <row r="79" spans="1:15" s="128" customFormat="1" ht="25.5" customHeight="1" x14ac:dyDescent="0.2">
      <c r="A79" s="210">
        <v>4.2</v>
      </c>
      <c r="B79" s="373" t="s">
        <v>188</v>
      </c>
      <c r="C79" s="374"/>
      <c r="D79" s="211">
        <v>3</v>
      </c>
      <c r="E79" s="211" t="s">
        <v>6</v>
      </c>
      <c r="F79" s="134">
        <v>82626</v>
      </c>
      <c r="G79" s="137">
        <v>6610</v>
      </c>
      <c r="H79" s="104">
        <v>4</v>
      </c>
      <c r="I79" s="104">
        <f t="shared" si="32"/>
        <v>330504</v>
      </c>
      <c r="J79" s="104">
        <f t="shared" si="33"/>
        <v>4</v>
      </c>
      <c r="K79" s="105">
        <f t="shared" si="34"/>
        <v>26440</v>
      </c>
      <c r="L79" s="106">
        <f t="shared" si="35"/>
        <v>356944</v>
      </c>
      <c r="M79" s="136"/>
      <c r="N79" s="136"/>
      <c r="O79" s="136"/>
    </row>
    <row r="80" spans="1:15" s="128" customFormat="1" ht="25.5" customHeight="1" x14ac:dyDescent="0.2">
      <c r="A80" s="210">
        <v>4.3</v>
      </c>
      <c r="B80" s="373" t="s">
        <v>189</v>
      </c>
      <c r="C80" s="374"/>
      <c r="D80" s="211">
        <v>3</v>
      </c>
      <c r="E80" s="211" t="s">
        <v>6</v>
      </c>
      <c r="F80" s="134">
        <v>45444</v>
      </c>
      <c r="G80" s="137">
        <v>6610</v>
      </c>
      <c r="H80" s="104"/>
      <c r="I80" s="104">
        <f t="shared" si="32"/>
        <v>0</v>
      </c>
      <c r="J80" s="104">
        <f t="shared" si="33"/>
        <v>0</v>
      </c>
      <c r="K80" s="105">
        <f t="shared" si="34"/>
        <v>0</v>
      </c>
      <c r="L80" s="106">
        <f t="shared" si="35"/>
        <v>0</v>
      </c>
      <c r="M80" s="136"/>
      <c r="N80" s="136"/>
      <c r="O80" s="136"/>
    </row>
    <row r="81" spans="1:15" s="128" customFormat="1" ht="25.5" customHeight="1" x14ac:dyDescent="0.2">
      <c r="A81" s="210">
        <v>4.4000000000000004</v>
      </c>
      <c r="B81" s="373" t="s">
        <v>190</v>
      </c>
      <c r="C81" s="374"/>
      <c r="D81" s="211">
        <v>1</v>
      </c>
      <c r="E81" s="211" t="s">
        <v>7</v>
      </c>
      <c r="F81" s="134">
        <v>59491</v>
      </c>
      <c r="G81" s="137">
        <v>4958</v>
      </c>
      <c r="H81" s="104">
        <v>1</v>
      </c>
      <c r="I81" s="104">
        <f t="shared" si="32"/>
        <v>59491</v>
      </c>
      <c r="J81" s="104">
        <f t="shared" si="33"/>
        <v>1</v>
      </c>
      <c r="K81" s="105">
        <f t="shared" si="34"/>
        <v>4958</v>
      </c>
      <c r="L81" s="106">
        <f t="shared" si="35"/>
        <v>64449</v>
      </c>
      <c r="M81" s="136"/>
      <c r="N81" s="136"/>
      <c r="O81" s="136"/>
    </row>
    <row r="82" spans="1:15" s="128" customFormat="1" ht="25.5" customHeight="1" x14ac:dyDescent="0.2">
      <c r="A82" s="210">
        <v>4.5</v>
      </c>
      <c r="B82" s="373" t="s">
        <v>191</v>
      </c>
      <c r="C82" s="374"/>
      <c r="D82" s="211">
        <v>3</v>
      </c>
      <c r="E82" s="211" t="s">
        <v>6</v>
      </c>
      <c r="F82" s="134">
        <v>11981</v>
      </c>
      <c r="G82" s="137">
        <v>826</v>
      </c>
      <c r="H82" s="104">
        <v>2</v>
      </c>
      <c r="I82" s="104">
        <f t="shared" si="32"/>
        <v>23962</v>
      </c>
      <c r="J82" s="104">
        <f t="shared" si="33"/>
        <v>2</v>
      </c>
      <c r="K82" s="105">
        <f t="shared" si="34"/>
        <v>1652</v>
      </c>
      <c r="L82" s="106">
        <f t="shared" si="35"/>
        <v>25614</v>
      </c>
      <c r="M82" s="136"/>
      <c r="N82" s="136"/>
      <c r="O82" s="136"/>
    </row>
    <row r="83" spans="1:15" s="128" customFormat="1" ht="15" customHeight="1" x14ac:dyDescent="0.2">
      <c r="A83" s="210">
        <v>4.5999999999999996</v>
      </c>
      <c r="B83" s="212" t="s">
        <v>192</v>
      </c>
      <c r="C83" s="213"/>
      <c r="D83" s="211">
        <v>3</v>
      </c>
      <c r="E83" s="211" t="s">
        <v>6</v>
      </c>
      <c r="F83" s="134">
        <v>6610</v>
      </c>
      <c r="G83" s="137">
        <v>413</v>
      </c>
      <c r="H83" s="104">
        <v>2</v>
      </c>
      <c r="I83" s="104">
        <f t="shared" si="32"/>
        <v>13220</v>
      </c>
      <c r="J83" s="104">
        <f t="shared" si="33"/>
        <v>2</v>
      </c>
      <c r="K83" s="105">
        <f t="shared" si="34"/>
        <v>826</v>
      </c>
      <c r="L83" s="106">
        <f t="shared" si="35"/>
        <v>14046</v>
      </c>
      <c r="M83" s="136"/>
      <c r="N83" s="136"/>
      <c r="O83" s="136"/>
    </row>
    <row r="84" spans="1:15" s="128" customFormat="1" ht="15" customHeight="1" x14ac:dyDescent="0.2">
      <c r="A84" s="210">
        <v>4.7</v>
      </c>
      <c r="B84" s="212" t="s">
        <v>193</v>
      </c>
      <c r="C84" s="213"/>
      <c r="D84" s="211">
        <v>5</v>
      </c>
      <c r="E84" s="211" t="s">
        <v>6</v>
      </c>
      <c r="F84" s="134">
        <v>9089</v>
      </c>
      <c r="G84" s="137">
        <v>826</v>
      </c>
      <c r="H84" s="104">
        <v>4</v>
      </c>
      <c r="I84" s="104">
        <f t="shared" si="32"/>
        <v>36356</v>
      </c>
      <c r="J84" s="104">
        <f t="shared" si="33"/>
        <v>4</v>
      </c>
      <c r="K84" s="105">
        <f t="shared" si="34"/>
        <v>3304</v>
      </c>
      <c r="L84" s="106">
        <f t="shared" si="35"/>
        <v>39660</v>
      </c>
      <c r="M84" s="136"/>
      <c r="N84" s="136"/>
      <c r="O84" s="136"/>
    </row>
    <row r="85" spans="1:15" s="128" customFormat="1" ht="25.5" customHeight="1" x14ac:dyDescent="0.2">
      <c r="A85" s="210">
        <v>4.8</v>
      </c>
      <c r="B85" s="378" t="s">
        <v>194</v>
      </c>
      <c r="C85" s="379"/>
      <c r="D85" s="214">
        <v>1</v>
      </c>
      <c r="E85" s="215" t="s">
        <v>7</v>
      </c>
      <c r="F85" s="134">
        <v>8474</v>
      </c>
      <c r="G85" s="137">
        <v>826</v>
      </c>
      <c r="H85" s="104">
        <v>1</v>
      </c>
      <c r="I85" s="104">
        <f t="shared" si="32"/>
        <v>8474</v>
      </c>
      <c r="J85" s="104">
        <f t="shared" si="33"/>
        <v>1</v>
      </c>
      <c r="K85" s="105">
        <f t="shared" si="34"/>
        <v>826</v>
      </c>
      <c r="L85" s="106">
        <f t="shared" si="35"/>
        <v>9300</v>
      </c>
      <c r="M85" s="136"/>
      <c r="N85" s="136"/>
      <c r="O85" s="136"/>
    </row>
    <row r="86" spans="1:15" s="174" customFormat="1" ht="25.5" customHeight="1" thickBot="1" x14ac:dyDescent="0.25">
      <c r="A86" s="210">
        <v>4.9000000000000004</v>
      </c>
      <c r="B86" s="373" t="s">
        <v>195</v>
      </c>
      <c r="C86" s="374"/>
      <c r="D86" s="211">
        <v>3</v>
      </c>
      <c r="E86" s="211" t="s">
        <v>6</v>
      </c>
      <c r="F86" s="134">
        <v>65274</v>
      </c>
      <c r="G86" s="137">
        <v>2479</v>
      </c>
      <c r="H86" s="104"/>
      <c r="I86" s="104">
        <f t="shared" si="32"/>
        <v>0</v>
      </c>
      <c r="J86" s="104">
        <f t="shared" si="33"/>
        <v>0</v>
      </c>
      <c r="K86" s="105">
        <f t="shared" si="34"/>
        <v>0</v>
      </c>
      <c r="L86" s="106">
        <f t="shared" si="35"/>
        <v>0</v>
      </c>
      <c r="M86" s="136"/>
      <c r="N86" s="136"/>
      <c r="O86" s="136"/>
    </row>
    <row r="87" spans="1:15" s="128" customFormat="1" ht="15" customHeight="1" thickBot="1" x14ac:dyDescent="0.25">
      <c r="A87" s="380" t="s">
        <v>13</v>
      </c>
      <c r="B87" s="381"/>
      <c r="C87" s="381"/>
      <c r="D87" s="381"/>
      <c r="E87" s="382"/>
      <c r="F87" s="159"/>
      <c r="G87" s="160">
        <f>SUM(G78:G86)</f>
        <v>31811</v>
      </c>
      <c r="H87" s="159"/>
      <c r="I87" s="160">
        <f>SUM(I78:I86)</f>
        <v>739715</v>
      </c>
      <c r="J87" s="161"/>
      <c r="K87" s="160">
        <f>SUM(K78:K86)</f>
        <v>54532</v>
      </c>
      <c r="L87" s="160">
        <f>SUM(L78:L86)</f>
        <v>794247</v>
      </c>
      <c r="M87" s="136"/>
      <c r="N87" s="136"/>
      <c r="O87" s="136"/>
    </row>
    <row r="88" spans="1:15" s="120" customFormat="1" ht="15" customHeight="1" x14ac:dyDescent="0.2">
      <c r="A88" s="216">
        <v>5</v>
      </c>
      <c r="B88" s="217" t="s">
        <v>3</v>
      </c>
      <c r="C88" s="218"/>
      <c r="D88" s="218"/>
      <c r="E88" s="219"/>
      <c r="F88" s="220"/>
      <c r="G88" s="125"/>
      <c r="H88" s="220"/>
      <c r="I88" s="125"/>
      <c r="J88" s="220"/>
      <c r="K88" s="126"/>
      <c r="M88" s="136"/>
      <c r="N88" s="136"/>
      <c r="O88" s="136"/>
    </row>
    <row r="89" spans="1:15" s="128" customFormat="1" ht="15" customHeight="1" x14ac:dyDescent="0.2">
      <c r="A89" s="221">
        <v>5.0999999999999996</v>
      </c>
      <c r="B89" s="222" t="s">
        <v>196</v>
      </c>
      <c r="C89" s="223"/>
      <c r="D89" s="201">
        <v>1</v>
      </c>
      <c r="E89" s="215" t="s">
        <v>9</v>
      </c>
      <c r="F89" s="134">
        <v>24788</v>
      </c>
      <c r="G89" s="137">
        <v>41313</v>
      </c>
      <c r="H89" s="104">
        <v>1</v>
      </c>
      <c r="I89" s="104">
        <f t="shared" ref="I89:I93" si="36">H89*F89</f>
        <v>24788</v>
      </c>
      <c r="J89" s="104">
        <f t="shared" ref="J89:J93" si="37">H89</f>
        <v>1</v>
      </c>
      <c r="K89" s="105">
        <f t="shared" ref="K89:K93" si="38">J89*G89</f>
        <v>41313</v>
      </c>
      <c r="L89" s="106">
        <f t="shared" ref="L89:L93" si="39">K89+I89</f>
        <v>66101</v>
      </c>
      <c r="M89" s="136"/>
      <c r="N89" s="136"/>
      <c r="O89" s="136"/>
    </row>
    <row r="90" spans="1:15" s="128" customFormat="1" ht="15" customHeight="1" x14ac:dyDescent="0.2">
      <c r="A90" s="221">
        <v>5.2</v>
      </c>
      <c r="B90" s="222" t="s">
        <v>10</v>
      </c>
      <c r="C90" s="223"/>
      <c r="D90" s="201">
        <v>1</v>
      </c>
      <c r="E90" s="215" t="s">
        <v>9</v>
      </c>
      <c r="F90" s="134">
        <v>0</v>
      </c>
      <c r="G90" s="137">
        <v>12394</v>
      </c>
      <c r="H90" s="104">
        <v>1</v>
      </c>
      <c r="I90" s="104">
        <f t="shared" si="36"/>
        <v>0</v>
      </c>
      <c r="J90" s="104">
        <f t="shared" si="37"/>
        <v>1</v>
      </c>
      <c r="K90" s="105">
        <f t="shared" si="38"/>
        <v>12394</v>
      </c>
      <c r="L90" s="106">
        <f t="shared" si="39"/>
        <v>12394</v>
      </c>
      <c r="M90" s="136"/>
      <c r="N90" s="136"/>
      <c r="O90" s="136"/>
    </row>
    <row r="91" spans="1:15" s="128" customFormat="1" ht="15" customHeight="1" x14ac:dyDescent="0.2">
      <c r="A91" s="221">
        <v>5.3</v>
      </c>
      <c r="B91" s="222" t="s">
        <v>11</v>
      </c>
      <c r="C91" s="223"/>
      <c r="D91" s="201">
        <v>1</v>
      </c>
      <c r="E91" s="215" t="s">
        <v>9</v>
      </c>
      <c r="F91" s="134">
        <v>0</v>
      </c>
      <c r="G91" s="137">
        <v>8263</v>
      </c>
      <c r="H91" s="104">
        <v>1</v>
      </c>
      <c r="I91" s="104">
        <f t="shared" si="36"/>
        <v>0</v>
      </c>
      <c r="J91" s="104">
        <f t="shared" si="37"/>
        <v>1</v>
      </c>
      <c r="K91" s="105">
        <f t="shared" si="38"/>
        <v>8263</v>
      </c>
      <c r="L91" s="106">
        <f t="shared" si="39"/>
        <v>8263</v>
      </c>
      <c r="M91" s="136"/>
      <c r="N91" s="136"/>
      <c r="O91" s="136"/>
    </row>
    <row r="92" spans="1:15" s="128" customFormat="1" ht="25.35" customHeight="1" x14ac:dyDescent="0.2">
      <c r="A92" s="221">
        <v>5.4</v>
      </c>
      <c r="B92" s="387" t="s">
        <v>197</v>
      </c>
      <c r="C92" s="388"/>
      <c r="D92" s="201">
        <v>1</v>
      </c>
      <c r="E92" s="215" t="s">
        <v>9</v>
      </c>
      <c r="F92" s="134">
        <v>16525</v>
      </c>
      <c r="G92" s="137">
        <v>2479</v>
      </c>
      <c r="H92" s="104">
        <v>1</v>
      </c>
      <c r="I92" s="104">
        <f t="shared" si="36"/>
        <v>16525</v>
      </c>
      <c r="J92" s="104">
        <f t="shared" si="37"/>
        <v>1</v>
      </c>
      <c r="K92" s="105">
        <f t="shared" si="38"/>
        <v>2479</v>
      </c>
      <c r="L92" s="106">
        <f t="shared" si="39"/>
        <v>19004</v>
      </c>
      <c r="M92" s="136"/>
      <c r="N92" s="136"/>
      <c r="O92" s="136"/>
    </row>
    <row r="93" spans="1:15" s="128" customFormat="1" ht="25.35" customHeight="1" thickBot="1" x14ac:dyDescent="0.25">
      <c r="A93" s="221">
        <v>5.5</v>
      </c>
      <c r="B93" s="387" t="s">
        <v>198</v>
      </c>
      <c r="C93" s="388"/>
      <c r="D93" s="201">
        <v>1</v>
      </c>
      <c r="E93" s="215" t="s">
        <v>9</v>
      </c>
      <c r="F93" s="134">
        <v>0</v>
      </c>
      <c r="G93" s="137">
        <v>9915</v>
      </c>
      <c r="H93" s="104">
        <v>1</v>
      </c>
      <c r="I93" s="104">
        <f t="shared" si="36"/>
        <v>0</v>
      </c>
      <c r="J93" s="104">
        <f t="shared" si="37"/>
        <v>1</v>
      </c>
      <c r="K93" s="105">
        <f t="shared" si="38"/>
        <v>9915</v>
      </c>
      <c r="L93" s="106">
        <f t="shared" si="39"/>
        <v>9915</v>
      </c>
      <c r="M93" s="136"/>
      <c r="N93" s="136"/>
      <c r="O93" s="136"/>
    </row>
    <row r="94" spans="1:15" s="128" customFormat="1" ht="15" customHeight="1" thickBot="1" x14ac:dyDescent="0.25">
      <c r="A94" s="370" t="s">
        <v>13</v>
      </c>
      <c r="B94" s="371"/>
      <c r="C94" s="371"/>
      <c r="D94" s="371"/>
      <c r="E94" s="372"/>
      <c r="F94" s="224"/>
      <c r="G94" s="160"/>
      <c r="H94" s="224"/>
      <c r="I94" s="160">
        <f>SUM(I89:I93)</f>
        <v>41313</v>
      </c>
      <c r="J94" s="225"/>
      <c r="K94" s="160">
        <f>SUM(K89:K93)</f>
        <v>74364</v>
      </c>
      <c r="L94" s="160">
        <f>SUM(L89:L93)</f>
        <v>115677</v>
      </c>
      <c r="M94" s="136"/>
      <c r="N94" s="136"/>
      <c r="O94" s="136"/>
    </row>
    <row r="95" spans="1:15" s="128" customFormat="1" ht="15" customHeight="1" thickBot="1" x14ac:dyDescent="0.25">
      <c r="A95" s="370" t="s">
        <v>103</v>
      </c>
      <c r="B95" s="371"/>
      <c r="C95" s="371"/>
      <c r="D95" s="371"/>
      <c r="E95" s="372"/>
      <c r="F95" s="224"/>
      <c r="G95" s="160"/>
      <c r="H95" s="224"/>
      <c r="I95" s="160">
        <f>I94+I87+I76+I55+I32</f>
        <v>1830834</v>
      </c>
      <c r="J95" s="225"/>
      <c r="K95" s="160">
        <f>K94+K87+K76+K55+K32</f>
        <v>322089.3</v>
      </c>
      <c r="L95" s="160">
        <f>L94+L87+L76+L55+L32</f>
        <v>2152923.2999999998</v>
      </c>
    </row>
  </sheetData>
  <mergeCells count="42">
    <mergeCell ref="B10:K10"/>
    <mergeCell ref="B27:C27"/>
    <mergeCell ref="B28:C28"/>
    <mergeCell ref="B29:C29"/>
    <mergeCell ref="B30:C30"/>
    <mergeCell ref="H6:L6"/>
    <mergeCell ref="H7:I7"/>
    <mergeCell ref="J7:K7"/>
    <mergeCell ref="L7:L8"/>
    <mergeCell ref="B6:C8"/>
    <mergeCell ref="D7:D8"/>
    <mergeCell ref="E7:E8"/>
    <mergeCell ref="F7:F8"/>
    <mergeCell ref="G7:G8"/>
    <mergeCell ref="D6:G6"/>
    <mergeCell ref="A87:E87"/>
    <mergeCell ref="B92:C92"/>
    <mergeCell ref="A55:E55"/>
    <mergeCell ref="B93:C93"/>
    <mergeCell ref="B57:K57"/>
    <mergeCell ref="B85:C85"/>
    <mergeCell ref="B31:C31"/>
    <mergeCell ref="A32:E32"/>
    <mergeCell ref="B51:C51"/>
    <mergeCell ref="B52:C52"/>
    <mergeCell ref="B54:C54"/>
    <mergeCell ref="A1:C1"/>
    <mergeCell ref="A4:K4"/>
    <mergeCell ref="A94:E94"/>
    <mergeCell ref="A95:E95"/>
    <mergeCell ref="B86:C86"/>
    <mergeCell ref="B63:K63"/>
    <mergeCell ref="B67:K67"/>
    <mergeCell ref="B74:C74"/>
    <mergeCell ref="B75:C75"/>
    <mergeCell ref="A76:E76"/>
    <mergeCell ref="B78:C78"/>
    <mergeCell ref="B79:C79"/>
    <mergeCell ref="B80:C80"/>
    <mergeCell ref="B81:C81"/>
    <mergeCell ref="B82:C82"/>
    <mergeCell ref="A6:A8"/>
  </mergeCells>
  <printOptions horizontalCentered="1" gridLinesSet="0"/>
  <pageMargins left="0.27559055118110237" right="0.23622047244094491" top="0.74803149606299213" bottom="0.43307086614173229" header="0.31496062992125984" footer="0.15748031496062992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7" max="11" man="1"/>
    <brk id="8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2024-08-31T10:10:47Z</cp:lastPrinted>
  <dcterms:created xsi:type="dcterms:W3CDTF">1996-06-15T06:21:35Z</dcterms:created>
  <dcterms:modified xsi:type="dcterms:W3CDTF">2024-11-05T10:15:21Z</dcterms:modified>
</cp:coreProperties>
</file>