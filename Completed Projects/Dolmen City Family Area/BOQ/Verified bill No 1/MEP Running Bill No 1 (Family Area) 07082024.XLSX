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 Management Folder\Danish\Mothers Room\1st Running Bill\Approved  MEP Bill &amp; V.O's\"/>
    </mc:Choice>
  </mc:AlternateContent>
  <bookViews>
    <workbookView xWindow="0" yWindow="0" windowWidth="20490" windowHeight="7650"/>
  </bookViews>
  <sheets>
    <sheet name="SUMM" sheetId="32" r:id="rId1"/>
    <sheet name="HVAC" sheetId="33" r:id="rId2"/>
    <sheet name="Fire" sheetId="36" r:id="rId3"/>
    <sheet name="Plumbing" sheetId="3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\\c" localSheetId="2">Fire!#REF!</definedName>
    <definedName name="\\c" localSheetId="1">HVAC!#REF!</definedName>
    <definedName name="\\c" localSheetId="3">Plumbing!#REF!</definedName>
    <definedName name="\\c" localSheetId="0">SUMM!#REF!</definedName>
    <definedName name="\\c">#REF!</definedName>
    <definedName name="\\x" localSheetId="2">Fire!#REF!</definedName>
    <definedName name="\\x" localSheetId="1">HVAC!#REF!</definedName>
    <definedName name="\\x" localSheetId="3">Plumbing!#REF!</definedName>
    <definedName name="\\x" localSheetId="0">SUMM!#REF!</definedName>
    <definedName name="\\x">#REF!</definedName>
    <definedName name="\\xx" localSheetId="1">#REF!</definedName>
    <definedName name="\\xx" localSheetId="0">#REF!</definedName>
    <definedName name="\\xx">#REF!</definedName>
    <definedName name="\d" localSheetId="1">'[1]6.1-TRI'!#REF!</definedName>
    <definedName name="\d" localSheetId="0">'[1]6.1-TRI'!#REF!</definedName>
    <definedName name="\d">'[1]6.1-TRI'!#REF!</definedName>
    <definedName name="\e" localSheetId="1">'[1]6.1-TRI'!#REF!</definedName>
    <definedName name="\e" localSheetId="0">'[1]6.1-TRI'!#REF!</definedName>
    <definedName name="\e">'[1]6.1-TRI'!#REF!</definedName>
    <definedName name="\i" localSheetId="1">'[1]6.1-TRI'!#REF!</definedName>
    <definedName name="\i" localSheetId="0">'[1]6.1-TRI'!#REF!</definedName>
    <definedName name="\i">'[1]6.1-TRI'!#REF!</definedName>
    <definedName name="\m" localSheetId="1">'[1]6.1-TRI'!#REF!</definedName>
    <definedName name="\m" localSheetId="0">'[1]6.1-TRI'!#REF!</definedName>
    <definedName name="\m">'[1]6.1-TRI'!#REF!</definedName>
    <definedName name="\X" localSheetId="1">'[2]URA-C1'!#REF!</definedName>
    <definedName name="\X" localSheetId="0">'[2]URA-C1'!#REF!</definedName>
    <definedName name="\X">'[2]URA-C1'!#REF!</definedName>
    <definedName name="\z" localSheetId="1">'[3]URA-C1'!#REF!</definedName>
    <definedName name="\z" localSheetId="0">'[3]URA-C1'!#REF!</definedName>
    <definedName name="\z">'[3]URA-C1'!#REF!</definedName>
    <definedName name="_" localSheetId="1" hidden="1">[4]대비표!#REF!</definedName>
    <definedName name="_" localSheetId="0" hidden="1">[4]대비표!#REF!</definedName>
    <definedName name="_" hidden="1">[4]대비표!#REF!</definedName>
    <definedName name="_____________________________________MS16" localSheetId="1">#REF!</definedName>
    <definedName name="_____________________________________MS16" localSheetId="0">#REF!</definedName>
    <definedName name="_____________________________________MS16">#REF!</definedName>
    <definedName name="_____________________________________MS6" localSheetId="1">#REF!</definedName>
    <definedName name="_____________________________________MS6" localSheetId="0">#REF!</definedName>
    <definedName name="_____________________________________MS6">#REF!</definedName>
    <definedName name="____________________________________MS16" localSheetId="1">#REF!</definedName>
    <definedName name="____________________________________MS16" localSheetId="0">#REF!</definedName>
    <definedName name="____________________________________MS16">#REF!</definedName>
    <definedName name="____________________________________MS6" localSheetId="1">#REF!</definedName>
    <definedName name="____________________________________MS6" localSheetId="0">#REF!</definedName>
    <definedName name="____________________________________MS6">#REF!</definedName>
    <definedName name="___________________________________MS16" localSheetId="1">#REF!</definedName>
    <definedName name="___________________________________MS16" localSheetId="0">#REF!</definedName>
    <definedName name="___________________________________MS16">#REF!</definedName>
    <definedName name="___________________________________MS6" localSheetId="1">#REF!</definedName>
    <definedName name="___________________________________MS6" localSheetId="0">#REF!</definedName>
    <definedName name="___________________________________MS6">#REF!</definedName>
    <definedName name="__________________________________MS16" localSheetId="1">#REF!</definedName>
    <definedName name="__________________________________MS16" localSheetId="0">#REF!</definedName>
    <definedName name="__________________________________MS16">#REF!</definedName>
    <definedName name="__________________________________MS6" localSheetId="1">#REF!</definedName>
    <definedName name="__________________________________MS6" localSheetId="0">#REF!</definedName>
    <definedName name="__________________________________MS6">#REF!</definedName>
    <definedName name="_________________________________MS16" localSheetId="1">#REF!</definedName>
    <definedName name="_________________________________MS16" localSheetId="0">#REF!</definedName>
    <definedName name="_________________________________MS16">#REF!</definedName>
    <definedName name="_________________________________MS6" localSheetId="1">#REF!</definedName>
    <definedName name="_________________________________MS6" localSheetId="0">#REF!</definedName>
    <definedName name="_________________________________MS6">#REF!</definedName>
    <definedName name="________________________________MS16" localSheetId="1">#REF!</definedName>
    <definedName name="________________________________MS16" localSheetId="0">#REF!</definedName>
    <definedName name="________________________________MS16">#REF!</definedName>
    <definedName name="________________________________MS6" localSheetId="1">#REF!</definedName>
    <definedName name="________________________________MS6" localSheetId="0">#REF!</definedName>
    <definedName name="________________________________MS6">#REF!</definedName>
    <definedName name="_______________________________MS16" localSheetId="1">#REF!</definedName>
    <definedName name="_______________________________MS16" localSheetId="0">#REF!</definedName>
    <definedName name="_______________________________MS16">#REF!</definedName>
    <definedName name="_______________________________MS6" localSheetId="1">#REF!</definedName>
    <definedName name="_______________________________MS6" localSheetId="0">#REF!</definedName>
    <definedName name="_______________________________MS6">#REF!</definedName>
    <definedName name="______________________________MS16" localSheetId="1">#REF!</definedName>
    <definedName name="______________________________MS16" localSheetId="0">#REF!</definedName>
    <definedName name="______________________________MS16">#REF!</definedName>
    <definedName name="______________________________MS6" localSheetId="1">#REF!</definedName>
    <definedName name="______________________________MS6" localSheetId="0">#REF!</definedName>
    <definedName name="______________________________MS6">#REF!</definedName>
    <definedName name="_____________________________MS16" localSheetId="1">#REF!</definedName>
    <definedName name="_____________________________MS16" localSheetId="0">#REF!</definedName>
    <definedName name="_____________________________MS16">#REF!</definedName>
    <definedName name="_____________________________MS6" localSheetId="1">#REF!</definedName>
    <definedName name="_____________________________MS6" localSheetId="0">#REF!</definedName>
    <definedName name="_____________________________MS6">#REF!</definedName>
    <definedName name="____________________________MS16" localSheetId="1">#REF!</definedName>
    <definedName name="____________________________MS16" localSheetId="0">#REF!</definedName>
    <definedName name="____________________________MS16">#REF!</definedName>
    <definedName name="____________________________MS6" localSheetId="1">#REF!</definedName>
    <definedName name="____________________________MS6" localSheetId="0">#REF!</definedName>
    <definedName name="____________________________MS6">#REF!</definedName>
    <definedName name="___________________________MS16" localSheetId="1">#REF!</definedName>
    <definedName name="___________________________MS16" localSheetId="0">#REF!</definedName>
    <definedName name="___________________________MS16">#REF!</definedName>
    <definedName name="___________________________MS6" localSheetId="1">#REF!</definedName>
    <definedName name="___________________________MS6" localSheetId="0">#REF!</definedName>
    <definedName name="___________________________MS6">#REF!</definedName>
    <definedName name="__________________________MS16" localSheetId="1">#REF!</definedName>
    <definedName name="__________________________MS16" localSheetId="0">#REF!</definedName>
    <definedName name="__________________________MS16">#REF!</definedName>
    <definedName name="__________________________MS6" localSheetId="1">#REF!</definedName>
    <definedName name="__________________________MS6" localSheetId="0">#REF!</definedName>
    <definedName name="__________________________MS6">#REF!</definedName>
    <definedName name="_________________________MS16" localSheetId="1">#REF!</definedName>
    <definedName name="_________________________MS16" localSheetId="0">#REF!</definedName>
    <definedName name="_________________________MS16">#REF!</definedName>
    <definedName name="_________________________MS6" localSheetId="1">#REF!</definedName>
    <definedName name="_________________________MS6" localSheetId="0">#REF!</definedName>
    <definedName name="_________________________MS6">#REF!</definedName>
    <definedName name="________________________MS16" localSheetId="1">#REF!</definedName>
    <definedName name="________________________MS16" localSheetId="0">#REF!</definedName>
    <definedName name="________________________MS16">#REF!</definedName>
    <definedName name="________________________MS6" localSheetId="1">#REF!</definedName>
    <definedName name="________________________MS6" localSheetId="0">#REF!</definedName>
    <definedName name="________________________MS6">#REF!</definedName>
    <definedName name="_______________________MS16" localSheetId="1">#REF!</definedName>
    <definedName name="_______________________MS16" localSheetId="0">#REF!</definedName>
    <definedName name="_______________________MS16">#REF!</definedName>
    <definedName name="_______________________MS6" localSheetId="1">#REF!</definedName>
    <definedName name="_______________________MS6" localSheetId="0">#REF!</definedName>
    <definedName name="_______________________MS6">#REF!</definedName>
    <definedName name="______________________MS16" localSheetId="1">#REF!</definedName>
    <definedName name="______________________MS16" localSheetId="0">#REF!</definedName>
    <definedName name="______________________MS16">#REF!</definedName>
    <definedName name="______________________MS6" localSheetId="1">#REF!</definedName>
    <definedName name="______________________MS6" localSheetId="0">#REF!</definedName>
    <definedName name="______________________MS6">#REF!</definedName>
    <definedName name="_____________________MS16" localSheetId="1">#REF!</definedName>
    <definedName name="_____________________MS16" localSheetId="0">#REF!</definedName>
    <definedName name="_____________________MS16">#REF!</definedName>
    <definedName name="_____________________MS6" localSheetId="1">#REF!</definedName>
    <definedName name="_____________________MS6" localSheetId="0">#REF!</definedName>
    <definedName name="_____________________MS6">#REF!</definedName>
    <definedName name="____________________MS16" localSheetId="1">#REF!</definedName>
    <definedName name="____________________MS16" localSheetId="0">#REF!</definedName>
    <definedName name="____________________MS16">#REF!</definedName>
    <definedName name="____________________MS6" localSheetId="1">#REF!</definedName>
    <definedName name="____________________MS6" localSheetId="0">#REF!</definedName>
    <definedName name="____________________MS6">#REF!</definedName>
    <definedName name="___________________MS16" localSheetId="1">#REF!</definedName>
    <definedName name="___________________MS16" localSheetId="0">#REF!</definedName>
    <definedName name="___________________MS16">#REF!</definedName>
    <definedName name="___________________MS6" localSheetId="1">#REF!</definedName>
    <definedName name="___________________MS6" localSheetId="0">#REF!</definedName>
    <definedName name="___________________MS6">#REF!</definedName>
    <definedName name="__________________MS16" localSheetId="1">#REF!</definedName>
    <definedName name="__________________MS16" localSheetId="0">#REF!</definedName>
    <definedName name="__________________MS16">#REF!</definedName>
    <definedName name="__________________MS6" localSheetId="1">#REF!</definedName>
    <definedName name="__________________MS6" localSheetId="0">#REF!</definedName>
    <definedName name="__________________MS6">#REF!</definedName>
    <definedName name="_________________DIV27" localSheetId="1">#REF!</definedName>
    <definedName name="_________________DIV27" localSheetId="0">#REF!</definedName>
    <definedName name="_________________DIV27">#REF!</definedName>
    <definedName name="_________________MS16" localSheetId="1">#REF!</definedName>
    <definedName name="_________________MS16" localSheetId="0">#REF!</definedName>
    <definedName name="_________________MS16">#REF!</definedName>
    <definedName name="_________________MS6" localSheetId="1">#REF!</definedName>
    <definedName name="_________________MS6" localSheetId="0">#REF!</definedName>
    <definedName name="_________________MS6">#REF!</definedName>
    <definedName name="________________DIV27" localSheetId="1">#REF!</definedName>
    <definedName name="________________DIV27" localSheetId="0">#REF!</definedName>
    <definedName name="________________DIV27">#REF!</definedName>
    <definedName name="________________MS16" localSheetId="1">#REF!</definedName>
    <definedName name="________________MS16" localSheetId="0">#REF!</definedName>
    <definedName name="________________MS16">#REF!</definedName>
    <definedName name="________________MS6" localSheetId="1">#REF!</definedName>
    <definedName name="________________MS6" localSheetId="0">#REF!</definedName>
    <definedName name="________________MS6">#REF!</definedName>
    <definedName name="_______________MS16" localSheetId="1">#REF!</definedName>
    <definedName name="_______________MS16" localSheetId="0">#REF!</definedName>
    <definedName name="_______________MS16">#REF!</definedName>
    <definedName name="_______________MS6" localSheetId="1">#REF!</definedName>
    <definedName name="_______________MS6" localSheetId="0">#REF!</definedName>
    <definedName name="_______________MS6">#REF!</definedName>
    <definedName name="______________DIV27" localSheetId="1">#REF!</definedName>
    <definedName name="______________DIV27" localSheetId="0">#REF!</definedName>
    <definedName name="______________DIV27">#REF!</definedName>
    <definedName name="______________MS16" localSheetId="1">#REF!</definedName>
    <definedName name="______________MS16" localSheetId="0">#REF!</definedName>
    <definedName name="______________MS16">#REF!</definedName>
    <definedName name="______________MS6" localSheetId="1">#REF!</definedName>
    <definedName name="______________MS6" localSheetId="0">#REF!</definedName>
    <definedName name="______________MS6">#REF!</definedName>
    <definedName name="_____________DIV27" localSheetId="1">#REF!</definedName>
    <definedName name="_____________DIV27" localSheetId="0">#REF!</definedName>
    <definedName name="_____________DIV27">#REF!</definedName>
    <definedName name="_____________MS16" localSheetId="1">#REF!</definedName>
    <definedName name="_____________MS16" localSheetId="0">#REF!</definedName>
    <definedName name="_____________MS16">#REF!</definedName>
    <definedName name="_____________MS6" localSheetId="1">#REF!</definedName>
    <definedName name="_____________MS6" localSheetId="0">#REF!</definedName>
    <definedName name="_____________MS6">#REF!</definedName>
    <definedName name="____________MS16" localSheetId="1">#REF!</definedName>
    <definedName name="____________MS16" localSheetId="0">#REF!</definedName>
    <definedName name="____________MS16">#REF!</definedName>
    <definedName name="____________MS6" localSheetId="1">#REF!</definedName>
    <definedName name="____________MS6" localSheetId="0">#REF!</definedName>
    <definedName name="____________MS6">#REF!</definedName>
    <definedName name="___________MS16" localSheetId="1">#REF!</definedName>
    <definedName name="___________MS16" localSheetId="0">#REF!</definedName>
    <definedName name="___________MS16">#REF!</definedName>
    <definedName name="___________MS6" localSheetId="1">#REF!</definedName>
    <definedName name="___________MS6" localSheetId="0">#REF!</definedName>
    <definedName name="___________MS6">#REF!</definedName>
    <definedName name="__________DIV27" localSheetId="1">#REF!</definedName>
    <definedName name="__________DIV27" localSheetId="0">#REF!</definedName>
    <definedName name="__________DIV27">#REF!</definedName>
    <definedName name="__________MS16" localSheetId="1">#REF!</definedName>
    <definedName name="__________MS16" localSheetId="0">#REF!</definedName>
    <definedName name="__________MS16">#REF!</definedName>
    <definedName name="__________MS6" localSheetId="1">#REF!</definedName>
    <definedName name="__________MS6" localSheetId="0">#REF!</definedName>
    <definedName name="__________MS6">#REF!</definedName>
    <definedName name="_________MS16" localSheetId="1">#REF!</definedName>
    <definedName name="_________MS16" localSheetId="0">#REF!</definedName>
    <definedName name="_________MS16">#REF!</definedName>
    <definedName name="_________MS6" localSheetId="1">#REF!</definedName>
    <definedName name="_________MS6" localSheetId="0">#REF!</definedName>
    <definedName name="_________MS6">#REF!</definedName>
    <definedName name="________MS16" localSheetId="1">#REF!</definedName>
    <definedName name="________MS16" localSheetId="0">#REF!</definedName>
    <definedName name="________MS16">#REF!</definedName>
    <definedName name="________MS6" localSheetId="1">#REF!</definedName>
    <definedName name="________MS6" localSheetId="0">#REF!</definedName>
    <definedName name="________MS6">#REF!</definedName>
    <definedName name="_______DIV27" localSheetId="1">#REF!</definedName>
    <definedName name="_______DIV27" localSheetId="0">#REF!</definedName>
    <definedName name="_______DIV27">#REF!</definedName>
    <definedName name="_______MS16" localSheetId="1">#REF!</definedName>
    <definedName name="_______MS16" localSheetId="0">#REF!</definedName>
    <definedName name="_______MS16">#REF!</definedName>
    <definedName name="_______MS6" localSheetId="1">#REF!</definedName>
    <definedName name="_______MS6" localSheetId="0">#REF!</definedName>
    <definedName name="_______MS6">#REF!</definedName>
    <definedName name="______DIV27" localSheetId="1">#REF!</definedName>
    <definedName name="______DIV27" localSheetId="0">#REF!</definedName>
    <definedName name="______DIV27">#REF!</definedName>
    <definedName name="______MS16" localSheetId="1">#REF!</definedName>
    <definedName name="______MS16" localSheetId="0">#REF!</definedName>
    <definedName name="______MS16">#REF!</definedName>
    <definedName name="______MS6" localSheetId="1">#REF!</definedName>
    <definedName name="______MS6" localSheetId="0">#REF!</definedName>
    <definedName name="______MS6">#REF!</definedName>
    <definedName name="_____DIV27" localSheetId="1">#REF!</definedName>
    <definedName name="_____DIV27" localSheetId="0">#REF!</definedName>
    <definedName name="_____DIV27">#REF!</definedName>
    <definedName name="_____MS16" localSheetId="1">#REF!</definedName>
    <definedName name="_____MS16" localSheetId="0">#REF!</definedName>
    <definedName name="_____MS16">#REF!</definedName>
    <definedName name="_____MS6" localSheetId="1">#REF!</definedName>
    <definedName name="_____MS6" localSheetId="0">#REF!</definedName>
    <definedName name="_____MS6">#REF!</definedName>
    <definedName name="____DIV27" localSheetId="1">#REF!</definedName>
    <definedName name="____DIV27" localSheetId="0">#REF!</definedName>
    <definedName name="____DIV27">#REF!</definedName>
    <definedName name="____MS16" localSheetId="1">#REF!</definedName>
    <definedName name="____MS16" localSheetId="0">#REF!</definedName>
    <definedName name="____MS16">#REF!</definedName>
    <definedName name="____MS6" localSheetId="1">#REF!</definedName>
    <definedName name="____MS6" localSheetId="0">#REF!</definedName>
    <definedName name="____MS6">#REF!</definedName>
    <definedName name="___1__x_1_1" localSheetId="1">#REF!</definedName>
    <definedName name="___1__x_1_1" localSheetId="0">#REF!</definedName>
    <definedName name="___1__x_1_1">#REF!</definedName>
    <definedName name="___DIV27" localSheetId="1">#REF!</definedName>
    <definedName name="___DIV27" localSheetId="0">#REF!</definedName>
    <definedName name="___DIV27">#REF!</definedName>
    <definedName name="___MS16" localSheetId="1">#REF!</definedName>
    <definedName name="___MS16" localSheetId="0">#REF!</definedName>
    <definedName name="___MS16">#REF!</definedName>
    <definedName name="___MS6" localSheetId="1">#REF!</definedName>
    <definedName name="___MS6" localSheetId="0">#REF!</definedName>
    <definedName name="___MS6">#REF!</definedName>
    <definedName name="__1__x_1_1" localSheetId="1">#REF!</definedName>
    <definedName name="__1__x_1_1" localSheetId="0">#REF!</definedName>
    <definedName name="__1__x_1_1">#REF!</definedName>
    <definedName name="__10Excel_BuiltIn_Print_Area_16_1" localSheetId="1">#REF!</definedName>
    <definedName name="__10Excel_BuiltIn_Print_Area_16_1" localSheetId="0">#REF!</definedName>
    <definedName name="__10Excel_BuiltIn_Print_Area_16_1">#REF!</definedName>
    <definedName name="__11Excel_BuiltIn_Print_Area_17_1" localSheetId="1">#REF!</definedName>
    <definedName name="__11Excel_BuiltIn_Print_Area_17_1" localSheetId="0">#REF!</definedName>
    <definedName name="__11Excel_BuiltIn_Print_Area_17_1">#REF!</definedName>
    <definedName name="__123Graph_A" localSheetId="1" hidden="1">[5]SUM!#REF!</definedName>
    <definedName name="__123Graph_A" localSheetId="0" hidden="1">[5]SUM!#REF!</definedName>
    <definedName name="__123Graph_A" hidden="1">[5]SUM!#REF!</definedName>
    <definedName name="__123Graph_ACURRENT" localSheetId="1" hidden="1">[6]FitOutConfCentre!#REF!</definedName>
    <definedName name="__123Graph_ACURRENT" localSheetId="0" hidden="1">[6]FitOutConfCentre!#REF!</definedName>
    <definedName name="__123Graph_ACURRENT" hidden="1">[6]FitOutConfCentre!#REF!</definedName>
    <definedName name="__123Graph_B" localSheetId="1" hidden="1">[5]SUM!#REF!</definedName>
    <definedName name="__123Graph_B" localSheetId="0" hidden="1">[5]SUM!#REF!</definedName>
    <definedName name="__123Graph_B" hidden="1">[5]SUM!#REF!</definedName>
    <definedName name="__123Graph_BCURRENT" hidden="1">[7]MOS!$C$6:$C$15</definedName>
    <definedName name="__123Graph_C" hidden="1">[7]MOS!$D$6:$D$15</definedName>
    <definedName name="__123Graph_CCURRENT" hidden="1">[7]MOS!$D$6:$D$15</definedName>
    <definedName name="__123Graph_D" hidden="1">[7]MOS!$E$6:$E$15</definedName>
    <definedName name="__123Graph_DCURRENT" hidden="1">[7]MOS!$E$6:$E$15</definedName>
    <definedName name="__123Graph_E" hidden="1">[7]MOS!$F$6:$F$15</definedName>
    <definedName name="__123Graph_ECURRENT" hidden="1">[7]MOS!$F$6:$F$15</definedName>
    <definedName name="__123Graph_F" hidden="1">[7]MOS!$G$6:$G$15</definedName>
    <definedName name="__123Graph_FCURRENT" hidden="1">[7]MOS!$G$6:$G$15</definedName>
    <definedName name="__123Graph_X" localSheetId="1" hidden="1">[8]FORM5!#REF!</definedName>
    <definedName name="__123Graph_X" localSheetId="0" hidden="1">[8]FORM5!#REF!</definedName>
    <definedName name="__123Graph_X" hidden="1">[8]FORM5!#REF!</definedName>
    <definedName name="__123grapp" localSheetId="1" hidden="1">[6]FitOutConfCentre!#REF!</definedName>
    <definedName name="__123grapp" localSheetId="0" hidden="1">[6]FitOutConfCentre!#REF!</definedName>
    <definedName name="__123grapp" hidden="1">[6]FitOutConfCentre!#REF!</definedName>
    <definedName name="__12Excel_BuiltIn_Print_Area_20_1" localSheetId="1">#REF!</definedName>
    <definedName name="__12Excel_BuiltIn_Print_Area_20_1" localSheetId="0">#REF!</definedName>
    <definedName name="__12Excel_BuiltIn_Print_Area_20_1">#REF!</definedName>
    <definedName name="__13Excel_BuiltIn_Print_Area_6_1" localSheetId="1">#REF!</definedName>
    <definedName name="__13Excel_BuiltIn_Print_Area_6_1" localSheetId="0">#REF!</definedName>
    <definedName name="__13Excel_BuiltIn_Print_Area_6_1">#REF!</definedName>
    <definedName name="__14Excel_BuiltIn_Print_Area_7_1" localSheetId="1">#REF!</definedName>
    <definedName name="__14Excel_BuiltIn_Print_Area_7_1" localSheetId="0">#REF!</definedName>
    <definedName name="__14Excel_BuiltIn_Print_Area_7_1">#REF!</definedName>
    <definedName name="__15Excel_BuiltIn_Print_Area_9_1" localSheetId="1">#REF!</definedName>
    <definedName name="__15Excel_BuiltIn_Print_Area_9_1" localSheetId="0">#REF!</definedName>
    <definedName name="__15Excel_BuiltIn_Print_Area_9_1">#REF!</definedName>
    <definedName name="__16Excel_BuiltIn_Print_Titles_1_1" localSheetId="1">#REF!</definedName>
    <definedName name="__16Excel_BuiltIn_Print_Titles_1_1" localSheetId="0">#REF!</definedName>
    <definedName name="__16Excel_BuiltIn_Print_Titles_1_1">#REF!</definedName>
    <definedName name="__3__x_10_1_1" localSheetId="1">#REF!</definedName>
    <definedName name="__3__x_10_1_1" localSheetId="0">#REF!</definedName>
    <definedName name="__3__x_10_1_1">#REF!</definedName>
    <definedName name="__4Excel_BuiltIn_Print_Area_1_1" localSheetId="1">#REF!</definedName>
    <definedName name="__4Excel_BuiltIn_Print_Area_1_1" localSheetId="0">#REF!</definedName>
    <definedName name="__4Excel_BuiltIn_Print_Area_1_1">#REF!</definedName>
    <definedName name="__5Excel_BuiltIn_Print_Area_11_1" localSheetId="1">#REF!</definedName>
    <definedName name="__5Excel_BuiltIn_Print_Area_11_1" localSheetId="0">#REF!</definedName>
    <definedName name="__5Excel_BuiltIn_Print_Area_11_1">#REF!</definedName>
    <definedName name="__6Excel_BuiltIn_Print_Area_12_1" localSheetId="1">#REF!</definedName>
    <definedName name="__6Excel_BuiltIn_Print_Area_12_1" localSheetId="0">#REF!</definedName>
    <definedName name="__6Excel_BuiltIn_Print_Area_12_1">#REF!</definedName>
    <definedName name="__7Excel_BuiltIn_Print_Area_13_1" localSheetId="1">#REF!</definedName>
    <definedName name="__7Excel_BuiltIn_Print_Area_13_1" localSheetId="0">#REF!</definedName>
    <definedName name="__7Excel_BuiltIn_Print_Area_13_1">#REF!</definedName>
    <definedName name="__8Excel_BuiltIn_Print_Area_14_1" localSheetId="1">#REF!</definedName>
    <definedName name="__8Excel_BuiltIn_Print_Area_14_1" localSheetId="0">#REF!</definedName>
    <definedName name="__8Excel_BuiltIn_Print_Area_14_1">#REF!</definedName>
    <definedName name="__9Excel_BuiltIn_Print_Area_15_1" localSheetId="1">#REF!</definedName>
    <definedName name="__9Excel_BuiltIn_Print_Area_15_1" localSheetId="0">#REF!</definedName>
    <definedName name="__9Excel_BuiltIn_Print_Area_15_1">#REF!</definedName>
    <definedName name="__DIV27" localSheetId="1">#REF!</definedName>
    <definedName name="__DIV27" localSheetId="0">#REF!</definedName>
    <definedName name="__DIV27">#REF!</definedName>
    <definedName name="__MS16" localSheetId="1">#REF!</definedName>
    <definedName name="__MS16" localSheetId="0">#REF!</definedName>
    <definedName name="__MS16">#REF!</definedName>
    <definedName name="__MS6" localSheetId="1">#REF!</definedName>
    <definedName name="__MS6" localSheetId="0">#REF!</definedName>
    <definedName name="__MS6">#REF!</definedName>
    <definedName name="__x" localSheetId="1">#REF!</definedName>
    <definedName name="__x" localSheetId="0">#REF!</definedName>
    <definedName name="__x">#REF!</definedName>
    <definedName name="__x_1" localSheetId="1">#REF!</definedName>
    <definedName name="__x_1" localSheetId="0">#REF!</definedName>
    <definedName name="__x_1">#REF!</definedName>
    <definedName name="__x_1_1" localSheetId="1">#REF!</definedName>
    <definedName name="__x_1_1" localSheetId="0">#REF!</definedName>
    <definedName name="__x_1_1">#REF!</definedName>
    <definedName name="__x_10" localSheetId="1">#REF!</definedName>
    <definedName name="__x_10" localSheetId="0">#REF!</definedName>
    <definedName name="__x_10">#REF!</definedName>
    <definedName name="__x_10_1" localSheetId="1">#REF!</definedName>
    <definedName name="__x_10_1" localSheetId="0">#REF!</definedName>
    <definedName name="__x_10_1">#REF!</definedName>
    <definedName name="__x_11" localSheetId="1">#REF!</definedName>
    <definedName name="__x_11" localSheetId="0">#REF!</definedName>
    <definedName name="__x_11">#REF!</definedName>
    <definedName name="__x_11_1" localSheetId="1">#REF!</definedName>
    <definedName name="__x_11_1" localSheetId="0">#REF!</definedName>
    <definedName name="__x_11_1">#REF!</definedName>
    <definedName name="__x_12" localSheetId="1">#REF!</definedName>
    <definedName name="__x_12" localSheetId="0">#REF!</definedName>
    <definedName name="__x_12">#REF!</definedName>
    <definedName name="__x_12_1" localSheetId="1">#REF!</definedName>
    <definedName name="__x_12_1" localSheetId="0">#REF!</definedName>
    <definedName name="__x_12_1">#REF!</definedName>
    <definedName name="__x_13" localSheetId="1">#REF!</definedName>
    <definedName name="__x_13" localSheetId="0">#REF!</definedName>
    <definedName name="__x_13">#REF!</definedName>
    <definedName name="__x_14" localSheetId="1">#REF!</definedName>
    <definedName name="__x_14" localSheetId="0">#REF!</definedName>
    <definedName name="__x_14">#REF!</definedName>
    <definedName name="__x_14_1" localSheetId="1">#REF!</definedName>
    <definedName name="__x_14_1" localSheetId="0">#REF!</definedName>
    <definedName name="__x_14_1">#REF!</definedName>
    <definedName name="__x_15" localSheetId="1">#REF!</definedName>
    <definedName name="__x_15" localSheetId="0">#REF!</definedName>
    <definedName name="__x_15">#REF!</definedName>
    <definedName name="__x_16" localSheetId="1">#REF!</definedName>
    <definedName name="__x_16" localSheetId="0">#REF!</definedName>
    <definedName name="__x_16">#REF!</definedName>
    <definedName name="__x_16_1" localSheetId="1">#REF!</definedName>
    <definedName name="__x_16_1" localSheetId="0">#REF!</definedName>
    <definedName name="__x_16_1">#REF!</definedName>
    <definedName name="__x_17" localSheetId="1">#REF!</definedName>
    <definedName name="__x_17" localSheetId="0">#REF!</definedName>
    <definedName name="__x_17">#REF!</definedName>
    <definedName name="__x_18" localSheetId="1">#REF!</definedName>
    <definedName name="__x_18" localSheetId="0">#REF!</definedName>
    <definedName name="__x_18">#REF!</definedName>
    <definedName name="__x_19" localSheetId="1">#REF!</definedName>
    <definedName name="__x_19" localSheetId="0">#REF!</definedName>
    <definedName name="__x_19">#REF!</definedName>
    <definedName name="__x_19_1" localSheetId="1">#REF!</definedName>
    <definedName name="__x_19_1" localSheetId="0">#REF!</definedName>
    <definedName name="__x_19_1">#REF!</definedName>
    <definedName name="__x_19_18" localSheetId="1">#REF!</definedName>
    <definedName name="__x_19_18" localSheetId="0">#REF!</definedName>
    <definedName name="__x_19_18">#REF!</definedName>
    <definedName name="__x_2" localSheetId="1">#REF!</definedName>
    <definedName name="__x_2" localSheetId="0">#REF!</definedName>
    <definedName name="__x_2">#REF!</definedName>
    <definedName name="__x_20" localSheetId="1">#REF!</definedName>
    <definedName name="__x_20" localSheetId="0">#REF!</definedName>
    <definedName name="__x_20">#REF!</definedName>
    <definedName name="__x_20_1" localSheetId="1">#REF!</definedName>
    <definedName name="__x_20_1" localSheetId="0">#REF!</definedName>
    <definedName name="__x_20_1">#REF!</definedName>
    <definedName name="__x_21" localSheetId="1">#REF!</definedName>
    <definedName name="__x_21" localSheetId="0">#REF!</definedName>
    <definedName name="__x_21">#REF!</definedName>
    <definedName name="__x_21_1" localSheetId="1">#REF!</definedName>
    <definedName name="__x_21_1" localSheetId="0">#REF!</definedName>
    <definedName name="__x_21_1">#REF!</definedName>
    <definedName name="__x_22" localSheetId="1">#REF!</definedName>
    <definedName name="__x_22" localSheetId="0">#REF!</definedName>
    <definedName name="__x_22">#REF!</definedName>
    <definedName name="__x_23" localSheetId="1">#REF!</definedName>
    <definedName name="__x_23" localSheetId="0">#REF!</definedName>
    <definedName name="__x_23">#REF!</definedName>
    <definedName name="__x_24" localSheetId="1">#REF!</definedName>
    <definedName name="__x_24" localSheetId="0">#REF!</definedName>
    <definedName name="__x_24">#REF!</definedName>
    <definedName name="__x_25" localSheetId="1">#REF!</definedName>
    <definedName name="__x_25" localSheetId="0">#REF!</definedName>
    <definedName name="__x_25">#REF!</definedName>
    <definedName name="__x_26" localSheetId="1">#REF!</definedName>
    <definedName name="__x_26" localSheetId="0">#REF!</definedName>
    <definedName name="__x_26">#REF!</definedName>
    <definedName name="__x_27" localSheetId="1">#REF!</definedName>
    <definedName name="__x_27" localSheetId="0">#REF!</definedName>
    <definedName name="__x_27">#REF!</definedName>
    <definedName name="__x_3" localSheetId="1">#REF!</definedName>
    <definedName name="__x_3" localSheetId="0">#REF!</definedName>
    <definedName name="__x_3">#REF!</definedName>
    <definedName name="__x_3_1" localSheetId="1">#REF!</definedName>
    <definedName name="__x_3_1" localSheetId="0">#REF!</definedName>
    <definedName name="__x_3_1">#REF!</definedName>
    <definedName name="__x_5" localSheetId="1">#REF!</definedName>
    <definedName name="__x_5" localSheetId="0">#REF!</definedName>
    <definedName name="__x_5">#REF!</definedName>
    <definedName name="__x_6" localSheetId="1">#REF!</definedName>
    <definedName name="__x_6" localSheetId="0">#REF!</definedName>
    <definedName name="__x_6">#REF!</definedName>
    <definedName name="__x_7" localSheetId="1">#REF!</definedName>
    <definedName name="__x_7" localSheetId="0">#REF!</definedName>
    <definedName name="__x_7">#REF!</definedName>
    <definedName name="__x_7_1" localSheetId="1">#REF!</definedName>
    <definedName name="__x_7_1" localSheetId="0">#REF!</definedName>
    <definedName name="__x_7_1">#REF!</definedName>
    <definedName name="__x_7_8" localSheetId="1">#REF!</definedName>
    <definedName name="__x_7_8" localSheetId="0">#REF!</definedName>
    <definedName name="__x_7_8">#REF!</definedName>
    <definedName name="__x_8" localSheetId="1">#REF!</definedName>
    <definedName name="__x_8" localSheetId="0">#REF!</definedName>
    <definedName name="__x_8">#REF!</definedName>
    <definedName name="__x_9" localSheetId="1">#REF!</definedName>
    <definedName name="__x_9" localSheetId="0">#REF!</definedName>
    <definedName name="__x_9">#REF!</definedName>
    <definedName name="_1__x_1_1" localSheetId="1">#REF!</definedName>
    <definedName name="_1__x_1_1" localSheetId="0">#REF!</definedName>
    <definedName name="_1__x_1_1">#REF!</definedName>
    <definedName name="_1_0_0_F" localSheetId="1" hidden="1">[4]대비표!#REF!</definedName>
    <definedName name="_1_0_0_F" localSheetId="0" hidden="1">[4]대비표!#REF!</definedName>
    <definedName name="_1_0_0_F" hidden="1">[4]대비표!#REF!</definedName>
    <definedName name="_10Excel_BuiltIn_Print_Area_1_1" localSheetId="1">#REF!</definedName>
    <definedName name="_10Excel_BuiltIn_Print_Area_1_1" localSheetId="0">#REF!</definedName>
    <definedName name="_10Excel_BuiltIn_Print_Area_1_1">#REF!</definedName>
    <definedName name="_10Excel_BuiltIn_Print_Area_15_1" localSheetId="1">#REF!</definedName>
    <definedName name="_10Excel_BuiltIn_Print_Area_15_1" localSheetId="0">#REF!</definedName>
    <definedName name="_10Excel_BuiltIn_Print_Area_15_1">#REF!</definedName>
    <definedName name="_10Excel_BuiltIn_Print_Area_16_1" localSheetId="1">#REF!</definedName>
    <definedName name="_10Excel_BuiltIn_Print_Area_16_1" localSheetId="0">#REF!</definedName>
    <definedName name="_10Excel_BuiltIn_Print_Area_16_1">#REF!</definedName>
    <definedName name="_11Excel_BuiltIn_Print_Area_11_1" localSheetId="1">#REF!</definedName>
    <definedName name="_11Excel_BuiltIn_Print_Area_11_1" localSheetId="0">#REF!</definedName>
    <definedName name="_11Excel_BuiltIn_Print_Area_11_1">#REF!</definedName>
    <definedName name="_11Excel_BuiltIn_Print_Area_16_1" localSheetId="1">#REF!</definedName>
    <definedName name="_11Excel_BuiltIn_Print_Area_16_1" localSheetId="0">#REF!</definedName>
    <definedName name="_11Excel_BuiltIn_Print_Area_16_1">#REF!</definedName>
    <definedName name="_11Excel_BuiltIn_Print_Area_17_1" localSheetId="1">#REF!</definedName>
    <definedName name="_11Excel_BuiltIn_Print_Area_17_1" localSheetId="0">#REF!</definedName>
    <definedName name="_11Excel_BuiltIn_Print_Area_17_1">#REF!</definedName>
    <definedName name="_12Excel_BuiltIn_Print_Area_12_1" localSheetId="1">#REF!</definedName>
    <definedName name="_12Excel_BuiltIn_Print_Area_12_1" localSheetId="0">#REF!</definedName>
    <definedName name="_12Excel_BuiltIn_Print_Area_12_1">#REF!</definedName>
    <definedName name="_12Excel_BuiltIn_Print_Area_17_1" localSheetId="1">#REF!</definedName>
    <definedName name="_12Excel_BuiltIn_Print_Area_17_1" localSheetId="0">#REF!</definedName>
    <definedName name="_12Excel_BuiltIn_Print_Area_17_1">#REF!</definedName>
    <definedName name="_12Excel_BuiltIn_Print_Area_20_1" localSheetId="1">#REF!</definedName>
    <definedName name="_12Excel_BuiltIn_Print_Area_20_1" localSheetId="0">#REF!</definedName>
    <definedName name="_12Excel_BuiltIn_Print_Area_20_1">#REF!</definedName>
    <definedName name="_13Excel_BuiltIn_Print_Area_13_1" localSheetId="1">#REF!</definedName>
    <definedName name="_13Excel_BuiltIn_Print_Area_13_1" localSheetId="0">#REF!</definedName>
    <definedName name="_13Excel_BuiltIn_Print_Area_13_1">#REF!</definedName>
    <definedName name="_13Excel_BuiltIn_Print_Area_20_1" localSheetId="1">#REF!</definedName>
    <definedName name="_13Excel_BuiltIn_Print_Area_20_1" localSheetId="0">#REF!</definedName>
    <definedName name="_13Excel_BuiltIn_Print_Area_20_1">#REF!</definedName>
    <definedName name="_13Excel_BuiltIn_Print_Area_4_1" localSheetId="1">#REF!</definedName>
    <definedName name="_13Excel_BuiltIn_Print_Area_4_1" localSheetId="0">#REF!</definedName>
    <definedName name="_13Excel_BuiltIn_Print_Area_4_1">#REF!</definedName>
    <definedName name="_13Excel_BuiltIn_Print_Area_6_1" localSheetId="1">#REF!</definedName>
    <definedName name="_13Excel_BuiltIn_Print_Area_6_1" localSheetId="0">#REF!</definedName>
    <definedName name="_13Excel_BuiltIn_Print_Area_6_1">#REF!</definedName>
    <definedName name="_14__x_10_1_1" localSheetId="1">'[9]Section 26 52 00'!#REF!</definedName>
    <definedName name="_14__x_10_1_1" localSheetId="0">'[9]Section 26 52 00'!#REF!</definedName>
    <definedName name="_14__x_10_1_1">'[9]Section 26 52 00'!#REF!</definedName>
    <definedName name="_14Excel_BuiltIn_Print_Area_14_1" localSheetId="1">#REF!</definedName>
    <definedName name="_14Excel_BuiltIn_Print_Area_14_1" localSheetId="0">#REF!</definedName>
    <definedName name="_14Excel_BuiltIn_Print_Area_14_1">#REF!</definedName>
    <definedName name="_14Excel_BuiltIn_Print_Area_6_1" localSheetId="1">#REF!</definedName>
    <definedName name="_14Excel_BuiltIn_Print_Area_6_1" localSheetId="0">#REF!</definedName>
    <definedName name="_14Excel_BuiltIn_Print_Area_6_1">#REF!</definedName>
    <definedName name="_14Excel_BuiltIn_Print_Area_7_1" localSheetId="1">#REF!</definedName>
    <definedName name="_14Excel_BuiltIn_Print_Area_7_1" localSheetId="0">#REF!</definedName>
    <definedName name="_14Excel_BuiltIn_Print_Area_7_1">#REF!</definedName>
    <definedName name="_15Excel_BuiltIn_Print_Area_1_1" localSheetId="1">#REF!</definedName>
    <definedName name="_15Excel_BuiltIn_Print_Area_1_1" localSheetId="0">#REF!</definedName>
    <definedName name="_15Excel_BuiltIn_Print_Area_1_1">#REF!</definedName>
    <definedName name="_15Excel_BuiltIn_Print_Area_15_1" localSheetId="1">#REF!</definedName>
    <definedName name="_15Excel_BuiltIn_Print_Area_15_1" localSheetId="0">#REF!</definedName>
    <definedName name="_15Excel_BuiltIn_Print_Area_15_1">#REF!</definedName>
    <definedName name="_15Excel_BuiltIn_Print_Area_6_1" localSheetId="1">#REF!</definedName>
    <definedName name="_15Excel_BuiltIn_Print_Area_6_1" localSheetId="0">#REF!</definedName>
    <definedName name="_15Excel_BuiltIn_Print_Area_6_1">#REF!</definedName>
    <definedName name="_15Excel_BuiltIn_Print_Area_7_1" localSheetId="1">#REF!</definedName>
    <definedName name="_15Excel_BuiltIn_Print_Area_7_1" localSheetId="0">#REF!</definedName>
    <definedName name="_15Excel_BuiltIn_Print_Area_7_1">#REF!</definedName>
    <definedName name="_15Excel_BuiltIn_Print_Area_9_1" localSheetId="1">#REF!</definedName>
    <definedName name="_15Excel_BuiltIn_Print_Area_9_1" localSheetId="0">#REF!</definedName>
    <definedName name="_15Excel_BuiltIn_Print_Area_9_1">#REF!</definedName>
    <definedName name="_16Excel_BuiltIn_Print_Area_11_1" localSheetId="1">#REF!</definedName>
    <definedName name="_16Excel_BuiltIn_Print_Area_11_1" localSheetId="0">#REF!</definedName>
    <definedName name="_16Excel_BuiltIn_Print_Area_11_1">#REF!</definedName>
    <definedName name="_16Excel_BuiltIn_Print_Area_16_1" localSheetId="1">#REF!</definedName>
    <definedName name="_16Excel_BuiltIn_Print_Area_16_1" localSheetId="0">#REF!</definedName>
    <definedName name="_16Excel_BuiltIn_Print_Area_16_1">#REF!</definedName>
    <definedName name="_16Excel_BuiltIn_Print_Area_7_1" localSheetId="1">#REF!</definedName>
    <definedName name="_16Excel_BuiltIn_Print_Area_7_1" localSheetId="0">#REF!</definedName>
    <definedName name="_16Excel_BuiltIn_Print_Area_7_1">#REF!</definedName>
    <definedName name="_16Excel_BuiltIn_Print_Area_9_1" localSheetId="1">#REF!</definedName>
    <definedName name="_16Excel_BuiltIn_Print_Area_9_1" localSheetId="0">#REF!</definedName>
    <definedName name="_16Excel_BuiltIn_Print_Area_9_1">#REF!</definedName>
    <definedName name="_16Excel_BuiltIn_Print_Titles_1_1" localSheetId="1">#REF!</definedName>
    <definedName name="_16Excel_BuiltIn_Print_Titles_1_1" localSheetId="0">#REF!</definedName>
    <definedName name="_16Excel_BuiltIn_Print_Titles_1_1">#REF!</definedName>
    <definedName name="_17Excel_BuiltIn_Print_Area_12_1" localSheetId="1">#REF!</definedName>
    <definedName name="_17Excel_BuiltIn_Print_Area_12_1" localSheetId="0">#REF!</definedName>
    <definedName name="_17Excel_BuiltIn_Print_Area_12_1">#REF!</definedName>
    <definedName name="_17Excel_BuiltIn_Print_Area_17_1" localSheetId="1">#REF!</definedName>
    <definedName name="_17Excel_BuiltIn_Print_Area_17_1" localSheetId="0">#REF!</definedName>
    <definedName name="_17Excel_BuiltIn_Print_Area_17_1">#REF!</definedName>
    <definedName name="_17Excel_BuiltIn_Print_Area_9_1" localSheetId="1">#REF!</definedName>
    <definedName name="_17Excel_BuiltIn_Print_Area_9_1" localSheetId="0">#REF!</definedName>
    <definedName name="_17Excel_BuiltIn_Print_Area_9_1">#REF!</definedName>
    <definedName name="_17Excel_BuiltIn_Print_Titles_1_1" localSheetId="1">#REF!</definedName>
    <definedName name="_17Excel_BuiltIn_Print_Titles_1_1" localSheetId="0">#REF!</definedName>
    <definedName name="_17Excel_BuiltIn_Print_Titles_1_1">#REF!</definedName>
    <definedName name="_17Excel_BuiltIn_Print_Titles_10_1" localSheetId="1">#REF!</definedName>
    <definedName name="_17Excel_BuiltIn_Print_Titles_10_1" localSheetId="0">#REF!</definedName>
    <definedName name="_17Excel_BuiltIn_Print_Titles_10_1">#REF!</definedName>
    <definedName name="_17Excel_BuiltIn_Print_Titles_11_1" localSheetId="1">#REF!</definedName>
    <definedName name="_17Excel_BuiltIn_Print_Titles_11_1" localSheetId="0">#REF!</definedName>
    <definedName name="_17Excel_BuiltIn_Print_Titles_11_1">#REF!</definedName>
    <definedName name="_18Excel_BuiltIn_Print_Area_13_1" localSheetId="1">#REF!</definedName>
    <definedName name="_18Excel_BuiltIn_Print_Area_13_1" localSheetId="0">#REF!</definedName>
    <definedName name="_18Excel_BuiltIn_Print_Area_13_1">#REF!</definedName>
    <definedName name="_18Excel_BuiltIn_Print_Area_20_1" localSheetId="1">#REF!</definedName>
    <definedName name="_18Excel_BuiltIn_Print_Area_20_1" localSheetId="0">#REF!</definedName>
    <definedName name="_18Excel_BuiltIn_Print_Area_20_1">#REF!</definedName>
    <definedName name="_18Excel_BuiltIn_Print_Titles_1_1" localSheetId="1">#REF!</definedName>
    <definedName name="_18Excel_BuiltIn_Print_Titles_1_1" localSheetId="0">#REF!</definedName>
    <definedName name="_18Excel_BuiltIn_Print_Titles_1_1">#REF!</definedName>
    <definedName name="_18Excel_BuiltIn_Print_Titles_10_1" localSheetId="1">#REF!</definedName>
    <definedName name="_18Excel_BuiltIn_Print_Titles_10_1" localSheetId="0">#REF!</definedName>
    <definedName name="_18Excel_BuiltIn_Print_Titles_10_1">#REF!</definedName>
    <definedName name="_18Excel_BuiltIn_Print_Titles_11_1" localSheetId="1">#REF!</definedName>
    <definedName name="_18Excel_BuiltIn_Print_Titles_11_1" localSheetId="0">#REF!</definedName>
    <definedName name="_18Excel_BuiltIn_Print_Titles_11_1">#REF!</definedName>
    <definedName name="_18Excel_BuiltIn_Print_Titles_13_1" localSheetId="1">#REF!</definedName>
    <definedName name="_18Excel_BuiltIn_Print_Titles_13_1" localSheetId="0">#REF!</definedName>
    <definedName name="_18Excel_BuiltIn_Print_Titles_13_1">#REF!</definedName>
    <definedName name="_19Excel_BuiltIn_Print_Area_14_1" localSheetId="1">#REF!</definedName>
    <definedName name="_19Excel_BuiltIn_Print_Area_14_1" localSheetId="0">#REF!</definedName>
    <definedName name="_19Excel_BuiltIn_Print_Area_14_1">#REF!</definedName>
    <definedName name="_19Excel_BuiltIn_Print_Titles_11_1" localSheetId="1">#REF!</definedName>
    <definedName name="_19Excel_BuiltIn_Print_Titles_11_1" localSheetId="0">#REF!</definedName>
    <definedName name="_19Excel_BuiltIn_Print_Titles_11_1">#REF!</definedName>
    <definedName name="_19Excel_BuiltIn_Print_Titles_13_1" localSheetId="1">#REF!</definedName>
    <definedName name="_19Excel_BuiltIn_Print_Titles_13_1" localSheetId="0">#REF!</definedName>
    <definedName name="_19Excel_BuiltIn_Print_Titles_13_1">#REF!</definedName>
    <definedName name="_19Excel_BuiltIn_Print_Titles_14_1" localSheetId="1">#REF!</definedName>
    <definedName name="_19Excel_BuiltIn_Print_Titles_14_1" localSheetId="0">#REF!</definedName>
    <definedName name="_19Excel_BuiltIn_Print_Titles_14_1">#REF!</definedName>
    <definedName name="_1F" localSheetId="1" hidden="1">[4]대비표!#REF!</definedName>
    <definedName name="_1F" localSheetId="0" hidden="1">[4]대비표!#REF!</definedName>
    <definedName name="_1F" hidden="1">[4]대비표!#REF!</definedName>
    <definedName name="_2_0_0_F" localSheetId="1" hidden="1">[4]대비표!#REF!</definedName>
    <definedName name="_2_0_0_F" localSheetId="0" hidden="1">[4]대비표!#REF!</definedName>
    <definedName name="_2_0_0_F" hidden="1">[4]대비표!#REF!</definedName>
    <definedName name="_20Excel_BuiltIn_Print_Area_15_1" localSheetId="1">#REF!</definedName>
    <definedName name="_20Excel_BuiltIn_Print_Area_15_1" localSheetId="0">#REF!</definedName>
    <definedName name="_20Excel_BuiltIn_Print_Area_15_1">#REF!</definedName>
    <definedName name="_20Excel_BuiltIn_Print_Area_4_1" localSheetId="1">#REF!</definedName>
    <definedName name="_20Excel_BuiltIn_Print_Area_4_1" localSheetId="0">#REF!</definedName>
    <definedName name="_20Excel_BuiltIn_Print_Area_4_1">#REF!</definedName>
    <definedName name="_20Excel_BuiltIn_Print_Titles_10_1" localSheetId="1">#REF!</definedName>
    <definedName name="_20Excel_BuiltIn_Print_Titles_10_1" localSheetId="0">#REF!</definedName>
    <definedName name="_20Excel_BuiltIn_Print_Titles_10_1">#REF!</definedName>
    <definedName name="_20Excel_BuiltIn_Print_Titles_13_1" localSheetId="1">#REF!</definedName>
    <definedName name="_20Excel_BuiltIn_Print_Titles_13_1" localSheetId="0">#REF!</definedName>
    <definedName name="_20Excel_BuiltIn_Print_Titles_13_1">#REF!</definedName>
    <definedName name="_20Excel_BuiltIn_Print_Titles_14_1" localSheetId="1">#REF!</definedName>
    <definedName name="_20Excel_BuiltIn_Print_Titles_14_1" localSheetId="0">#REF!</definedName>
    <definedName name="_20Excel_BuiltIn_Print_Titles_14_1">#REF!</definedName>
    <definedName name="_20Excel_BuiltIn_Print_Titles_15_1" localSheetId="1">#REF!</definedName>
    <definedName name="_20Excel_BuiltIn_Print_Titles_15_1" localSheetId="0">#REF!</definedName>
    <definedName name="_20Excel_BuiltIn_Print_Titles_15_1">#REF!</definedName>
    <definedName name="_21Excel_BuiltIn_Print_Area_16_1" localSheetId="1">#REF!</definedName>
    <definedName name="_21Excel_BuiltIn_Print_Area_16_1" localSheetId="0">#REF!</definedName>
    <definedName name="_21Excel_BuiltIn_Print_Area_16_1">#REF!</definedName>
    <definedName name="_21Excel_BuiltIn_Print_Area_6_1" localSheetId="1">#REF!</definedName>
    <definedName name="_21Excel_BuiltIn_Print_Area_6_1" localSheetId="0">#REF!</definedName>
    <definedName name="_21Excel_BuiltIn_Print_Area_6_1">#REF!</definedName>
    <definedName name="_21Excel_BuiltIn_Print_Titles_11_1" localSheetId="1">#REF!</definedName>
    <definedName name="_21Excel_BuiltIn_Print_Titles_11_1" localSheetId="0">#REF!</definedName>
    <definedName name="_21Excel_BuiltIn_Print_Titles_11_1">#REF!</definedName>
    <definedName name="_21Excel_BuiltIn_Print_Titles_14_1" localSheetId="1">#REF!</definedName>
    <definedName name="_21Excel_BuiltIn_Print_Titles_14_1" localSheetId="0">#REF!</definedName>
    <definedName name="_21Excel_BuiltIn_Print_Titles_14_1">#REF!</definedName>
    <definedName name="_21Excel_BuiltIn_Print_Titles_15_1" localSheetId="1">#REF!</definedName>
    <definedName name="_21Excel_BuiltIn_Print_Titles_15_1" localSheetId="0">#REF!</definedName>
    <definedName name="_21Excel_BuiltIn_Print_Titles_15_1">#REF!</definedName>
    <definedName name="_21Excel_BuiltIn_Print_Titles_16_1" localSheetId="1">#REF!</definedName>
    <definedName name="_21Excel_BuiltIn_Print_Titles_16_1" localSheetId="0">#REF!</definedName>
    <definedName name="_21Excel_BuiltIn_Print_Titles_16_1">#REF!</definedName>
    <definedName name="_22Excel_BuiltIn_Print_Area_17_1" localSheetId="1">#REF!</definedName>
    <definedName name="_22Excel_BuiltIn_Print_Area_17_1" localSheetId="0">#REF!</definedName>
    <definedName name="_22Excel_BuiltIn_Print_Area_17_1">#REF!</definedName>
    <definedName name="_22Excel_BuiltIn_Print_Area_7_1" localSheetId="1">#REF!</definedName>
    <definedName name="_22Excel_BuiltIn_Print_Area_7_1" localSheetId="0">#REF!</definedName>
    <definedName name="_22Excel_BuiltIn_Print_Area_7_1">#REF!</definedName>
    <definedName name="_22Excel_BuiltIn_Print_Titles_13_1" localSheetId="1">#REF!</definedName>
    <definedName name="_22Excel_BuiltIn_Print_Titles_13_1" localSheetId="0">#REF!</definedName>
    <definedName name="_22Excel_BuiltIn_Print_Titles_13_1">#REF!</definedName>
    <definedName name="_22Excel_BuiltIn_Print_Titles_15_1" localSheetId="1">#REF!</definedName>
    <definedName name="_22Excel_BuiltIn_Print_Titles_15_1" localSheetId="0">#REF!</definedName>
    <definedName name="_22Excel_BuiltIn_Print_Titles_15_1">#REF!</definedName>
    <definedName name="_22Excel_BuiltIn_Print_Titles_16_1" localSheetId="1">#REF!</definedName>
    <definedName name="_22Excel_BuiltIn_Print_Titles_16_1" localSheetId="0">#REF!</definedName>
    <definedName name="_22Excel_BuiltIn_Print_Titles_16_1">#REF!</definedName>
    <definedName name="_22Excel_BuiltIn_Print_Titles_17_1" localSheetId="1">#REF!</definedName>
    <definedName name="_22Excel_BuiltIn_Print_Titles_17_1" localSheetId="0">#REF!</definedName>
    <definedName name="_22Excel_BuiltIn_Print_Titles_17_1">#REF!</definedName>
    <definedName name="_23Excel_BuiltIn_Print_Area_20_1" localSheetId="1">#REF!</definedName>
    <definedName name="_23Excel_BuiltIn_Print_Area_20_1" localSheetId="0">#REF!</definedName>
    <definedName name="_23Excel_BuiltIn_Print_Area_20_1">#REF!</definedName>
    <definedName name="_23Excel_BuiltIn_Print_Area_9_1" localSheetId="1">#REF!</definedName>
    <definedName name="_23Excel_BuiltIn_Print_Area_9_1" localSheetId="0">#REF!</definedName>
    <definedName name="_23Excel_BuiltIn_Print_Area_9_1">#REF!</definedName>
    <definedName name="_23Excel_BuiltIn_Print_Titles_14_1" localSheetId="1">#REF!</definedName>
    <definedName name="_23Excel_BuiltIn_Print_Titles_14_1" localSheetId="0">#REF!</definedName>
    <definedName name="_23Excel_BuiltIn_Print_Titles_14_1">#REF!</definedName>
    <definedName name="_23Excel_BuiltIn_Print_Titles_16_1" localSheetId="1">#REF!</definedName>
    <definedName name="_23Excel_BuiltIn_Print_Titles_16_1" localSheetId="0">#REF!</definedName>
    <definedName name="_23Excel_BuiltIn_Print_Titles_16_1">#REF!</definedName>
    <definedName name="_23Excel_BuiltIn_Print_Titles_17_1" localSheetId="1">#REF!</definedName>
    <definedName name="_23Excel_BuiltIn_Print_Titles_17_1" localSheetId="0">#REF!</definedName>
    <definedName name="_23Excel_BuiltIn_Print_Titles_17_1">#REF!</definedName>
    <definedName name="_23Excel_BuiltIn_Print_Titles_3_1" localSheetId="1">#REF!</definedName>
    <definedName name="_23Excel_BuiltIn_Print_Titles_3_1" localSheetId="0">#REF!</definedName>
    <definedName name="_23Excel_BuiltIn_Print_Titles_3_1">#REF!</definedName>
    <definedName name="_24Excel_BuiltIn_Print_Area_6_1" localSheetId="1">#REF!</definedName>
    <definedName name="_24Excel_BuiltIn_Print_Area_6_1" localSheetId="0">#REF!</definedName>
    <definedName name="_24Excel_BuiltIn_Print_Area_6_1">#REF!</definedName>
    <definedName name="_24Excel_BuiltIn_Print_Titles_1_1" localSheetId="1">#REF!</definedName>
    <definedName name="_24Excel_BuiltIn_Print_Titles_1_1" localSheetId="0">#REF!</definedName>
    <definedName name="_24Excel_BuiltIn_Print_Titles_1_1">#REF!</definedName>
    <definedName name="_24Excel_BuiltIn_Print_Titles_15_1" localSheetId="1">#REF!</definedName>
    <definedName name="_24Excel_BuiltIn_Print_Titles_15_1" localSheetId="0">#REF!</definedName>
    <definedName name="_24Excel_BuiltIn_Print_Titles_15_1">#REF!</definedName>
    <definedName name="_24Excel_BuiltIn_Print_Titles_17_1" localSheetId="1">#REF!</definedName>
    <definedName name="_24Excel_BuiltIn_Print_Titles_17_1" localSheetId="0">#REF!</definedName>
    <definedName name="_24Excel_BuiltIn_Print_Titles_17_1">#REF!</definedName>
    <definedName name="_24Excel_BuiltIn_Print_Titles_19_1" localSheetId="1">#REF!</definedName>
    <definedName name="_24Excel_BuiltIn_Print_Titles_19_1" localSheetId="0">#REF!</definedName>
    <definedName name="_24Excel_BuiltIn_Print_Titles_19_1">#REF!</definedName>
    <definedName name="_24Excel_BuiltIn_Print_Titles_5_1" localSheetId="1">#REF!</definedName>
    <definedName name="_24Excel_BuiltIn_Print_Titles_5_1" localSheetId="0">#REF!</definedName>
    <definedName name="_24Excel_BuiltIn_Print_Titles_5_1">#REF!</definedName>
    <definedName name="_25Excel_BuiltIn_Print_Area_7_1" localSheetId="1">#REF!</definedName>
    <definedName name="_25Excel_BuiltIn_Print_Area_7_1" localSheetId="0">#REF!</definedName>
    <definedName name="_25Excel_BuiltIn_Print_Area_7_1">#REF!</definedName>
    <definedName name="_25Excel_BuiltIn_Print_Titles_10_1" localSheetId="1">#REF!</definedName>
    <definedName name="_25Excel_BuiltIn_Print_Titles_10_1" localSheetId="0">#REF!</definedName>
    <definedName name="_25Excel_BuiltIn_Print_Titles_10_1">#REF!</definedName>
    <definedName name="_25Excel_BuiltIn_Print_Titles_16_1" localSheetId="1">#REF!</definedName>
    <definedName name="_25Excel_BuiltIn_Print_Titles_16_1" localSheetId="0">#REF!</definedName>
    <definedName name="_25Excel_BuiltIn_Print_Titles_16_1">#REF!</definedName>
    <definedName name="_25Excel_BuiltIn_Print_Titles_19_1" localSheetId="1">#REF!</definedName>
    <definedName name="_25Excel_BuiltIn_Print_Titles_19_1" localSheetId="0">#REF!</definedName>
    <definedName name="_25Excel_BuiltIn_Print_Titles_19_1">#REF!</definedName>
    <definedName name="_25Excel_BuiltIn_Print_Titles_2_1" localSheetId="1">#REF!</definedName>
    <definedName name="_25Excel_BuiltIn_Print_Titles_2_1" localSheetId="0">#REF!</definedName>
    <definedName name="_25Excel_BuiltIn_Print_Titles_2_1">#REF!</definedName>
    <definedName name="_25Excel_BuiltIn_Print_Titles_6_1" localSheetId="1">#REF!</definedName>
    <definedName name="_25Excel_BuiltIn_Print_Titles_6_1" localSheetId="0">#REF!</definedName>
    <definedName name="_25Excel_BuiltIn_Print_Titles_6_1">#REF!</definedName>
    <definedName name="_26Excel_BuiltIn_Print_Area_9_1" localSheetId="1">#REF!</definedName>
    <definedName name="_26Excel_BuiltIn_Print_Area_9_1" localSheetId="0">#REF!</definedName>
    <definedName name="_26Excel_BuiltIn_Print_Area_9_1">#REF!</definedName>
    <definedName name="_26Excel_BuiltIn_Print_Titles_11_1" localSheetId="1">#REF!</definedName>
    <definedName name="_26Excel_BuiltIn_Print_Titles_11_1" localSheetId="0">#REF!</definedName>
    <definedName name="_26Excel_BuiltIn_Print_Titles_11_1">#REF!</definedName>
    <definedName name="_26Excel_BuiltIn_Print_Titles_17_1" localSheetId="1">#REF!</definedName>
    <definedName name="_26Excel_BuiltIn_Print_Titles_17_1" localSheetId="0">#REF!</definedName>
    <definedName name="_26Excel_BuiltIn_Print_Titles_17_1">#REF!</definedName>
    <definedName name="_26Excel_BuiltIn_Print_Titles_2_1" localSheetId="1">#REF!</definedName>
    <definedName name="_26Excel_BuiltIn_Print_Titles_2_1" localSheetId="0">#REF!</definedName>
    <definedName name="_26Excel_BuiltIn_Print_Titles_2_1">#REF!</definedName>
    <definedName name="_26Excel_BuiltIn_Print_Titles_3_1" localSheetId="1">#REF!</definedName>
    <definedName name="_26Excel_BuiltIn_Print_Titles_3_1" localSheetId="0">#REF!</definedName>
    <definedName name="_26Excel_BuiltIn_Print_Titles_3_1">#REF!</definedName>
    <definedName name="_26Excel_BuiltIn_Print_Titles_7_1" localSheetId="1">#REF!</definedName>
    <definedName name="_26Excel_BuiltIn_Print_Titles_7_1" localSheetId="0">#REF!</definedName>
    <definedName name="_26Excel_BuiltIn_Print_Titles_7_1">#REF!</definedName>
    <definedName name="_27Excel_BuiltIn_Print_Titles_1_1" localSheetId="1">#REF!</definedName>
    <definedName name="_27Excel_BuiltIn_Print_Titles_1_1" localSheetId="0">#REF!</definedName>
    <definedName name="_27Excel_BuiltIn_Print_Titles_1_1">#REF!</definedName>
    <definedName name="_27Excel_BuiltIn_Print_Titles_13_1" localSheetId="1">#REF!</definedName>
    <definedName name="_27Excel_BuiltIn_Print_Titles_13_1" localSheetId="0">#REF!</definedName>
    <definedName name="_27Excel_BuiltIn_Print_Titles_13_1">#REF!</definedName>
    <definedName name="_27Excel_BuiltIn_Print_Titles_3_1" localSheetId="1">#REF!</definedName>
    <definedName name="_27Excel_BuiltIn_Print_Titles_3_1" localSheetId="0">#REF!</definedName>
    <definedName name="_27Excel_BuiltIn_Print_Titles_3_1">#REF!</definedName>
    <definedName name="_27Excel_BuiltIn_Print_Titles_5_1" localSheetId="1">#REF!</definedName>
    <definedName name="_27Excel_BuiltIn_Print_Titles_5_1" localSheetId="0">#REF!</definedName>
    <definedName name="_27Excel_BuiltIn_Print_Titles_5_1">#REF!</definedName>
    <definedName name="_27Excel_BuiltIn_Print_Titles_8_1" localSheetId="1">#REF!</definedName>
    <definedName name="_27Excel_BuiltIn_Print_Titles_8_1" localSheetId="0">#REF!</definedName>
    <definedName name="_27Excel_BuiltIn_Print_Titles_8_1">#REF!</definedName>
    <definedName name="_28Excel_BuiltIn_Print_Titles_11_1" localSheetId="1">#REF!</definedName>
    <definedName name="_28Excel_BuiltIn_Print_Titles_11_1" localSheetId="0">#REF!</definedName>
    <definedName name="_28Excel_BuiltIn_Print_Titles_11_1">#REF!</definedName>
    <definedName name="_28Excel_BuiltIn_Print_Titles_14_1" localSheetId="1">#REF!</definedName>
    <definedName name="_28Excel_BuiltIn_Print_Titles_14_1" localSheetId="0">#REF!</definedName>
    <definedName name="_28Excel_BuiltIn_Print_Titles_14_1">#REF!</definedName>
    <definedName name="_28Excel_BuiltIn_Print_Titles_19_1" localSheetId="1">#REF!</definedName>
    <definedName name="_28Excel_BuiltIn_Print_Titles_19_1" localSheetId="0">#REF!</definedName>
    <definedName name="_28Excel_BuiltIn_Print_Titles_19_1">#REF!</definedName>
    <definedName name="_28Excel_BuiltIn_Print_Titles_4_1" localSheetId="1">#REF!</definedName>
    <definedName name="_28Excel_BuiltIn_Print_Titles_4_1" localSheetId="0">#REF!</definedName>
    <definedName name="_28Excel_BuiltIn_Print_Titles_4_1">#REF!</definedName>
    <definedName name="_28Excel_BuiltIn_Print_Titles_6_1" localSheetId="1">#REF!</definedName>
    <definedName name="_28Excel_BuiltIn_Print_Titles_6_1" localSheetId="0">#REF!</definedName>
    <definedName name="_28Excel_BuiltIn_Print_Titles_6_1">#REF!</definedName>
    <definedName name="_28Excel_BuiltIn_Print_Titles_9_1" localSheetId="1">#REF!</definedName>
    <definedName name="_28Excel_BuiltIn_Print_Titles_9_1" localSheetId="0">#REF!</definedName>
    <definedName name="_28Excel_BuiltIn_Print_Titles_9_1">#REF!</definedName>
    <definedName name="_29Excel_BuiltIn_Print_Titles_13_1" localSheetId="1">#REF!</definedName>
    <definedName name="_29Excel_BuiltIn_Print_Titles_13_1" localSheetId="0">#REF!</definedName>
    <definedName name="_29Excel_BuiltIn_Print_Titles_13_1">#REF!</definedName>
    <definedName name="_29Excel_BuiltIn_Print_Titles_15_1" localSheetId="1">#REF!</definedName>
    <definedName name="_29Excel_BuiltIn_Print_Titles_15_1" localSheetId="0">#REF!</definedName>
    <definedName name="_29Excel_BuiltIn_Print_Titles_15_1">#REF!</definedName>
    <definedName name="_29Excel_BuiltIn_Print_Titles_5_1" localSheetId="1">#REF!</definedName>
    <definedName name="_29Excel_BuiltIn_Print_Titles_5_1" localSheetId="0">#REF!</definedName>
    <definedName name="_29Excel_BuiltIn_Print_Titles_5_1">#REF!</definedName>
    <definedName name="_29Excel_BuiltIn_Print_Titles_7_1" localSheetId="1">#REF!</definedName>
    <definedName name="_29Excel_BuiltIn_Print_Titles_7_1" localSheetId="0">#REF!</definedName>
    <definedName name="_29Excel_BuiltIn_Print_Titles_7_1">#REF!</definedName>
    <definedName name="_3__x_10_1_1" localSheetId="1">'[9]Section 26 52 00'!#REF!</definedName>
    <definedName name="_3__x_10_1_1" localSheetId="0">'[9]Section 26 52 00'!#REF!</definedName>
    <definedName name="_3__x_10_1_1">'[9]Section 26 52 00'!#REF!</definedName>
    <definedName name="_30Excel_BuiltIn_Print_Titles_14_1" localSheetId="1">#REF!</definedName>
    <definedName name="_30Excel_BuiltIn_Print_Titles_14_1" localSheetId="0">#REF!</definedName>
    <definedName name="_30Excel_BuiltIn_Print_Titles_14_1">#REF!</definedName>
    <definedName name="_30Excel_BuiltIn_Print_Titles_16_1" localSheetId="1">#REF!</definedName>
    <definedName name="_30Excel_BuiltIn_Print_Titles_16_1" localSheetId="0">#REF!</definedName>
    <definedName name="_30Excel_BuiltIn_Print_Titles_16_1">#REF!</definedName>
    <definedName name="_30Excel_BuiltIn_Print_Titles_2_1" localSheetId="1">#REF!</definedName>
    <definedName name="_30Excel_BuiltIn_Print_Titles_2_1" localSheetId="0">#REF!</definedName>
    <definedName name="_30Excel_BuiltIn_Print_Titles_2_1">#REF!</definedName>
    <definedName name="_30Excel_BuiltIn_Print_Titles_6_1" localSheetId="1">#REF!</definedName>
    <definedName name="_30Excel_BuiltIn_Print_Titles_6_1" localSheetId="0">#REF!</definedName>
    <definedName name="_30Excel_BuiltIn_Print_Titles_6_1">#REF!</definedName>
    <definedName name="_30Excel_BuiltIn_Print_Titles_8_1" localSheetId="1">#REF!</definedName>
    <definedName name="_30Excel_BuiltIn_Print_Titles_8_1" localSheetId="0">#REF!</definedName>
    <definedName name="_30Excel_BuiltIn_Print_Titles_8_1">#REF!</definedName>
    <definedName name="_31Excel_BuiltIn_Print_Titles_15_1" localSheetId="1">#REF!</definedName>
    <definedName name="_31Excel_BuiltIn_Print_Titles_15_1" localSheetId="0">#REF!</definedName>
    <definedName name="_31Excel_BuiltIn_Print_Titles_15_1">#REF!</definedName>
    <definedName name="_31Excel_BuiltIn_Print_Titles_17_1" localSheetId="1">#REF!</definedName>
    <definedName name="_31Excel_BuiltIn_Print_Titles_17_1" localSheetId="0">#REF!</definedName>
    <definedName name="_31Excel_BuiltIn_Print_Titles_17_1">#REF!</definedName>
    <definedName name="_31Excel_BuiltIn_Print_Titles_7_1" localSheetId="1">#REF!</definedName>
    <definedName name="_31Excel_BuiltIn_Print_Titles_7_1" localSheetId="0">#REF!</definedName>
    <definedName name="_31Excel_BuiltIn_Print_Titles_7_1">#REF!</definedName>
    <definedName name="_31Excel_BuiltIn_Print_Titles_9_1" localSheetId="1">#REF!</definedName>
    <definedName name="_31Excel_BuiltIn_Print_Titles_9_1" localSheetId="0">#REF!</definedName>
    <definedName name="_31Excel_BuiltIn_Print_Titles_9_1">#REF!</definedName>
    <definedName name="_32Excel_BuiltIn_Print_Titles_16_1" localSheetId="1">#REF!</definedName>
    <definedName name="_32Excel_BuiltIn_Print_Titles_16_1" localSheetId="0">#REF!</definedName>
    <definedName name="_32Excel_BuiltIn_Print_Titles_16_1">#REF!</definedName>
    <definedName name="_32Excel_BuiltIn_Print_Titles_19_1" localSheetId="1">#REF!</definedName>
    <definedName name="_32Excel_BuiltIn_Print_Titles_19_1" localSheetId="0">#REF!</definedName>
    <definedName name="_32Excel_BuiltIn_Print_Titles_19_1">#REF!</definedName>
    <definedName name="_32Excel_BuiltIn_Print_Titles_8_1" localSheetId="1">#REF!</definedName>
    <definedName name="_32Excel_BuiltIn_Print_Titles_8_1" localSheetId="0">#REF!</definedName>
    <definedName name="_32Excel_BuiltIn_Print_Titles_8_1">#REF!</definedName>
    <definedName name="_33Excel_BuiltIn_Print_Titles_17_1" localSheetId="1">#REF!</definedName>
    <definedName name="_33Excel_BuiltIn_Print_Titles_17_1" localSheetId="0">#REF!</definedName>
    <definedName name="_33Excel_BuiltIn_Print_Titles_17_1">#REF!</definedName>
    <definedName name="_33Excel_BuiltIn_Print_Titles_9_1" localSheetId="1">#REF!</definedName>
    <definedName name="_33Excel_BuiltIn_Print_Titles_9_1" localSheetId="0">#REF!</definedName>
    <definedName name="_33Excel_BuiltIn_Print_Titles_9_1">#REF!</definedName>
    <definedName name="_34Excel_BuiltIn_Print_Titles_2_1" localSheetId="1">#REF!</definedName>
    <definedName name="_34Excel_BuiltIn_Print_Titles_2_1" localSheetId="0">#REF!</definedName>
    <definedName name="_34Excel_BuiltIn_Print_Titles_2_1">#REF!</definedName>
    <definedName name="_34Excel_BuiltIn_Print_Titles_3_1" localSheetId="1">#REF!</definedName>
    <definedName name="_34Excel_BuiltIn_Print_Titles_3_1" localSheetId="0">#REF!</definedName>
    <definedName name="_34Excel_BuiltIn_Print_Titles_3_1">#REF!</definedName>
    <definedName name="_34Excel_BuiltIn_Print_Titles_5_1" localSheetId="1">#REF!</definedName>
    <definedName name="_34Excel_BuiltIn_Print_Titles_5_1" localSheetId="0">#REF!</definedName>
    <definedName name="_34Excel_BuiltIn_Print_Titles_5_1">#REF!</definedName>
    <definedName name="_35Excel_BuiltIn_Print_Titles_3_1" localSheetId="1">#REF!</definedName>
    <definedName name="_35Excel_BuiltIn_Print_Titles_3_1" localSheetId="0">#REF!</definedName>
    <definedName name="_35Excel_BuiltIn_Print_Titles_3_1">#REF!</definedName>
    <definedName name="_35Excel_BuiltIn_Print_Titles_5_1" localSheetId="1">#REF!</definedName>
    <definedName name="_35Excel_BuiltIn_Print_Titles_5_1" localSheetId="0">#REF!</definedName>
    <definedName name="_35Excel_BuiltIn_Print_Titles_5_1">#REF!</definedName>
    <definedName name="_35Excel_BuiltIn_Print_Titles_6_1" localSheetId="1">#REF!</definedName>
    <definedName name="_35Excel_BuiltIn_Print_Titles_6_1" localSheetId="0">#REF!</definedName>
    <definedName name="_35Excel_BuiltIn_Print_Titles_6_1">#REF!</definedName>
    <definedName name="_36Excel_BuiltIn_Print_Titles_6_1" localSheetId="1">#REF!</definedName>
    <definedName name="_36Excel_BuiltIn_Print_Titles_6_1" localSheetId="0">#REF!</definedName>
    <definedName name="_36Excel_BuiltIn_Print_Titles_6_1">#REF!</definedName>
    <definedName name="_36Excel_BuiltIn_Print_Titles_7_1" localSheetId="1">#REF!</definedName>
    <definedName name="_36Excel_BuiltIn_Print_Titles_7_1" localSheetId="0">#REF!</definedName>
    <definedName name="_36Excel_BuiltIn_Print_Titles_7_1">#REF!</definedName>
    <definedName name="_37Excel_BuiltIn_Print_Titles_4_1" localSheetId="1">#REF!</definedName>
    <definedName name="_37Excel_BuiltIn_Print_Titles_4_1" localSheetId="0">#REF!</definedName>
    <definedName name="_37Excel_BuiltIn_Print_Titles_4_1">#REF!</definedName>
    <definedName name="_37Excel_BuiltIn_Print_Titles_7_1" localSheetId="1">#REF!</definedName>
    <definedName name="_37Excel_BuiltIn_Print_Titles_7_1" localSheetId="0">#REF!</definedName>
    <definedName name="_37Excel_BuiltIn_Print_Titles_7_1">#REF!</definedName>
    <definedName name="_37Excel_BuiltIn_Print_Titles_8_1" localSheetId="1">#REF!</definedName>
    <definedName name="_37Excel_BuiltIn_Print_Titles_8_1" localSheetId="0">#REF!</definedName>
    <definedName name="_37Excel_BuiltIn_Print_Titles_8_1">#REF!</definedName>
    <definedName name="_38Excel_BuiltIn_Print_Titles_8_1" localSheetId="1">#REF!</definedName>
    <definedName name="_38Excel_BuiltIn_Print_Titles_8_1" localSheetId="0">#REF!</definedName>
    <definedName name="_38Excel_BuiltIn_Print_Titles_8_1">#REF!</definedName>
    <definedName name="_38Excel_BuiltIn_Print_Titles_9_1" localSheetId="1">#REF!</definedName>
    <definedName name="_38Excel_BuiltIn_Print_Titles_9_1" localSheetId="0">#REF!</definedName>
    <definedName name="_38Excel_BuiltIn_Print_Titles_9_1">#REF!</definedName>
    <definedName name="_39Excel_BuiltIn_Print_Titles_6_1" localSheetId="1">#REF!</definedName>
    <definedName name="_39Excel_BuiltIn_Print_Titles_6_1" localSheetId="0">#REF!</definedName>
    <definedName name="_39Excel_BuiltIn_Print_Titles_6_1">#REF!</definedName>
    <definedName name="_39Excel_BuiltIn_Print_Titles_9_1" localSheetId="1">#REF!</definedName>
    <definedName name="_39Excel_BuiltIn_Print_Titles_9_1" localSheetId="0">#REF!</definedName>
    <definedName name="_39Excel_BuiltIn_Print_Titles_9_1">#REF!</definedName>
    <definedName name="_4_0_0_F" localSheetId="1" hidden="1">[4]대비표!#REF!</definedName>
    <definedName name="_4_0_0_F" localSheetId="0" hidden="1">[4]대비표!#REF!</definedName>
    <definedName name="_4_0_0_F" hidden="1">[4]대비표!#REF!</definedName>
    <definedName name="_40Excel_BuiltIn_Print_Titles_7_1" localSheetId="1">#REF!</definedName>
    <definedName name="_40Excel_BuiltIn_Print_Titles_7_1" localSheetId="0">#REF!</definedName>
    <definedName name="_40Excel_BuiltIn_Print_Titles_7_1">#REF!</definedName>
    <definedName name="_41Excel_BuiltIn_Print_Titles_8_1" localSheetId="1">#REF!</definedName>
    <definedName name="_41Excel_BuiltIn_Print_Titles_8_1" localSheetId="0">#REF!</definedName>
    <definedName name="_41Excel_BuiltIn_Print_Titles_8_1">#REF!</definedName>
    <definedName name="_42Excel_BuiltIn_Print_Titles_9_1" localSheetId="1">#REF!</definedName>
    <definedName name="_42Excel_BuiltIn_Print_Titles_9_1" localSheetId="0">#REF!</definedName>
    <definedName name="_42Excel_BuiltIn_Print_Titles_9_1">#REF!</definedName>
    <definedName name="_4Excel_BuiltIn_Print_Area_1_1" localSheetId="1">#REF!</definedName>
    <definedName name="_4Excel_BuiltIn_Print_Area_1_1" localSheetId="0">#REF!</definedName>
    <definedName name="_4Excel_BuiltIn_Print_Area_1_1">#REF!</definedName>
    <definedName name="_5_4_2011" localSheetId="1">#REF!</definedName>
    <definedName name="_5_4_2011" localSheetId="0">#REF!</definedName>
    <definedName name="_5_4_2011">#REF!</definedName>
    <definedName name="_5Excel_BuiltIn_Print_Area_11_1" localSheetId="1">#REF!</definedName>
    <definedName name="_5Excel_BuiltIn_Print_Area_11_1" localSheetId="0">#REF!</definedName>
    <definedName name="_5Excel_BuiltIn_Print_Area_11_1">#REF!</definedName>
    <definedName name="_6Excel_BuiltIn_Print_Area_12_1" localSheetId="1">#REF!</definedName>
    <definedName name="_6Excel_BuiltIn_Print_Area_12_1" localSheetId="0">#REF!</definedName>
    <definedName name="_6Excel_BuiltIn_Print_Area_12_1">#REF!</definedName>
    <definedName name="_7Excel_BuiltIn_Print_Area_12_1" localSheetId="1">#REF!</definedName>
    <definedName name="_7Excel_BuiltIn_Print_Area_12_1" localSheetId="0">#REF!</definedName>
    <definedName name="_7Excel_BuiltIn_Print_Area_12_1">#REF!</definedName>
    <definedName name="_7Excel_BuiltIn_Print_Area_13_1" localSheetId="1">#REF!</definedName>
    <definedName name="_7Excel_BuiltIn_Print_Area_13_1" localSheetId="0">#REF!</definedName>
    <definedName name="_7Excel_BuiltIn_Print_Area_13_1">#REF!</definedName>
    <definedName name="_8Excel_BuiltIn_Print_Area_13_1" localSheetId="1">#REF!</definedName>
    <definedName name="_8Excel_BuiltIn_Print_Area_13_1" localSheetId="0">#REF!</definedName>
    <definedName name="_8Excel_BuiltIn_Print_Area_13_1">#REF!</definedName>
    <definedName name="_8Excel_BuiltIn_Print_Area_14_1" localSheetId="1">#REF!</definedName>
    <definedName name="_8Excel_BuiltIn_Print_Area_14_1" localSheetId="0">#REF!</definedName>
    <definedName name="_8Excel_BuiltIn_Print_Area_14_1">#REF!</definedName>
    <definedName name="_9__x_10_1_1" localSheetId="1">#REF!</definedName>
    <definedName name="_9__x_10_1_1" localSheetId="0">#REF!</definedName>
    <definedName name="_9__x_10_1_1">#REF!</definedName>
    <definedName name="_9Excel_BuiltIn_Print_Area_14_1" localSheetId="1">#REF!</definedName>
    <definedName name="_9Excel_BuiltIn_Print_Area_14_1" localSheetId="0">#REF!</definedName>
    <definedName name="_9Excel_BuiltIn_Print_Area_14_1">#REF!</definedName>
    <definedName name="_9Excel_BuiltIn_Print_Area_15_1" localSheetId="1">#REF!</definedName>
    <definedName name="_9Excel_BuiltIn_Print_Area_15_1" localSheetId="0">#REF!</definedName>
    <definedName name="_9Excel_BuiltIn_Print_Area_15_1">#REF!</definedName>
    <definedName name="_a1" localSheetId="1" hidden="1">{"'Sheet1'!$L$16"}</definedName>
    <definedName name="_a1" localSheetId="0" hidden="1">{"'Sheet1'!$L$16"}</definedName>
    <definedName name="_a1" hidden="1">{"'Sheet1'!$L$16"}</definedName>
    <definedName name="_a11" localSheetId="1" hidden="1">{"'장비'!$A$3:$M$12"}</definedName>
    <definedName name="_a11" localSheetId="0" hidden="1">{"'장비'!$A$3:$M$12"}</definedName>
    <definedName name="_a11" hidden="1">{"'장비'!$A$3:$M$12"}</definedName>
    <definedName name="_CD" localSheetId="1">#REF!</definedName>
    <definedName name="_CD" localSheetId="0">#REF!</definedName>
    <definedName name="_CD">#REF!</definedName>
    <definedName name="_DIV27" localSheetId="1">#REF!</definedName>
    <definedName name="_DIV27" localSheetId="0">#REF!</definedName>
    <definedName name="_DIV27">#REF!</definedName>
    <definedName name="_Fill" localSheetId="1" hidden="1">#REF!</definedName>
    <definedName name="_Fill" localSheetId="0" hidden="1">#REF!</definedName>
    <definedName name="_Fill" hidden="1">#REF!</definedName>
    <definedName name="_Filll" localSheetId="1" hidden="1">#REF!</definedName>
    <definedName name="_Filll" localSheetId="0" hidden="1">#REF!</definedName>
    <definedName name="_Filll" hidden="1">#REF!</definedName>
    <definedName name="_xlnm._FilterDatabase" localSheetId="3" hidden="1">Plumbing!#REF!</definedName>
    <definedName name="_H3" localSheetId="1" hidden="1">{"'장비'!$A$3:$M$12"}</definedName>
    <definedName name="_H3" localSheetId="0" hidden="1">{"'장비'!$A$3:$M$12"}</definedName>
    <definedName name="_H3" hidden="1">{"'장비'!$A$3:$M$12"}</definedName>
    <definedName name="_Key1" localSheetId="1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0" hidden="1">#REF!</definedName>
    <definedName name="_Key2" hidden="1">#REF!</definedName>
    <definedName name="_MS16" localSheetId="1">#REF!</definedName>
    <definedName name="_MS16" localSheetId="0">#REF!</definedName>
    <definedName name="_MS16">#REF!</definedName>
    <definedName name="_MS6" localSheetId="1">#REF!</definedName>
    <definedName name="_MS6" localSheetId="0">#REF!</definedName>
    <definedName name="_MS6">#REF!</definedName>
    <definedName name="_NA1" localSheetId="1">#REF!</definedName>
    <definedName name="_NA1" localSheetId="0">#REF!</definedName>
    <definedName name="_NA1">#REF!</definedName>
    <definedName name="_NA12" localSheetId="1">#REF!</definedName>
    <definedName name="_NA12" localSheetId="0">#REF!</definedName>
    <definedName name="_NA12">#REF!</definedName>
    <definedName name="_NA13" localSheetId="1">#REF!</definedName>
    <definedName name="_NA13" localSheetId="0">#REF!</definedName>
    <definedName name="_NA13">#REF!</definedName>
    <definedName name="_NA17" localSheetId="1">#REF!</definedName>
    <definedName name="_NA17" localSheetId="0">#REF!</definedName>
    <definedName name="_NA17">#REF!</definedName>
    <definedName name="_NA2" localSheetId="1">#REF!</definedName>
    <definedName name="_NA2" localSheetId="0">#REF!</definedName>
    <definedName name="_NA2">#REF!</definedName>
    <definedName name="_NA23" localSheetId="1">#REF!</definedName>
    <definedName name="_NA23" localSheetId="0">#REF!</definedName>
    <definedName name="_NA23">#REF!</definedName>
    <definedName name="_NA3" localSheetId="1">#REF!</definedName>
    <definedName name="_NA3" localSheetId="0">#REF!</definedName>
    <definedName name="_NA3">#REF!</definedName>
    <definedName name="_NA7" localSheetId="1">#REF!</definedName>
    <definedName name="_NA7" localSheetId="0">#REF!</definedName>
    <definedName name="_NA7">#REF!</definedName>
    <definedName name="_NA9" localSheetId="1">#REF!</definedName>
    <definedName name="_NA9" localSheetId="0">#REF!</definedName>
    <definedName name="_NA9">#REF!</definedName>
    <definedName name="_Order1" hidden="1">255</definedName>
    <definedName name="_Order2" hidden="1">0</definedName>
    <definedName name="_Parse_Out" localSheetId="1" hidden="1">[10]갑지!#REF!</definedName>
    <definedName name="_Parse_Out" localSheetId="0" hidden="1">[10]갑지!#REF!</definedName>
    <definedName name="_Parse_Out" hidden="1">[10]갑지!#REF!</definedName>
    <definedName name="_parse11" localSheetId="1" hidden="1">[10]갑지!#REF!</definedName>
    <definedName name="_parse11" localSheetId="0" hidden="1">[10]갑지!#REF!</definedName>
    <definedName name="_parse11" hidden="1">[10]갑지!#REF!</definedName>
    <definedName name="_PR625">'[11]Normal Basis'!$A$133:$IV$133</definedName>
    <definedName name="_PR706" localSheetId="1">'[11]Normal Basis'!#REF!</definedName>
    <definedName name="_PR706" localSheetId="0">'[11]Normal Basis'!#REF!</definedName>
    <definedName name="_PR706">'[11]Normal Basis'!#REF!</definedName>
    <definedName name="_PR730" localSheetId="1">'[11]Normal Basis'!#REF!</definedName>
    <definedName name="_PR730" localSheetId="0">'[11]Normal Basis'!#REF!</definedName>
    <definedName name="_PR730">'[11]Normal Basis'!#REF!</definedName>
    <definedName name="_PR741">'[11]Normal Basis'!$A$76:$IV$76</definedName>
    <definedName name="_PR857">'[11]Normal Basis'!$A$59:$IV$59</definedName>
    <definedName name="_PR858">'[11]Normal Basis'!$A$57:$IV$57</definedName>
    <definedName name="_PR862">'[11]Normal Basis'!$A$53:$IV$53</definedName>
    <definedName name="_PR864">'[11]Normal Basis'!$A$51:$IV$51</definedName>
    <definedName name="_PR873">'[11]Normal Basis'!$A$42:$IV$42</definedName>
    <definedName name="_PR874">'[11]Normal Basis'!$A$41:$IV$41</definedName>
    <definedName name="_PR883" localSheetId="1">'[11]Normal Basis'!#REF!</definedName>
    <definedName name="_PR883" localSheetId="0">'[11]Normal Basis'!#REF!</definedName>
    <definedName name="_PR883">'[11]Normal Basis'!#REF!</definedName>
    <definedName name="_Sort" localSheetId="1" hidden="1">#REF!</definedName>
    <definedName name="_Sort" localSheetId="0" hidden="1">#REF!</definedName>
    <definedName name="_Sort" hidden="1">#REF!</definedName>
    <definedName name="_SPT">#REF!</definedName>
    <definedName name="_TAQ" localSheetId="1">#REF!</definedName>
    <definedName name="_TAQ" localSheetId="0">#REF!</definedName>
    <definedName name="_TAQ">#REF!</definedName>
    <definedName name="_tco3" localSheetId="1" hidden="1">#REF!</definedName>
    <definedName name="_tco3" localSheetId="0" hidden="1">#REF!</definedName>
    <definedName name="_tco3" hidden="1">#REF!</definedName>
    <definedName name="a" localSheetId="1">#REF!</definedName>
    <definedName name="a" localSheetId="0">#REF!</definedName>
    <definedName name="a">#REF!</definedName>
    <definedName name="aa" localSheetId="1">#REF!</definedName>
    <definedName name="aa" localSheetId="0">#REF!</definedName>
    <definedName name="aa">#REF!</definedName>
    <definedName name="aaaa" localSheetId="1">#REF!</definedName>
    <definedName name="aaaa" localSheetId="0">#REF!</definedName>
    <definedName name="aaaa">#REF!</definedName>
    <definedName name="aaaaaaaaaa" localSheetId="1">#REF!</definedName>
    <definedName name="aaaaaaaaaa" localSheetId="0">#REF!</definedName>
    <definedName name="aaaaaaaaaa">#REF!</definedName>
    <definedName name="aadasd" localSheetId="1">#REF!</definedName>
    <definedName name="aadasd" localSheetId="0">#REF!</definedName>
    <definedName name="aadasd">#REF!</definedName>
    <definedName name="abc" localSheetId="1">#REF!</definedName>
    <definedName name="abc" localSheetId="0">#REF!</definedName>
    <definedName name="abc">#REF!</definedName>
    <definedName name="AccessDatabase" hidden="1">"I:\Supervision\Confidential\np-364 hdpe pars\rev2\estimate.mdb"</definedName>
    <definedName name="ad" localSheetId="1">'[12]Summary Page'!#REF!</definedName>
    <definedName name="ad" localSheetId="0">'[12]Summary Page'!#REF!</definedName>
    <definedName name="ad">'[12]Summary Page'!#REF!</definedName>
    <definedName name="Advance" localSheetId="1">#REF!</definedName>
    <definedName name="Advance" localSheetId="0">#REF!</definedName>
    <definedName name="Advance">#REF!</definedName>
    <definedName name="amdmdm" localSheetId="1">#REF!</definedName>
    <definedName name="amdmdm" localSheetId="0">#REF!</definedName>
    <definedName name="amdmdm">#REF!</definedName>
    <definedName name="an" localSheetId="1">'[1]6.1-TRI'!#REF!</definedName>
    <definedName name="an" localSheetId="0">'[1]6.1-TRI'!#REF!</definedName>
    <definedName name="an">'[1]6.1-TRI'!#REF!</definedName>
    <definedName name="ANGTF" localSheetId="1">#REF!</definedName>
    <definedName name="ANGTF" localSheetId="0">#REF!</definedName>
    <definedName name="ANGTF">#REF!</definedName>
    <definedName name="aqweeeeer" localSheetId="1">#REF!</definedName>
    <definedName name="aqweeeeer" localSheetId="0">#REF!</definedName>
    <definedName name="aqweeeeer">#REF!</definedName>
    <definedName name="area" localSheetId="1">#REF!</definedName>
    <definedName name="area" localSheetId="0">#REF!</definedName>
    <definedName name="area">#REF!</definedName>
    <definedName name="as" localSheetId="1">'[12]Summary Page'!#REF!</definedName>
    <definedName name="as" localSheetId="0">'[12]Summary Page'!#REF!</definedName>
    <definedName name="as">'[12]Summary Page'!#REF!</definedName>
    <definedName name="asfdsaf" localSheetId="1">#REF!</definedName>
    <definedName name="asfdsaf" localSheetId="0">#REF!</definedName>
    <definedName name="asfdsaf">#REF!</definedName>
    <definedName name="b" localSheetId="1">#REF!</definedName>
    <definedName name="b" localSheetId="0">#REF!</definedName>
    <definedName name="b">#REF!</definedName>
    <definedName name="BB" localSheetId="1">#REF!</definedName>
    <definedName name="BB" localSheetId="0">#REF!</definedName>
    <definedName name="BB">#REF!</definedName>
    <definedName name="bbbb" localSheetId="1">#REF!</definedName>
    <definedName name="bbbb" localSheetId="0">#REF!</definedName>
    <definedName name="bbbb">#REF!</definedName>
    <definedName name="bbbbbbbbbbb" localSheetId="1">#REF!</definedName>
    <definedName name="bbbbbbbbbbb" localSheetId="0">#REF!</definedName>
    <definedName name="bbbbbbbbbbb">#REF!</definedName>
    <definedName name="BFM" localSheetId="1">#REF!</definedName>
    <definedName name="BFM" localSheetId="0">#REF!</definedName>
    <definedName name="BFM">#REF!</definedName>
    <definedName name="BMA" localSheetId="1">#REF!</definedName>
    <definedName name="BMA" localSheetId="0">#REF!</definedName>
    <definedName name="BMA">#REF!</definedName>
    <definedName name="BMT" localSheetId="1">#REF!</definedName>
    <definedName name="BMT" localSheetId="0">#REF!</definedName>
    <definedName name="BMT">#REF!</definedName>
    <definedName name="BOQ" localSheetId="1">'[1]6.1-TRI'!#REF!</definedName>
    <definedName name="BOQ" localSheetId="0">'[1]6.1-TRI'!#REF!</definedName>
    <definedName name="BOQ">'[1]6.1-TRI'!#REF!</definedName>
    <definedName name="boynsr" localSheetId="1">#REF!</definedName>
    <definedName name="boynsr" localSheetId="0">#REF!</definedName>
    <definedName name="boynsr">#REF!</definedName>
    <definedName name="boynsr1" localSheetId="1">#REF!</definedName>
    <definedName name="boynsr1" localSheetId="0">#REF!</definedName>
    <definedName name="boynsr1">#REF!</definedName>
    <definedName name="boysr" localSheetId="1">#REF!</definedName>
    <definedName name="boysr" localSheetId="0">#REF!</definedName>
    <definedName name="boysr">#REF!</definedName>
    <definedName name="boysr1" localSheetId="1">#REF!</definedName>
    <definedName name="boysr1" localSheetId="0">#REF!</definedName>
    <definedName name="boysr1">#REF!</definedName>
    <definedName name="BRK" localSheetId="1">#REF!</definedName>
    <definedName name="BRK" localSheetId="0">#REF!</definedName>
    <definedName name="BRK">#REF!</definedName>
    <definedName name="BUT" localSheetId="1">#REF!</definedName>
    <definedName name="BUT" localSheetId="0">#REF!</definedName>
    <definedName name="BUT">#REF!</definedName>
    <definedName name="CALCULATION_de_l_EBE" localSheetId="1">'[1]6.1-TRI'!#REF!</definedName>
    <definedName name="CALCULATION_de_l_EBE" localSheetId="0">'[1]6.1-TRI'!#REF!</definedName>
    <definedName name="CALCULATION_de_l_EBE">'[1]6.1-TRI'!#REF!</definedName>
    <definedName name="CC" localSheetId="1">#REF!</definedName>
    <definedName name="CC" localSheetId="0">#REF!</definedName>
    <definedName name="CC">#REF!</definedName>
    <definedName name="cccc" localSheetId="1">#REF!</definedName>
    <definedName name="cccc" localSheetId="0">#REF!</definedName>
    <definedName name="cccc">#REF!</definedName>
    <definedName name="CELLNOTE0" localSheetId="1">#REF!</definedName>
    <definedName name="CELLNOTE0" localSheetId="0">#REF!</definedName>
    <definedName name="CELLNOTE0">#REF!</definedName>
    <definedName name="cement" localSheetId="1">#REF!</definedName>
    <definedName name="cement" localSheetId="0">#REF!</definedName>
    <definedName name="cement">#REF!</definedName>
    <definedName name="Cemwent" localSheetId="1">#REF!</definedName>
    <definedName name="Cemwent" localSheetId="0">#REF!</definedName>
    <definedName name="Cemwent">#REF!</definedName>
    <definedName name="CGI" localSheetId="1">#REF!</definedName>
    <definedName name="CGI" localSheetId="0">#REF!</definedName>
    <definedName name="CGI">#REF!</definedName>
    <definedName name="chaudhry" localSheetId="1" hidden="1">#REF!</definedName>
    <definedName name="chaudhry" localSheetId="0" hidden="1">#REF!</definedName>
    <definedName name="chaudhry" hidden="1">#REF!</definedName>
    <definedName name="con" localSheetId="1">'[13]boq-civil'!#REF!</definedName>
    <definedName name="con" localSheetId="0">'[13]boq-civil'!#REF!</definedName>
    <definedName name="con">'[13]boq-civil'!#REF!</definedName>
    <definedName name="convfa" localSheetId="1">#REF!</definedName>
    <definedName name="convfa" localSheetId="0">#REF!</definedName>
    <definedName name="convfa">#REF!</definedName>
    <definedName name="convfa_10" localSheetId="1">#REF!</definedName>
    <definedName name="convfa_10" localSheetId="0">#REF!</definedName>
    <definedName name="convfa_10">#REF!</definedName>
    <definedName name="convfa_10_1" localSheetId="1">#REF!</definedName>
    <definedName name="convfa_10_1" localSheetId="0">#REF!</definedName>
    <definedName name="convfa_10_1">#REF!</definedName>
    <definedName name="convfa_11" localSheetId="1">#REF!</definedName>
    <definedName name="convfa_11" localSheetId="0">#REF!</definedName>
    <definedName name="convfa_11">#REF!</definedName>
    <definedName name="convfa_12" localSheetId="1">#REF!</definedName>
    <definedName name="convfa_12" localSheetId="0">#REF!</definedName>
    <definedName name="convfa_12">#REF!</definedName>
    <definedName name="convfa_14" localSheetId="1">#REF!</definedName>
    <definedName name="convfa_14" localSheetId="0">#REF!</definedName>
    <definedName name="convfa_14">#REF!</definedName>
    <definedName name="convfa_16" localSheetId="1">#REF!</definedName>
    <definedName name="convfa_16" localSheetId="0">#REF!</definedName>
    <definedName name="convfa_16">#REF!</definedName>
    <definedName name="convfa_19" localSheetId="1">#REF!</definedName>
    <definedName name="convfa_19" localSheetId="0">#REF!</definedName>
    <definedName name="convfa_19">#REF!</definedName>
    <definedName name="convfa_20" localSheetId="1">#REF!</definedName>
    <definedName name="convfa_20" localSheetId="0">#REF!</definedName>
    <definedName name="convfa_20">#REF!</definedName>
    <definedName name="convfa_21" localSheetId="1">#REF!</definedName>
    <definedName name="convfa_21" localSheetId="0">#REF!</definedName>
    <definedName name="convfa_21">#REF!</definedName>
    <definedName name="convfa_3" localSheetId="1">#REF!</definedName>
    <definedName name="convfa_3" localSheetId="0">#REF!</definedName>
    <definedName name="convfa_3">#REF!</definedName>
    <definedName name="convfa_7" localSheetId="1">#REF!</definedName>
    <definedName name="convfa_7" localSheetId="0">#REF!</definedName>
    <definedName name="convfa_7">#REF!</definedName>
    <definedName name="cover" localSheetId="1">'[14]Block - A'!#REF!</definedName>
    <definedName name="cover" localSheetId="0">'[14]Block - A'!#REF!</definedName>
    <definedName name="cover">'[14]Block - A'!#REF!</definedName>
    <definedName name="CRSH0.5" localSheetId="1">#REF!</definedName>
    <definedName name="CRSH0.5" localSheetId="0">#REF!</definedName>
    <definedName name="CRSH0.5">#REF!</definedName>
    <definedName name="CRSH01.5" localSheetId="1">#REF!</definedName>
    <definedName name="CRSH01.5" localSheetId="0">#REF!</definedName>
    <definedName name="CRSH01.5">#REF!</definedName>
    <definedName name="CRUSH" localSheetId="1">#REF!</definedName>
    <definedName name="CRUSH" localSheetId="0">#REF!</definedName>
    <definedName name="CRUSH">#REF!</definedName>
    <definedName name="D" localSheetId="1">#REF!</definedName>
    <definedName name="D" localSheetId="0">#REF!</definedName>
    <definedName name="D">#REF!</definedName>
    <definedName name="dafasfasf" localSheetId="1">#REF!</definedName>
    <definedName name="dafasfasf" localSheetId="0">#REF!</definedName>
    <definedName name="dafasfasf">#REF!</definedName>
    <definedName name="dasd" localSheetId="1">#REF!</definedName>
    <definedName name="dasd" localSheetId="0">#REF!</definedName>
    <definedName name="dasd">#REF!</definedName>
    <definedName name="dasddx" localSheetId="1">#REF!</definedName>
    <definedName name="dasddx" localSheetId="0">#REF!</definedName>
    <definedName name="dasddx">#REF!</definedName>
    <definedName name="dd" localSheetId="1">#REF!</definedName>
    <definedName name="dd" localSheetId="0">#REF!</definedName>
    <definedName name="dd">#REF!</definedName>
    <definedName name="ddd" localSheetId="1">#REF!</definedName>
    <definedName name="ddd" localSheetId="0">#REF!</definedName>
    <definedName name="ddd">#REF!</definedName>
    <definedName name="dddd" localSheetId="1">#REF!</definedName>
    <definedName name="dddd" localSheetId="0">#REF!</definedName>
    <definedName name="dddd">#REF!</definedName>
    <definedName name="df" localSheetId="1">#REF!</definedName>
    <definedName name="df" localSheetId="0">#REF!</definedName>
    <definedName name="df">#REF!</definedName>
    <definedName name="DUREE" localSheetId="1">'[1]6.1-TRI'!#REF!</definedName>
    <definedName name="DUREE" localSheetId="0">'[1]6.1-TRI'!#REF!</definedName>
    <definedName name="DUREE">'[1]6.1-TRI'!#REF!</definedName>
    <definedName name="DUREE1" localSheetId="1">'[1]6.1-TRI'!#REF!</definedName>
    <definedName name="DUREE1" localSheetId="0">'[1]6.1-TRI'!#REF!</definedName>
    <definedName name="DUREE1">'[1]6.1-TRI'!#REF!</definedName>
    <definedName name="DUREE2" localSheetId="1">'[1]6.1-TRI'!#REF!</definedName>
    <definedName name="DUREE2" localSheetId="0">'[1]6.1-TRI'!#REF!</definedName>
    <definedName name="DUREE2">'[1]6.1-TRI'!#REF!</definedName>
    <definedName name="DUREE3" localSheetId="1">'[1]6.1-TRI'!#REF!</definedName>
    <definedName name="DUREE3" localSheetId="0">'[1]6.1-TRI'!#REF!</definedName>
    <definedName name="DUREE3">'[1]6.1-TRI'!#REF!</definedName>
    <definedName name="E" localSheetId="1">#REF!</definedName>
    <definedName name="E" localSheetId="0">#REF!</definedName>
    <definedName name="E">#REF!</definedName>
    <definedName name="EE" localSheetId="1">#REF!</definedName>
    <definedName name="EE" localSheetId="0">#REF!</definedName>
    <definedName name="EE">#REF!</definedName>
    <definedName name="eeee" localSheetId="1">#REF!</definedName>
    <definedName name="eeee" localSheetId="0">#REF!</definedName>
    <definedName name="eeee">#REF!</definedName>
    <definedName name="ef" localSheetId="1">#REF!</definedName>
    <definedName name="ef" localSheetId="0">#REF!</definedName>
    <definedName name="ef">#REF!</definedName>
    <definedName name="ELE" localSheetId="1">#REF!</definedName>
    <definedName name="ELE" localSheetId="0">#REF!</definedName>
    <definedName name="ELE">#REF!</definedName>
    <definedName name="Electric" localSheetId="1">#REF!</definedName>
    <definedName name="Electric" localSheetId="0">#REF!</definedName>
    <definedName name="Electric">#REF!</definedName>
    <definedName name="Excel_BuiltIn_Print_Area_1" localSheetId="1">#REF!</definedName>
    <definedName name="Excel_BuiltIn_Print_Area_1" localSheetId="0">#REF!</definedName>
    <definedName name="Excel_BuiltIn_Print_Area_1">#REF!</definedName>
    <definedName name="Excel_BuiltIn_Print_Area_11" localSheetId="1">#REF!</definedName>
    <definedName name="Excel_BuiltIn_Print_Area_11" localSheetId="0">#REF!</definedName>
    <definedName name="Excel_BuiltIn_Print_Area_11">#REF!</definedName>
    <definedName name="Excel_BuiltIn_Print_Area_12" localSheetId="1">#REF!</definedName>
    <definedName name="Excel_BuiltIn_Print_Area_12" localSheetId="0">#REF!</definedName>
    <definedName name="Excel_BuiltIn_Print_Area_12">#REF!</definedName>
    <definedName name="Excel_BuiltIn_Print_Area_13" localSheetId="1">#REF!</definedName>
    <definedName name="Excel_BuiltIn_Print_Area_13" localSheetId="0">#REF!</definedName>
    <definedName name="Excel_BuiltIn_Print_Area_13">#REF!</definedName>
    <definedName name="Excel_BuiltIn_Print_Area_14" localSheetId="1">#REF!</definedName>
    <definedName name="Excel_BuiltIn_Print_Area_14" localSheetId="0">#REF!</definedName>
    <definedName name="Excel_BuiltIn_Print_Area_14">#REF!</definedName>
    <definedName name="Excel_BuiltIn_Print_Area_15" localSheetId="1">#REF!</definedName>
    <definedName name="Excel_BuiltIn_Print_Area_15" localSheetId="0">#REF!</definedName>
    <definedName name="Excel_BuiltIn_Print_Area_15">#REF!</definedName>
    <definedName name="Excel_BuiltIn_Print_Area_16" localSheetId="1">#REF!</definedName>
    <definedName name="Excel_BuiltIn_Print_Area_16" localSheetId="0">#REF!</definedName>
    <definedName name="Excel_BuiltIn_Print_Area_16">#REF!</definedName>
    <definedName name="Excel_BuiltIn_Print_Area_17" localSheetId="1">#REF!</definedName>
    <definedName name="Excel_BuiltIn_Print_Area_17" localSheetId="0">#REF!</definedName>
    <definedName name="Excel_BuiltIn_Print_Area_17">#REF!</definedName>
    <definedName name="Excel_BuiltIn_Print_Area_18" localSheetId="1">#REF!</definedName>
    <definedName name="Excel_BuiltIn_Print_Area_18" localSheetId="0">#REF!</definedName>
    <definedName name="Excel_BuiltIn_Print_Area_18">#REF!</definedName>
    <definedName name="Excel_BuiltIn_Print_Area_19" localSheetId="1">#REF!</definedName>
    <definedName name="Excel_BuiltIn_Print_Area_19" localSheetId="0">#REF!</definedName>
    <definedName name="Excel_BuiltIn_Print_Area_19">#REF!</definedName>
    <definedName name="Excel_BuiltIn_Print_Area_19_18" localSheetId="1">#REF!</definedName>
    <definedName name="Excel_BuiltIn_Print_Area_19_18" localSheetId="0">#REF!</definedName>
    <definedName name="Excel_BuiltIn_Print_Area_19_18">#REF!</definedName>
    <definedName name="Excel_BuiltIn_Print_Area_2" localSheetId="1">#REF!</definedName>
    <definedName name="Excel_BuiltIn_Print_Area_2" localSheetId="0">#REF!</definedName>
    <definedName name="Excel_BuiltIn_Print_Area_2">#REF!</definedName>
    <definedName name="Excel_BuiltIn_Print_Area_20" localSheetId="1">#REF!</definedName>
    <definedName name="Excel_BuiltIn_Print_Area_20" localSheetId="0">#REF!</definedName>
    <definedName name="Excel_BuiltIn_Print_Area_20">#REF!</definedName>
    <definedName name="Excel_BuiltIn_Print_Area_21" localSheetId="1">#REF!</definedName>
    <definedName name="Excel_BuiltIn_Print_Area_21" localSheetId="0">#REF!</definedName>
    <definedName name="Excel_BuiltIn_Print_Area_21">#REF!</definedName>
    <definedName name="Excel_BuiltIn_Print_Area_22" localSheetId="1">#REF!</definedName>
    <definedName name="Excel_BuiltIn_Print_Area_22" localSheetId="0">#REF!</definedName>
    <definedName name="Excel_BuiltIn_Print_Area_22">#REF!</definedName>
    <definedName name="Excel_BuiltIn_Print_Area_23" localSheetId="1">#REF!</definedName>
    <definedName name="Excel_BuiltIn_Print_Area_23" localSheetId="0">#REF!</definedName>
    <definedName name="Excel_BuiltIn_Print_Area_23">#REF!</definedName>
    <definedName name="Excel_BuiltIn_Print_Area_24" localSheetId="1">#REF!</definedName>
    <definedName name="Excel_BuiltIn_Print_Area_24" localSheetId="0">#REF!</definedName>
    <definedName name="Excel_BuiltIn_Print_Area_24">#REF!</definedName>
    <definedName name="Excel_BuiltIn_Print_Area_25" localSheetId="1">#REF!</definedName>
    <definedName name="Excel_BuiltIn_Print_Area_25" localSheetId="0">#REF!</definedName>
    <definedName name="Excel_BuiltIn_Print_Area_25">#REF!</definedName>
    <definedName name="Excel_BuiltIn_Print_Area_26" localSheetId="1">#REF!</definedName>
    <definedName name="Excel_BuiltIn_Print_Area_26" localSheetId="0">#REF!</definedName>
    <definedName name="Excel_BuiltIn_Print_Area_26">#REF!</definedName>
    <definedName name="Excel_BuiltIn_Print_Area_27" localSheetId="1">#REF!</definedName>
    <definedName name="Excel_BuiltIn_Print_Area_27" localSheetId="0">#REF!</definedName>
    <definedName name="Excel_BuiltIn_Print_Area_27">#REF!</definedName>
    <definedName name="Excel_BuiltIn_Print_Area_3" localSheetId="1">#REF!</definedName>
    <definedName name="Excel_BuiltIn_Print_Area_3" localSheetId="0">#REF!</definedName>
    <definedName name="Excel_BuiltIn_Print_Area_3">#REF!</definedName>
    <definedName name="Excel_BuiltIn_Print_Area_4" localSheetId="1">#REF!</definedName>
    <definedName name="Excel_BuiltIn_Print_Area_4" localSheetId="0">#REF!</definedName>
    <definedName name="Excel_BuiltIn_Print_Area_4">#REF!</definedName>
    <definedName name="Excel_BuiltIn_Print_Area_5" localSheetId="1">#REF!</definedName>
    <definedName name="Excel_BuiltIn_Print_Area_5" localSheetId="0">#REF!</definedName>
    <definedName name="Excel_BuiltIn_Print_Area_5">#REF!</definedName>
    <definedName name="Excel_BuiltIn_Print_Area_6" localSheetId="1">#REF!</definedName>
    <definedName name="Excel_BuiltIn_Print_Area_6" localSheetId="0">#REF!</definedName>
    <definedName name="Excel_BuiltIn_Print_Area_6">#REF!</definedName>
    <definedName name="Excel_BuiltIn_Print_Area_7" localSheetId="1">#REF!</definedName>
    <definedName name="Excel_BuiltIn_Print_Area_7" localSheetId="0">#REF!</definedName>
    <definedName name="Excel_BuiltIn_Print_Area_7">#REF!</definedName>
    <definedName name="Excel_BuiltIn_Print_Area_7_8" localSheetId="1">#REF!</definedName>
    <definedName name="Excel_BuiltIn_Print_Area_7_8" localSheetId="0">#REF!</definedName>
    <definedName name="Excel_BuiltIn_Print_Area_7_8">#REF!</definedName>
    <definedName name="Excel_BuiltIn_Print_Area_8" localSheetId="1">#REF!</definedName>
    <definedName name="Excel_BuiltIn_Print_Area_8" localSheetId="0">#REF!</definedName>
    <definedName name="Excel_BuiltIn_Print_Area_8">#REF!</definedName>
    <definedName name="Excel_BuiltIn_Print_Area_9" localSheetId="1">#REF!</definedName>
    <definedName name="Excel_BuiltIn_Print_Area_9" localSheetId="0">#REF!</definedName>
    <definedName name="Excel_BuiltIn_Print_Area_9">#REF!</definedName>
    <definedName name="Excel_BuiltIn_Print_Titles_1" localSheetId="1">#REF!</definedName>
    <definedName name="Excel_BuiltIn_Print_Titles_1" localSheetId="0">#REF!</definedName>
    <definedName name="Excel_BuiltIn_Print_Titles_1">#REF!</definedName>
    <definedName name="Excel_BuiltIn_Print_Titles_10" localSheetId="1">#REF!</definedName>
    <definedName name="Excel_BuiltIn_Print_Titles_10" localSheetId="0">#REF!</definedName>
    <definedName name="Excel_BuiltIn_Print_Titles_10">#REF!</definedName>
    <definedName name="Excel_BuiltIn_Print_Titles_11" localSheetId="1">#REF!</definedName>
    <definedName name="Excel_BuiltIn_Print_Titles_11" localSheetId="0">#REF!</definedName>
    <definedName name="Excel_BuiltIn_Print_Titles_11">#REF!</definedName>
    <definedName name="Excel_BuiltIn_Print_Titles_12" localSheetId="1">#REF!</definedName>
    <definedName name="Excel_BuiltIn_Print_Titles_12" localSheetId="0">#REF!</definedName>
    <definedName name="Excel_BuiltIn_Print_Titles_12">#REF!</definedName>
    <definedName name="Excel_BuiltIn_Print_Titles_13" localSheetId="1">#REF!</definedName>
    <definedName name="Excel_BuiltIn_Print_Titles_13" localSheetId="0">#REF!</definedName>
    <definedName name="Excel_BuiltIn_Print_Titles_13">#REF!</definedName>
    <definedName name="Excel_BuiltIn_Print_Titles_14" localSheetId="1">#REF!</definedName>
    <definedName name="Excel_BuiltIn_Print_Titles_14" localSheetId="0">#REF!</definedName>
    <definedName name="Excel_BuiltIn_Print_Titles_14">#REF!</definedName>
    <definedName name="Excel_BuiltIn_Print_Titles_15" localSheetId="1">#REF!</definedName>
    <definedName name="Excel_BuiltIn_Print_Titles_15" localSheetId="0">#REF!</definedName>
    <definedName name="Excel_BuiltIn_Print_Titles_15">#REF!</definedName>
    <definedName name="Excel_BuiltIn_Print_Titles_16" localSheetId="1">#REF!</definedName>
    <definedName name="Excel_BuiltIn_Print_Titles_16" localSheetId="0">#REF!</definedName>
    <definedName name="Excel_BuiltIn_Print_Titles_16">#REF!</definedName>
    <definedName name="Excel_BuiltIn_Print_Titles_17" localSheetId="1">#REF!</definedName>
    <definedName name="Excel_BuiltIn_Print_Titles_17" localSheetId="0">#REF!</definedName>
    <definedName name="Excel_BuiltIn_Print_Titles_17">#REF!</definedName>
    <definedName name="Excel_BuiltIn_Print_Titles_18" localSheetId="1">#REF!</definedName>
    <definedName name="Excel_BuiltIn_Print_Titles_18" localSheetId="0">#REF!</definedName>
    <definedName name="Excel_BuiltIn_Print_Titles_18">#REF!</definedName>
    <definedName name="Excel_BuiltIn_Print_Titles_19" localSheetId="1">#REF!</definedName>
    <definedName name="Excel_BuiltIn_Print_Titles_19" localSheetId="0">#REF!</definedName>
    <definedName name="Excel_BuiltIn_Print_Titles_19">#REF!</definedName>
    <definedName name="Excel_BuiltIn_Print_Titles_19_18" localSheetId="1">#REF!</definedName>
    <definedName name="Excel_BuiltIn_Print_Titles_19_18" localSheetId="0">#REF!</definedName>
    <definedName name="Excel_BuiltIn_Print_Titles_19_18">#REF!</definedName>
    <definedName name="Excel_BuiltIn_Print_Titles_2" localSheetId="1">#REF!</definedName>
    <definedName name="Excel_BuiltIn_Print_Titles_2" localSheetId="0">#REF!</definedName>
    <definedName name="Excel_BuiltIn_Print_Titles_2">#REF!</definedName>
    <definedName name="Excel_BuiltIn_Print_Titles_20" localSheetId="1">#REF!</definedName>
    <definedName name="Excel_BuiltIn_Print_Titles_20" localSheetId="0">#REF!</definedName>
    <definedName name="Excel_BuiltIn_Print_Titles_20">#REF!</definedName>
    <definedName name="Excel_BuiltIn_Print_Titles_21" localSheetId="1">#REF!</definedName>
    <definedName name="Excel_BuiltIn_Print_Titles_21" localSheetId="0">#REF!</definedName>
    <definedName name="Excel_BuiltIn_Print_Titles_21">#REF!</definedName>
    <definedName name="Excel_BuiltIn_Print_Titles_22" localSheetId="1">#REF!</definedName>
    <definedName name="Excel_BuiltIn_Print_Titles_22" localSheetId="0">#REF!</definedName>
    <definedName name="Excel_BuiltIn_Print_Titles_22">#REF!</definedName>
    <definedName name="Excel_BuiltIn_Print_Titles_23" localSheetId="1">#REF!</definedName>
    <definedName name="Excel_BuiltIn_Print_Titles_23" localSheetId="0">#REF!</definedName>
    <definedName name="Excel_BuiltIn_Print_Titles_23">#REF!</definedName>
    <definedName name="Excel_BuiltIn_Print_Titles_24" localSheetId="1">#REF!</definedName>
    <definedName name="Excel_BuiltIn_Print_Titles_24" localSheetId="0">#REF!</definedName>
    <definedName name="Excel_BuiltIn_Print_Titles_24">#REF!</definedName>
    <definedName name="Excel_BuiltIn_Print_Titles_25" localSheetId="1">#REF!</definedName>
    <definedName name="Excel_BuiltIn_Print_Titles_25" localSheetId="0">#REF!</definedName>
    <definedName name="Excel_BuiltIn_Print_Titles_25">#REF!</definedName>
    <definedName name="Excel_BuiltIn_Print_Titles_26" localSheetId="1">#REF!</definedName>
    <definedName name="Excel_BuiltIn_Print_Titles_26" localSheetId="0">#REF!</definedName>
    <definedName name="Excel_BuiltIn_Print_Titles_26">#REF!</definedName>
    <definedName name="Excel_BuiltIn_Print_Titles_27" localSheetId="1">#REF!</definedName>
    <definedName name="Excel_BuiltIn_Print_Titles_27" localSheetId="0">#REF!</definedName>
    <definedName name="Excel_BuiltIn_Print_Titles_27">#REF!</definedName>
    <definedName name="Excel_BuiltIn_Print_Titles_3" localSheetId="1">#REF!</definedName>
    <definedName name="Excel_BuiltIn_Print_Titles_3" localSheetId="0">#REF!</definedName>
    <definedName name="Excel_BuiltIn_Print_Titles_3">#REF!</definedName>
    <definedName name="Excel_BuiltIn_Print_Titles_5" localSheetId="1">#REF!</definedName>
    <definedName name="Excel_BuiltIn_Print_Titles_5" localSheetId="0">#REF!</definedName>
    <definedName name="Excel_BuiltIn_Print_Titles_5">#REF!</definedName>
    <definedName name="Excel_BuiltIn_Print_Titles_6" localSheetId="1">#REF!</definedName>
    <definedName name="Excel_BuiltIn_Print_Titles_6" localSheetId="0">#REF!</definedName>
    <definedName name="Excel_BuiltIn_Print_Titles_6">#REF!</definedName>
    <definedName name="Excel_BuiltIn_Print_Titles_7" localSheetId="1">#REF!</definedName>
    <definedName name="Excel_BuiltIn_Print_Titles_7" localSheetId="0">#REF!</definedName>
    <definedName name="Excel_BuiltIn_Print_Titles_7">#REF!</definedName>
    <definedName name="Excel_BuiltIn_Print_Titles_7_8" localSheetId="1">#REF!</definedName>
    <definedName name="Excel_BuiltIn_Print_Titles_7_8" localSheetId="0">#REF!</definedName>
    <definedName name="Excel_BuiltIn_Print_Titles_7_8">#REF!</definedName>
    <definedName name="Excel_BuiltIn_Print_Titles_8" localSheetId="1">#REF!</definedName>
    <definedName name="Excel_BuiltIn_Print_Titles_8" localSheetId="0">#REF!</definedName>
    <definedName name="Excel_BuiltIn_Print_Titles_8">#REF!</definedName>
    <definedName name="Excel_BuiltIn_Print_Titles_9" localSheetId="1">#REF!</definedName>
    <definedName name="Excel_BuiltIn_Print_Titles_9" localSheetId="0">#REF!</definedName>
    <definedName name="Excel_BuiltIn_Print_Titles_9">#REF!</definedName>
    <definedName name="external" localSheetId="1">#REF!</definedName>
    <definedName name="external" localSheetId="0">#REF!</definedName>
    <definedName name="external">#REF!</definedName>
    <definedName name="f" localSheetId="1">#REF!</definedName>
    <definedName name="f" localSheetId="0">#REF!</definedName>
    <definedName name="f">#REF!</definedName>
    <definedName name="fcompany" localSheetId="1">#REF!</definedName>
    <definedName name="fcompany" localSheetId="0">#REF!</definedName>
    <definedName name="fcompany">#REF!</definedName>
    <definedName name="fdate" localSheetId="1">#REF!</definedName>
    <definedName name="fdate" localSheetId="0">#REF!</definedName>
    <definedName name="fdate">#REF!</definedName>
    <definedName name="fdevise" localSheetId="1">#REF!</definedName>
    <definedName name="fdevise" localSheetId="0">#REF!</definedName>
    <definedName name="fdevise">#REF!</definedName>
    <definedName name="feb" localSheetId="1">#REF!</definedName>
    <definedName name="feb" localSheetId="0">#REF!</definedName>
    <definedName name="feb">#REF!</definedName>
    <definedName name="FF" localSheetId="1">#REF!</definedName>
    <definedName name="FF" localSheetId="0">#REF!</definedName>
    <definedName name="FF">#REF!</definedName>
    <definedName name="ffff" localSheetId="1">#REF!</definedName>
    <definedName name="ffff" localSheetId="0">#REF!</definedName>
    <definedName name="ffff">#REF!</definedName>
    <definedName name="Flooring" localSheetId="1">#REF!</definedName>
    <definedName name="Flooring" localSheetId="0">#REF!</definedName>
    <definedName name="Flooring">#REF!</definedName>
    <definedName name="Floorings" localSheetId="1">#REF!</definedName>
    <definedName name="Floorings" localSheetId="0">#REF!</definedName>
    <definedName name="Floorings">#REF!</definedName>
    <definedName name="fsfasdf" localSheetId="1">#REF!</definedName>
    <definedName name="fsfasdf" localSheetId="0">#REF!</definedName>
    <definedName name="fsfasdf">#REF!</definedName>
    <definedName name="FSP" localSheetId="1">#REF!</definedName>
    <definedName name="FSP" localSheetId="0">#REF!</definedName>
    <definedName name="FSP">#REF!</definedName>
    <definedName name="G" localSheetId="1">#REF!</definedName>
    <definedName name="G" localSheetId="0">#REF!</definedName>
    <definedName name="G">#REF!</definedName>
    <definedName name="GBV_NBV" localSheetId="1">'[1]6.1-TRI'!#REF!</definedName>
    <definedName name="GBV_NBV" localSheetId="0">'[1]6.1-TRI'!#REF!</definedName>
    <definedName name="GBV_NBV">'[1]6.1-TRI'!#REF!</definedName>
    <definedName name="gdhgf" localSheetId="1">#REF!</definedName>
    <definedName name="gdhgf" localSheetId="0">#REF!</definedName>
    <definedName name="gdhgf">#REF!</definedName>
    <definedName name="Gen_Boiler_Air" localSheetId="1">#REF!</definedName>
    <definedName name="Gen_Boiler_Air" localSheetId="0">#REF!</definedName>
    <definedName name="Gen_Boiler_Air">#REF!</definedName>
    <definedName name="GF" localSheetId="1">#REF!</definedName>
    <definedName name="GF" localSheetId="0">#REF!</definedName>
    <definedName name="GF">#REF!</definedName>
    <definedName name="GG" localSheetId="1">'[14]Block - A'!#REF!</definedName>
    <definedName name="GG" localSheetId="0">'[14]Block - A'!#REF!</definedName>
    <definedName name="GG">'[14]Block - A'!#REF!</definedName>
    <definedName name="ggf" localSheetId="1">#REF!</definedName>
    <definedName name="ggf" localSheetId="0">#REF!</definedName>
    <definedName name="ggf">#REF!</definedName>
    <definedName name="GLTF" localSheetId="1">#REF!</definedName>
    <definedName name="GLTF" localSheetId="0">#REF!</definedName>
    <definedName name="GLTF">#REF!</definedName>
    <definedName name="GLTW" localSheetId="1">#REF!</definedName>
    <definedName name="GLTW" localSheetId="0">#REF!</definedName>
    <definedName name="GLTW">#REF!</definedName>
    <definedName name="h" localSheetId="1">#REF!</definedName>
    <definedName name="h" localSheetId="0">#REF!</definedName>
    <definedName name="h">#REF!</definedName>
    <definedName name="hh" localSheetId="1">#REF!</definedName>
    <definedName name="hh" localSheetId="0">#REF!</definedName>
    <definedName name="hh">#REF!</definedName>
    <definedName name="hkk" localSheetId="1">#REF!</definedName>
    <definedName name="hkk" localSheetId="0">#REF!</definedName>
    <definedName name="hkk">#REF!</definedName>
    <definedName name="HTML_CodePage" hidden="1">950</definedName>
    <definedName name="HTML_Control" localSheetId="1" hidden="1">{"'Sheet1'!$L$16"}</definedName>
    <definedName name="HTML_Control" localSheetId="0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Template" hidden="1">"C:\My Documents\Const_Sov_REV\HTMLTemp.htm"</definedName>
    <definedName name="HTML_Title" hidden="1">"00Q3961-SUM"</definedName>
    <definedName name="huy" localSheetId="1" hidden="1">{"'Sheet1'!$L$16"}</definedName>
    <definedName name="huy" localSheetId="0" hidden="1">{"'Sheet1'!$L$16"}</definedName>
    <definedName name="huy" hidden="1">{"'Sheet1'!$L$16"}</definedName>
    <definedName name="j" localSheetId="1" hidden="1">#REF!</definedName>
    <definedName name="j" localSheetId="0" hidden="1">#REF!</definedName>
    <definedName name="j" hidden="1">#REF!</definedName>
    <definedName name="javd" localSheetId="1">#REF!</definedName>
    <definedName name="javd" localSheetId="0">#REF!</definedName>
    <definedName name="javd">#REF!</definedName>
    <definedName name="jjjj" localSheetId="1">#REF!</definedName>
    <definedName name="jjjj" localSheetId="0">#REF!</definedName>
    <definedName name="jjjj">#REF!</definedName>
    <definedName name="K" localSheetId="1">#REF!</definedName>
    <definedName name="K" localSheetId="0">#REF!</definedName>
    <definedName name="K">#REF!</definedName>
    <definedName name="KK" localSheetId="1">#REF!</definedName>
    <definedName name="KK" localSheetId="0">#REF!</definedName>
    <definedName name="KK">#REF!</definedName>
    <definedName name="kkkk" localSheetId="1">#REF!</definedName>
    <definedName name="kkkk" localSheetId="0">#REF!</definedName>
    <definedName name="kkkk">#REF!</definedName>
    <definedName name="L" localSheetId="1">#REF!</definedName>
    <definedName name="L" localSheetId="0">#REF!</definedName>
    <definedName name="L">#REF!</definedName>
    <definedName name="lf" localSheetId="1">#REF!</definedName>
    <definedName name="lf" localSheetId="0">#REF!</definedName>
    <definedName name="lf">#REF!</definedName>
    <definedName name="LL" localSheetId="1">#REF!</definedName>
    <definedName name="LL" localSheetId="0">#REF!</definedName>
    <definedName name="LL">#REF!</definedName>
    <definedName name="M" localSheetId="1">#REF!</definedName>
    <definedName name="M" localSheetId="0">#REF!</definedName>
    <definedName name="M">#REF!</definedName>
    <definedName name="Main" localSheetId="1">#REF!</definedName>
    <definedName name="Main" localSheetId="0">#REF!</definedName>
    <definedName name="Main">#REF!</definedName>
    <definedName name="MENU" localSheetId="1">'[1]6.1-TRI'!#REF!</definedName>
    <definedName name="MENU" localSheetId="0">'[1]6.1-TRI'!#REF!</definedName>
    <definedName name="MENU">'[1]6.1-TRI'!#REF!</definedName>
    <definedName name="mghfkrk6g" localSheetId="1">#REF!</definedName>
    <definedName name="mghfkrk6g" localSheetId="0">#REF!</definedName>
    <definedName name="mghfkrk6g">#REF!</definedName>
    <definedName name="MIRE" localSheetId="1">'[1]6.1-TRI'!#REF!</definedName>
    <definedName name="MIRE" localSheetId="0">'[1]6.1-TRI'!#REF!</definedName>
    <definedName name="MIRE">'[1]6.1-TRI'!#REF!</definedName>
    <definedName name="MODELE" localSheetId="1">#REF!</definedName>
    <definedName name="MODELE" localSheetId="0">#REF!</definedName>
    <definedName name="MODELE">#REF!</definedName>
    <definedName name="MRC" localSheetId="1">#REF!</definedName>
    <definedName name="MRC" localSheetId="0">#REF!</definedName>
    <definedName name="MRC">#REF!</definedName>
    <definedName name="MTO" localSheetId="1">#REF!</definedName>
    <definedName name="MTO" localSheetId="0">#REF!</definedName>
    <definedName name="MTO">#REF!</definedName>
    <definedName name="MTOoffplotvalves_LASMO__4__List" localSheetId="1">#REF!</definedName>
    <definedName name="MTOoffplotvalves_LASMO__4__List" localSheetId="0">#REF!</definedName>
    <definedName name="MTOoffplotvalves_LASMO__4__List">#REF!</definedName>
    <definedName name="N" localSheetId="1">#REF!</definedName>
    <definedName name="N" localSheetId="0">#REF!</definedName>
    <definedName name="N">#REF!</definedName>
    <definedName name="nn" localSheetId="1">#REF!</definedName>
    <definedName name="nn" localSheetId="0">#REF!</definedName>
    <definedName name="nn">#REF!</definedName>
    <definedName name="Nw" localSheetId="1">#REF!</definedName>
    <definedName name="Nw" localSheetId="0">#REF!</definedName>
    <definedName name="Nw">#REF!</definedName>
    <definedName name="ODH" localSheetId="1" hidden="1">#REF!</definedName>
    <definedName name="ODH" localSheetId="0" hidden="1">#REF!</definedName>
    <definedName name="ODH" hidden="1">#REF!</definedName>
    <definedName name="OEC" localSheetId="2">#REF!</definedName>
    <definedName name="OEC" localSheetId="1">#REF!</definedName>
    <definedName name="OEC" localSheetId="0">#REF!</definedName>
    <definedName name="OEC">#REF!</definedName>
    <definedName name="OH">'[15]BOQ KACHHI'!$H$4</definedName>
    <definedName name="OPC" localSheetId="1">#REF!</definedName>
    <definedName name="OPC" localSheetId="0">#REF!</definedName>
    <definedName name="OPC">#REF!</definedName>
    <definedName name="OWNER">'[16]Composite Summary'!$E$3</definedName>
    <definedName name="P" localSheetId="1">#REF!</definedName>
    <definedName name="P" localSheetId="0">#REF!</definedName>
    <definedName name="P">#REF!</definedName>
    <definedName name="P2.1" localSheetId="1">#REF!</definedName>
    <definedName name="P2.1" localSheetId="0">#REF!</definedName>
    <definedName name="P2.1">#REF!</definedName>
    <definedName name="P2.2" localSheetId="1">#REF!</definedName>
    <definedName name="P2.2" localSheetId="0">#REF!</definedName>
    <definedName name="P2.2">#REF!</definedName>
    <definedName name="Page1" localSheetId="1">#REF!</definedName>
    <definedName name="Page1" localSheetId="0">#REF!</definedName>
    <definedName name="Page1">#REF!</definedName>
    <definedName name="Page2" localSheetId="1">#REF!</definedName>
    <definedName name="Page2" localSheetId="0">#REF!</definedName>
    <definedName name="Page2">#REF!</definedName>
    <definedName name="PILE" localSheetId="1">#REF!</definedName>
    <definedName name="PILE" localSheetId="0">#REF!</definedName>
    <definedName name="PILE">#REF!</definedName>
    <definedName name="PLUMBING" localSheetId="1">#REF!</definedName>
    <definedName name="PLUMBING" localSheetId="0">#REF!</definedName>
    <definedName name="PLUMBING">#REF!</definedName>
    <definedName name="PR_883M">'[11]Normal Basis'!$A$33:$IV$33</definedName>
    <definedName name="PR858F">'[11]Normal Basis'!$A$58:$IV$58</definedName>
    <definedName name="_xlnm.Print_Area" localSheetId="2">Fire!$A$1:$K$89</definedName>
    <definedName name="_xlnm.Print_Area" localSheetId="1">HVAC!$A$1:$M$87</definedName>
    <definedName name="_xlnm.Print_Area" localSheetId="3">Plumbing!$A$1:$L$96</definedName>
    <definedName name="_xlnm.Print_Area" localSheetId="0">SUMM!$A$1:$F$15</definedName>
    <definedName name="_xlnm.Print_Area">[17]URA!#REF!</definedName>
    <definedName name="PRINT_AREA_MI" localSheetId="1">[17]URA!#REF!</definedName>
    <definedName name="PRINT_AREA_MI" localSheetId="0">[17]URA!#REF!</definedName>
    <definedName name="PRINT_AREA_MI">[17]URA!#REF!</definedName>
    <definedName name="_xlnm.Print_Titles" localSheetId="2">Fire!$1:$7</definedName>
    <definedName name="_xlnm.Print_Titles" localSheetId="1">HVAC!$1:$7</definedName>
    <definedName name="_xlnm.Print_Titles" localSheetId="3">Plumbing!$1:$7</definedName>
    <definedName name="PROJECT">'[16]Composite Summary'!$E$1</definedName>
    <definedName name="q" localSheetId="1">#REF!</definedName>
    <definedName name="q" localSheetId="0">#REF!</definedName>
    <definedName name="q">#REF!</definedName>
    <definedName name="q_1" localSheetId="1">#REF!</definedName>
    <definedName name="q_1" localSheetId="0">#REF!</definedName>
    <definedName name="q_1">#REF!</definedName>
    <definedName name="q_11" localSheetId="1">#REF!</definedName>
    <definedName name="q_11" localSheetId="0">#REF!</definedName>
    <definedName name="q_11">#REF!</definedName>
    <definedName name="q_11_1" localSheetId="1">#REF!</definedName>
    <definedName name="q_11_1" localSheetId="0">#REF!</definedName>
    <definedName name="q_11_1">#REF!</definedName>
    <definedName name="q_12" localSheetId="1">#REF!</definedName>
    <definedName name="q_12" localSheetId="0">#REF!</definedName>
    <definedName name="q_12">#REF!</definedName>
    <definedName name="q_14" localSheetId="1">#REF!</definedName>
    <definedName name="q_14" localSheetId="0">#REF!</definedName>
    <definedName name="q_14">#REF!</definedName>
    <definedName name="q_2" localSheetId="1">#REF!</definedName>
    <definedName name="q_2" localSheetId="0">#REF!</definedName>
    <definedName name="q_2">#REF!</definedName>
    <definedName name="q_20" localSheetId="1">#REF!</definedName>
    <definedName name="q_20" localSheetId="0">#REF!</definedName>
    <definedName name="q_20">#REF!</definedName>
    <definedName name="q_21" localSheetId="1">#REF!</definedName>
    <definedName name="q_21" localSheetId="0">#REF!</definedName>
    <definedName name="q_21">#REF!</definedName>
    <definedName name="q_22" localSheetId="1">#REF!</definedName>
    <definedName name="q_22" localSheetId="0">#REF!</definedName>
    <definedName name="q_22">#REF!</definedName>
    <definedName name="q_23" localSheetId="1">#REF!</definedName>
    <definedName name="q_23" localSheetId="0">#REF!</definedName>
    <definedName name="q_23">#REF!</definedName>
    <definedName name="q_25" localSheetId="1">#REF!</definedName>
    <definedName name="q_25" localSheetId="0">#REF!</definedName>
    <definedName name="q_25">#REF!</definedName>
    <definedName name="q_3" localSheetId="1">#REF!</definedName>
    <definedName name="q_3" localSheetId="0">#REF!</definedName>
    <definedName name="q_3">#REF!</definedName>
    <definedName name="QQ">#REF!</definedName>
    <definedName name="QQQ">#REF!</definedName>
    <definedName name="_xlnm.Recorder" localSheetId="1">#REF!</definedName>
    <definedName name="_xlnm.Recorder" localSheetId="0">#REF!</definedName>
    <definedName name="_xlnm.Recorder">#REF!</definedName>
    <definedName name="restttt" localSheetId="1">#REF!</definedName>
    <definedName name="restttt" localSheetId="0">#REF!</definedName>
    <definedName name="restttt">#REF!</definedName>
    <definedName name="RIDA">#REF!</definedName>
    <definedName name="ROMANZA" localSheetId="1">#REF!</definedName>
    <definedName name="ROMANZA" localSheetId="0">#REF!</definedName>
    <definedName name="ROMANZA">#REF!</definedName>
    <definedName name="s" localSheetId="1">#REF!</definedName>
    <definedName name="s" localSheetId="0">#REF!</definedName>
    <definedName name="s">#REF!</definedName>
    <definedName name="SAD" localSheetId="1">#REF!</definedName>
    <definedName name="SAD" localSheetId="0">#REF!</definedName>
    <definedName name="SAD">#REF!</definedName>
    <definedName name="Sand" localSheetId="1">#REF!</definedName>
    <definedName name="Sand" localSheetId="0">#REF!</definedName>
    <definedName name="Sand">#REF!</definedName>
    <definedName name="SAP" localSheetId="1">#REF!</definedName>
    <definedName name="SAP" localSheetId="0">#REF!</definedName>
    <definedName name="SAP">#REF!</definedName>
    <definedName name="sd" localSheetId="1">#REF!</definedName>
    <definedName name="sd" localSheetId="0">#REF!</definedName>
    <definedName name="sd">#REF!</definedName>
    <definedName name="sdf" localSheetId="1">'[14]Block - A'!#REF!</definedName>
    <definedName name="sdf" localSheetId="0">'[14]Block - A'!#REF!</definedName>
    <definedName name="sdf">'[14]Block - A'!#REF!</definedName>
    <definedName name="Section25320" localSheetId="1">#REF!</definedName>
    <definedName name="Section25320" localSheetId="0">#REF!</definedName>
    <definedName name="Section25320">#REF!</definedName>
    <definedName name="sections" localSheetId="1">#REF!</definedName>
    <definedName name="sections" localSheetId="0">#REF!</definedName>
    <definedName name="sections">#REF!</definedName>
    <definedName name="sectionss" localSheetId="1">#REF!</definedName>
    <definedName name="sectionss" localSheetId="0">#REF!</definedName>
    <definedName name="sectionss">#REF!</definedName>
    <definedName name="SF" localSheetId="1">#REF!</definedName>
    <definedName name="SF" localSheetId="0">#REF!</definedName>
    <definedName name="SF">#REF!</definedName>
    <definedName name="SNDC" localSheetId="1">#REF!</definedName>
    <definedName name="SNDC" localSheetId="0">#REF!</definedName>
    <definedName name="SNDC">#REF!</definedName>
    <definedName name="SNDM" localSheetId="1">#REF!</definedName>
    <definedName name="SNDM" localSheetId="0">#REF!</definedName>
    <definedName name="SNDM">#REF!</definedName>
    <definedName name="SSHC" localSheetId="1">#REF!</definedName>
    <definedName name="SSHC" localSheetId="0">#REF!</definedName>
    <definedName name="SSHC">#REF!</definedName>
    <definedName name="Sss" localSheetId="1">'[2]URA-C1'!#REF!</definedName>
    <definedName name="Sss" localSheetId="0">'[2]URA-C1'!#REF!</definedName>
    <definedName name="Sss">'[2]URA-C1'!#REF!</definedName>
    <definedName name="Summary" localSheetId="1">'[14]Block - A'!#REF!</definedName>
    <definedName name="Summary" localSheetId="0">'[14]Block - A'!#REF!</definedName>
    <definedName name="Summary">'[14]Block - A'!#REF!</definedName>
    <definedName name="Summary1" localSheetId="1">'[14]Block - A'!#REF!</definedName>
    <definedName name="Summary1" localSheetId="0">'[14]Block - A'!#REF!</definedName>
    <definedName name="Summary1">'[14]Block - A'!#REF!</definedName>
    <definedName name="svg" localSheetId="1">#REF!</definedName>
    <definedName name="svg" localSheetId="0">#REF!</definedName>
    <definedName name="svg">#REF!</definedName>
    <definedName name="SWV">[18]Plumbing!$K$137</definedName>
    <definedName name="T" localSheetId="1">#REF!</definedName>
    <definedName name="T" localSheetId="0">#REF!</definedName>
    <definedName name="T">#REF!</definedName>
    <definedName name="Taux_d_act" localSheetId="1">#REF!</definedName>
    <definedName name="Taux_d_act" localSheetId="0">#REF!</definedName>
    <definedName name="Taux_d_act">#REF!</definedName>
    <definedName name="test">'[1]6.1-TRI'!$H$23:$K$26,'[1]6.1-TRI'!$H$29:$H$31</definedName>
    <definedName name="TITLE">'[19]K - Drywall-Presd'!$B$7</definedName>
    <definedName name="Total_Amount" localSheetId="1">#REF!</definedName>
    <definedName name="Total_Amount" localSheetId="0">#REF!</definedName>
    <definedName name="Total_Amount">#REF!</definedName>
    <definedName name="tr" localSheetId="1">[17]URA!#REF!</definedName>
    <definedName name="tr" localSheetId="0">[17]URA!#REF!</definedName>
    <definedName name="tr">[17]URA!#REF!</definedName>
    <definedName name="tt" localSheetId="1" hidden="1">[17]URA!#REF!</definedName>
    <definedName name="tt" localSheetId="0" hidden="1">[17]URA!#REF!</definedName>
    <definedName name="tt" hidden="1">[17]URA!#REF!</definedName>
    <definedName name="ttt" localSheetId="1" hidden="1">[17]URA!#REF!</definedName>
    <definedName name="ttt" localSheetId="0" hidden="1">[17]URA!#REF!</definedName>
    <definedName name="ttt" hidden="1">[17]URA!#REF!</definedName>
    <definedName name="tttt" localSheetId="1" hidden="1">[17]URA!#REF!</definedName>
    <definedName name="tttt" localSheetId="0" hidden="1">[17]URA!#REF!</definedName>
    <definedName name="tttt" hidden="1">[17]URA!#REF!</definedName>
    <definedName name="ttttt" localSheetId="1">[17]URA!#REF!</definedName>
    <definedName name="ttttt" localSheetId="0">[17]URA!#REF!</definedName>
    <definedName name="ttttt">[17]URA!#REF!</definedName>
    <definedName name="U" localSheetId="1">#REF!</definedName>
    <definedName name="U" localSheetId="0">#REF!</definedName>
    <definedName name="U">#REF!</definedName>
    <definedName name="UEC" localSheetId="1">#REF!</definedName>
    <definedName name="UEC" localSheetId="0">#REF!</definedName>
    <definedName name="UEC">#REF!</definedName>
    <definedName name="UES" localSheetId="1">#REF!</definedName>
    <definedName name="UES" localSheetId="0">#REF!</definedName>
    <definedName name="UES">#REF!</definedName>
    <definedName name="UN" localSheetId="1">[18]Plumbing!#REF!</definedName>
    <definedName name="UN" localSheetId="0">[18]Plumbing!#REF!</definedName>
    <definedName name="UN">[18]Plumbing!#REF!</definedName>
    <definedName name="V" localSheetId="1">#REF!</definedName>
    <definedName name="V" localSheetId="0">#REF!</definedName>
    <definedName name="V">#REF!</definedName>
    <definedName name="valeur_du_stock">"s21"</definedName>
    <definedName name="Valeur_fixée" localSheetId="1">'[1]6.1-TRI'!#REF!</definedName>
    <definedName name="Valeur_fixée" localSheetId="0">'[1]6.1-TRI'!#REF!</definedName>
    <definedName name="Valeur_fixée">'[1]6.1-TRI'!#REF!</definedName>
    <definedName name="voltregu" localSheetId="1">#REF!</definedName>
    <definedName name="voltregu" localSheetId="0">#REF!</definedName>
    <definedName name="voltregu">#REF!</definedName>
    <definedName name="voltregu_10" localSheetId="1">#REF!</definedName>
    <definedName name="voltregu_10" localSheetId="0">#REF!</definedName>
    <definedName name="voltregu_10">#REF!</definedName>
    <definedName name="voltregu_10_1" localSheetId="1">#REF!</definedName>
    <definedName name="voltregu_10_1" localSheetId="0">#REF!</definedName>
    <definedName name="voltregu_10_1">#REF!</definedName>
    <definedName name="voltregu_11" localSheetId="1">#REF!</definedName>
    <definedName name="voltregu_11" localSheetId="0">#REF!</definedName>
    <definedName name="voltregu_11">#REF!</definedName>
    <definedName name="voltregu_12" localSheetId="1">#REF!</definedName>
    <definedName name="voltregu_12" localSheetId="0">#REF!</definedName>
    <definedName name="voltregu_12">#REF!</definedName>
    <definedName name="voltregu_14" localSheetId="1">#REF!</definedName>
    <definedName name="voltregu_14" localSheetId="0">#REF!</definedName>
    <definedName name="voltregu_14">#REF!</definedName>
    <definedName name="voltregu_16" localSheetId="1">#REF!</definedName>
    <definedName name="voltregu_16" localSheetId="0">#REF!</definedName>
    <definedName name="voltregu_16">#REF!</definedName>
    <definedName name="voltregu_19" localSheetId="1">#REF!</definedName>
    <definedName name="voltregu_19" localSheetId="0">#REF!</definedName>
    <definedName name="voltregu_19">#REF!</definedName>
    <definedName name="voltregu_2" localSheetId="1">#REF!</definedName>
    <definedName name="voltregu_2" localSheetId="0">#REF!</definedName>
    <definedName name="voltregu_2">#REF!</definedName>
    <definedName name="voltregu_20" localSheetId="1">#REF!</definedName>
    <definedName name="voltregu_20" localSheetId="0">#REF!</definedName>
    <definedName name="voltregu_20">#REF!</definedName>
    <definedName name="voltregu_21" localSheetId="1">#REF!</definedName>
    <definedName name="voltregu_21" localSheetId="0">#REF!</definedName>
    <definedName name="voltregu_21">#REF!</definedName>
    <definedName name="voltregu_3" localSheetId="1">#REF!</definedName>
    <definedName name="voltregu_3" localSheetId="0">#REF!</definedName>
    <definedName name="voltregu_3">#REF!</definedName>
    <definedName name="voltregu_3_1" localSheetId="1">#REF!</definedName>
    <definedName name="voltregu_3_1" localSheetId="0">#REF!</definedName>
    <definedName name="voltregu_3_1">#REF!</definedName>
    <definedName name="voltregu_7" localSheetId="1">#REF!</definedName>
    <definedName name="voltregu_7" localSheetId="0">#REF!</definedName>
    <definedName name="voltregu_7">#REF!</definedName>
    <definedName name="w" localSheetId="1">#REF!</definedName>
    <definedName name="w" localSheetId="0">#REF!</definedName>
    <definedName name="w">#REF!</definedName>
    <definedName name="W10x30" localSheetId="1">#REF!</definedName>
    <definedName name="W10x30" localSheetId="0">#REF!</definedName>
    <definedName name="W10x30">#REF!</definedName>
    <definedName name="W12x35" localSheetId="1">#REF!</definedName>
    <definedName name="W12x35" localSheetId="0">#REF!</definedName>
    <definedName name="W12x35">#REF!</definedName>
    <definedName name="W6x15" localSheetId="1">#REF!</definedName>
    <definedName name="W6x15" localSheetId="0">#REF!</definedName>
    <definedName name="W6x15">#REF!</definedName>
    <definedName name="W8x24" localSheetId="1">#REF!</definedName>
    <definedName name="W8x24" localSheetId="0">#REF!</definedName>
    <definedName name="W8x24">#REF!</definedName>
    <definedName name="WC" localSheetId="1">#REF!</definedName>
    <definedName name="WC" localSheetId="0">#REF!</definedName>
    <definedName name="WC">#REF!</definedName>
    <definedName name="WCement" localSheetId="1">'[20]MATERIALS - RATES '!#REF!</definedName>
    <definedName name="WCement" localSheetId="0">'[20]MATERIALS - RATES '!#REF!</definedName>
    <definedName name="WCement">'[20]MATERIALS - RATES '!#REF!</definedName>
    <definedName name="we" localSheetId="1">'[12]Summary Page'!#REF!</definedName>
    <definedName name="we" localSheetId="0">'[12]Summary Page'!#REF!</definedName>
    <definedName name="we">'[12]Summary Page'!#REF!</definedName>
    <definedName name="www" localSheetId="1">'[14]Block - A'!#REF!</definedName>
    <definedName name="www" localSheetId="0">'[14]Block - A'!#REF!</definedName>
    <definedName name="www">'[14]Block - A'!#REF!</definedName>
    <definedName name="wwwww" localSheetId="1">#REF!</definedName>
    <definedName name="wwwww" localSheetId="0">#REF!</definedName>
    <definedName name="wwwww">#REF!</definedName>
    <definedName name="X" localSheetId="1">#REF!</definedName>
    <definedName name="X" localSheetId="0">#REF!</definedName>
    <definedName name="X">#REF!</definedName>
    <definedName name="Y" localSheetId="1">#REF!</definedName>
    <definedName name="Y" localSheetId="0">#REF!</definedName>
    <definedName name="Y">#REF!</definedName>
    <definedName name="yrtyrtytr">'[21]Section 16050'!$L$5</definedName>
    <definedName name="yyy" localSheetId="1">#REF!</definedName>
    <definedName name="yyy" localSheetId="0">#REF!</definedName>
    <definedName name="yyy">#REF!</definedName>
    <definedName name="Z" localSheetId="1">#REF!</definedName>
    <definedName name="Z" localSheetId="0">#REF!</definedName>
    <definedName name="Z">#REF!</definedName>
    <definedName name="zone_impress">'[1]6.1-TRI'!$A$1:$X$53,'[1]6.1-TRI'!$A$56:$X$100,'[1]6.1-TRI'!$A$101:$X$148,'[1]6.1-TRI'!$A$150:$X$194</definedName>
    <definedName name="견적조건" localSheetId="1" hidden="1">[22]산근!#REF!</definedName>
    <definedName name="견적조건" localSheetId="0" hidden="1">[22]산근!#REF!</definedName>
    <definedName name="견적조건" hidden="1">[22]산근!#REF!</definedName>
    <definedName name="부대공사" localSheetId="1" hidden="1">#REF!</definedName>
    <definedName name="부대공사" localSheetId="0" hidden="1">#REF!</definedName>
    <definedName name="부대공사" hidden="1">#REF!</definedName>
  </definedNames>
  <calcPr calcId="162913"/>
</workbook>
</file>

<file path=xl/calcChain.xml><?xml version="1.0" encoding="utf-8"?>
<calcChain xmlns="http://schemas.openxmlformats.org/spreadsheetml/2006/main">
  <c r="E13" i="32" l="1"/>
  <c r="L13" i="32" l="1"/>
  <c r="I17" i="33" l="1"/>
  <c r="I30" i="33" s="1"/>
  <c r="I16" i="33"/>
  <c r="K16" i="33" s="1"/>
  <c r="I15" i="33"/>
  <c r="I29" i="33" s="1"/>
  <c r="I75" i="35"/>
  <c r="I54" i="35"/>
  <c r="K10" i="33" l="1"/>
  <c r="J92" i="35" l="1"/>
  <c r="J91" i="35"/>
  <c r="J90" i="35"/>
  <c r="J89" i="35"/>
  <c r="J88" i="35"/>
  <c r="J85" i="35"/>
  <c r="J84" i="35"/>
  <c r="J83" i="35"/>
  <c r="J82" i="35"/>
  <c r="J81" i="35"/>
  <c r="J80" i="35"/>
  <c r="J79" i="35"/>
  <c r="J78" i="35"/>
  <c r="J77" i="35"/>
  <c r="J74" i="35"/>
  <c r="J73" i="35"/>
  <c r="J72" i="35"/>
  <c r="J70" i="35"/>
  <c r="J68" i="35"/>
  <c r="J65" i="35" l="1"/>
  <c r="J64" i="35"/>
  <c r="K64" i="35" s="1"/>
  <c r="J63" i="35"/>
  <c r="J61" i="35"/>
  <c r="J60" i="35"/>
  <c r="K60" i="35" s="1"/>
  <c r="J59" i="35"/>
  <c r="J58" i="35"/>
  <c r="K58" i="35" s="1"/>
  <c r="J57" i="35"/>
  <c r="K57" i="35" s="1"/>
  <c r="J53" i="35"/>
  <c r="K53" i="35" s="1"/>
  <c r="J51" i="35"/>
  <c r="J50" i="35"/>
  <c r="K50" i="35" s="1"/>
  <c r="J49" i="35"/>
  <c r="J48" i="35"/>
  <c r="K48" i="35" s="1"/>
  <c r="J47" i="35"/>
  <c r="J45" i="35"/>
  <c r="K45" i="35" s="1"/>
  <c r="J43" i="35"/>
  <c r="J42" i="35"/>
  <c r="K42" i="35" s="1"/>
  <c r="J41" i="35"/>
  <c r="J39" i="35"/>
  <c r="K39" i="35" s="1"/>
  <c r="J36" i="35"/>
  <c r="J35" i="35"/>
  <c r="J34" i="35"/>
  <c r="J30" i="35"/>
  <c r="K30" i="35" s="1"/>
  <c r="J29" i="35"/>
  <c r="K29" i="35" s="1"/>
  <c r="J28" i="35"/>
  <c r="J27" i="35"/>
  <c r="K27" i="35" s="1"/>
  <c r="J26" i="35"/>
  <c r="K26" i="35" s="1"/>
  <c r="J25" i="35"/>
  <c r="K25" i="35" s="1"/>
  <c r="J23" i="35"/>
  <c r="K23" i="35" s="1"/>
  <c r="J21" i="35"/>
  <c r="J20" i="35"/>
  <c r="K20" i="35" s="1"/>
  <c r="J19" i="35"/>
  <c r="J18" i="35"/>
  <c r="J15" i="35"/>
  <c r="J14" i="35"/>
  <c r="K14" i="35" s="1"/>
  <c r="J13" i="35"/>
  <c r="J12" i="35"/>
  <c r="K12" i="35" s="1"/>
  <c r="J11" i="35"/>
  <c r="K11" i="35" s="1"/>
  <c r="J10" i="35"/>
  <c r="I85" i="36"/>
  <c r="J85" i="36" s="1"/>
  <c r="I84" i="36"/>
  <c r="J84" i="36" s="1"/>
  <c r="I83" i="36"/>
  <c r="I82" i="36"/>
  <c r="J82" i="36" s="1"/>
  <c r="I81" i="36"/>
  <c r="J81" i="36" s="1"/>
  <c r="I80" i="36"/>
  <c r="J80" i="36" s="1"/>
  <c r="I77" i="36"/>
  <c r="J77" i="36" s="1"/>
  <c r="I74" i="36"/>
  <c r="J74" i="36" s="1"/>
  <c r="I73" i="36"/>
  <c r="J73" i="36" s="1"/>
  <c r="K73" i="36" s="1"/>
  <c r="I72" i="36"/>
  <c r="J72" i="36" s="1"/>
  <c r="I71" i="36"/>
  <c r="J71" i="36" s="1"/>
  <c r="I70" i="36"/>
  <c r="J70" i="36" s="1"/>
  <c r="I69" i="36"/>
  <c r="J69" i="36" s="1"/>
  <c r="K69" i="36" s="1"/>
  <c r="I68" i="36"/>
  <c r="I67" i="36"/>
  <c r="J67" i="36" s="1"/>
  <c r="I66" i="36"/>
  <c r="I65" i="36"/>
  <c r="J65" i="36" s="1"/>
  <c r="I64" i="36"/>
  <c r="J64" i="36" s="1"/>
  <c r="I63" i="36"/>
  <c r="I59" i="36"/>
  <c r="J59" i="36" s="1"/>
  <c r="I56" i="36"/>
  <c r="J56" i="36" s="1"/>
  <c r="I55" i="36"/>
  <c r="J55" i="36" s="1"/>
  <c r="I54" i="36"/>
  <c r="I53" i="36"/>
  <c r="I51" i="36"/>
  <c r="J51" i="36" s="1"/>
  <c r="I50" i="36"/>
  <c r="J50" i="36" s="1"/>
  <c r="I49" i="36"/>
  <c r="I48" i="36"/>
  <c r="J48" i="36" s="1"/>
  <c r="I47" i="36"/>
  <c r="J47" i="36" s="1"/>
  <c r="I45" i="36"/>
  <c r="I44" i="36"/>
  <c r="I43" i="36"/>
  <c r="I42" i="36"/>
  <c r="J42" i="36" s="1"/>
  <c r="I41" i="36"/>
  <c r="I39" i="36"/>
  <c r="I38" i="36"/>
  <c r="I37" i="36"/>
  <c r="J37" i="36" s="1"/>
  <c r="I36" i="36"/>
  <c r="J36" i="36" s="1"/>
  <c r="I35" i="36"/>
  <c r="J35" i="36" s="1"/>
  <c r="I31" i="36"/>
  <c r="J31" i="36" s="1"/>
  <c r="I30" i="36"/>
  <c r="J30" i="36" s="1"/>
  <c r="I29" i="36"/>
  <c r="J29" i="36" s="1"/>
  <c r="I28" i="36"/>
  <c r="I26" i="36"/>
  <c r="J26" i="36" s="1"/>
  <c r="I25" i="36"/>
  <c r="I24" i="36"/>
  <c r="J24" i="36" s="1"/>
  <c r="I23" i="36"/>
  <c r="I22" i="36"/>
  <c r="I21" i="36"/>
  <c r="J21" i="36" s="1"/>
  <c r="K21" i="36" s="1"/>
  <c r="I17" i="36"/>
  <c r="I14" i="36"/>
  <c r="I11" i="36"/>
  <c r="I10" i="36"/>
  <c r="J10" i="36" s="1"/>
  <c r="I9" i="36"/>
  <c r="J9" i="36" s="1"/>
  <c r="K29" i="33"/>
  <c r="K83" i="33"/>
  <c r="K82" i="33"/>
  <c r="K81" i="33"/>
  <c r="K80" i="33"/>
  <c r="K77" i="33"/>
  <c r="K76" i="33"/>
  <c r="K73" i="33"/>
  <c r="K72" i="33"/>
  <c r="K71" i="33"/>
  <c r="K68" i="33"/>
  <c r="K65" i="33"/>
  <c r="K64" i="33"/>
  <c r="K63" i="33"/>
  <c r="K62" i="33"/>
  <c r="K59" i="33"/>
  <c r="K58" i="33"/>
  <c r="K55" i="33"/>
  <c r="K53" i="33"/>
  <c r="K52" i="33"/>
  <c r="K51" i="33"/>
  <c r="K50" i="33"/>
  <c r="K49" i="33"/>
  <c r="K48" i="33"/>
  <c r="K47" i="33"/>
  <c r="K46" i="33"/>
  <c r="K44" i="33"/>
  <c r="K43" i="33"/>
  <c r="K42" i="33"/>
  <c r="K40" i="33"/>
  <c r="K39" i="33"/>
  <c r="K38" i="33"/>
  <c r="K37" i="33"/>
  <c r="K36" i="33"/>
  <c r="K35" i="33"/>
  <c r="K34" i="33"/>
  <c r="K30" i="33"/>
  <c r="K26" i="33"/>
  <c r="K25" i="33"/>
  <c r="K22" i="33"/>
  <c r="K21" i="33"/>
  <c r="K19" i="33"/>
  <c r="K18" i="33"/>
  <c r="K17" i="33"/>
  <c r="K15" i="33"/>
  <c r="K12" i="33"/>
  <c r="K11" i="33"/>
  <c r="K92" i="35"/>
  <c r="I92" i="35"/>
  <c r="K91" i="35"/>
  <c r="I91" i="35"/>
  <c r="K90" i="35"/>
  <c r="I90" i="35"/>
  <c r="K89" i="35"/>
  <c r="I89" i="35"/>
  <c r="K88" i="35"/>
  <c r="I88" i="35"/>
  <c r="K85" i="35"/>
  <c r="I85" i="35"/>
  <c r="K84" i="35"/>
  <c r="I84" i="35"/>
  <c r="K83" i="35"/>
  <c r="I83" i="35"/>
  <c r="K82" i="35"/>
  <c r="I82" i="35"/>
  <c r="K81" i="35"/>
  <c r="I81" i="35"/>
  <c r="K80" i="35"/>
  <c r="I80" i="35"/>
  <c r="K79" i="35"/>
  <c r="I79" i="35"/>
  <c r="K78" i="35"/>
  <c r="I78" i="35"/>
  <c r="K77" i="35"/>
  <c r="I77" i="35"/>
  <c r="K74" i="35"/>
  <c r="I74" i="35"/>
  <c r="K73" i="35"/>
  <c r="I73" i="35"/>
  <c r="K72" i="35"/>
  <c r="I72" i="35"/>
  <c r="K70" i="35"/>
  <c r="I70" i="35"/>
  <c r="K68" i="35"/>
  <c r="I68" i="35"/>
  <c r="K65" i="35"/>
  <c r="I65" i="35"/>
  <c r="I64" i="35"/>
  <c r="I60" i="35"/>
  <c r="I58" i="35"/>
  <c r="I57" i="35"/>
  <c r="I53" i="35"/>
  <c r="K51" i="35"/>
  <c r="I51" i="35"/>
  <c r="I50" i="35"/>
  <c r="I48" i="35"/>
  <c r="I45" i="35"/>
  <c r="I42" i="35"/>
  <c r="I39" i="35"/>
  <c r="K35" i="35"/>
  <c r="I35" i="35"/>
  <c r="I30" i="35"/>
  <c r="I29" i="35"/>
  <c r="K28" i="35"/>
  <c r="I28" i="35"/>
  <c r="I27" i="35"/>
  <c r="I26" i="35"/>
  <c r="I25" i="35"/>
  <c r="I23" i="35"/>
  <c r="K21" i="35"/>
  <c r="I21" i="35"/>
  <c r="I20" i="35"/>
  <c r="K15" i="35"/>
  <c r="I15" i="35"/>
  <c r="I14" i="35"/>
  <c r="K13" i="35"/>
  <c r="I13" i="35"/>
  <c r="I12" i="35"/>
  <c r="I11" i="35"/>
  <c r="I10" i="35"/>
  <c r="L10" i="35" s="1"/>
  <c r="H85" i="36"/>
  <c r="H84" i="36"/>
  <c r="J83" i="36"/>
  <c r="H83" i="36"/>
  <c r="H82" i="36"/>
  <c r="H81" i="36"/>
  <c r="H80" i="36"/>
  <c r="H77" i="36"/>
  <c r="H74" i="36"/>
  <c r="H73" i="36"/>
  <c r="H72" i="36"/>
  <c r="H71" i="36"/>
  <c r="H70" i="36"/>
  <c r="H69" i="36"/>
  <c r="J68" i="36"/>
  <c r="H68" i="36"/>
  <c r="H67" i="36"/>
  <c r="J66" i="36"/>
  <c r="H66" i="36"/>
  <c r="H65" i="36"/>
  <c r="H64" i="36"/>
  <c r="J63" i="36"/>
  <c r="H63" i="36"/>
  <c r="H59" i="36"/>
  <c r="H56" i="36"/>
  <c r="H55" i="36"/>
  <c r="J54" i="36"/>
  <c r="H54" i="36"/>
  <c r="J53" i="36"/>
  <c r="H53" i="36"/>
  <c r="H51" i="36"/>
  <c r="H50" i="36"/>
  <c r="J49" i="36"/>
  <c r="H49" i="36"/>
  <c r="H48" i="36"/>
  <c r="H47" i="36"/>
  <c r="J45" i="36"/>
  <c r="H45" i="36"/>
  <c r="J44" i="36"/>
  <c r="K44" i="36" s="1"/>
  <c r="H44" i="36"/>
  <c r="J43" i="36"/>
  <c r="H43" i="36"/>
  <c r="H42" i="36"/>
  <c r="J41" i="36"/>
  <c r="H41" i="36"/>
  <c r="J39" i="36"/>
  <c r="H39" i="36"/>
  <c r="J38" i="36"/>
  <c r="H38" i="36"/>
  <c r="H37" i="36"/>
  <c r="H36" i="36"/>
  <c r="H35" i="36"/>
  <c r="H31" i="36"/>
  <c r="H30" i="36"/>
  <c r="H29" i="36"/>
  <c r="J28" i="36"/>
  <c r="H28" i="36"/>
  <c r="H26" i="36"/>
  <c r="J25" i="36"/>
  <c r="H25" i="36"/>
  <c r="H24" i="36"/>
  <c r="J23" i="36"/>
  <c r="H23" i="36"/>
  <c r="J22" i="36"/>
  <c r="H22" i="36"/>
  <c r="H21" i="36"/>
  <c r="J17" i="36"/>
  <c r="H17" i="36"/>
  <c r="J14" i="36"/>
  <c r="H14" i="36"/>
  <c r="J11" i="36"/>
  <c r="H11" i="36"/>
  <c r="H10" i="36"/>
  <c r="H9" i="36"/>
  <c r="K39" i="36" l="1"/>
  <c r="K42" i="36"/>
  <c r="K28" i="36"/>
  <c r="L81" i="35"/>
  <c r="K36" i="36"/>
  <c r="K80" i="36"/>
  <c r="L12" i="35"/>
  <c r="L14" i="35"/>
  <c r="L30" i="35"/>
  <c r="L74" i="35"/>
  <c r="L78" i="35"/>
  <c r="L80" i="35"/>
  <c r="L82" i="35"/>
  <c r="L84" i="35"/>
  <c r="L90" i="35"/>
  <c r="L11" i="35"/>
  <c r="L53" i="35"/>
  <c r="K25" i="36"/>
  <c r="K38" i="36"/>
  <c r="K41" i="36"/>
  <c r="K43" i="36"/>
  <c r="K45" i="36"/>
  <c r="K51" i="36"/>
  <c r="K54" i="36"/>
  <c r="K68" i="36"/>
  <c r="K65" i="36"/>
  <c r="K85" i="36"/>
  <c r="K23" i="36"/>
  <c r="K49" i="36"/>
  <c r="K63" i="36"/>
  <c r="K66" i="36"/>
  <c r="K83" i="36"/>
  <c r="K35" i="36"/>
  <c r="K67" i="36"/>
  <c r="K77" i="36"/>
  <c r="K78" i="36" s="1"/>
  <c r="K24" i="36"/>
  <c r="K29" i="36"/>
  <c r="K37" i="36"/>
  <c r="K81" i="36"/>
  <c r="K22" i="36"/>
  <c r="K26" i="36"/>
  <c r="K31" i="36"/>
  <c r="K48" i="36"/>
  <c r="K70" i="36"/>
  <c r="K74" i="36"/>
  <c r="K82" i="36"/>
  <c r="K17" i="36"/>
  <c r="K18" i="36" s="1"/>
  <c r="K47" i="36"/>
  <c r="K53" i="36"/>
  <c r="K50" i="36"/>
  <c r="K64" i="36"/>
  <c r="K84" i="36"/>
  <c r="L21" i="35"/>
  <c r="L51" i="35"/>
  <c r="L73" i="35"/>
  <c r="L79" i="35"/>
  <c r="L83" i="35"/>
  <c r="L91" i="35"/>
  <c r="L48" i="35"/>
  <c r="L88" i="35"/>
  <c r="L29" i="35"/>
  <c r="L45" i="35"/>
  <c r="L15" i="35"/>
  <c r="L64" i="35"/>
  <c r="L13" i="35"/>
  <c r="L72" i="35"/>
  <c r="L70" i="35"/>
  <c r="L68" i="35"/>
  <c r="L65" i="35"/>
  <c r="L60" i="35"/>
  <c r="L58" i="35"/>
  <c r="L57" i="35"/>
  <c r="L35" i="35"/>
  <c r="L28" i="35"/>
  <c r="L20" i="35"/>
  <c r="L92" i="35"/>
  <c r="L85" i="35"/>
  <c r="L77" i="35"/>
  <c r="L89" i="35"/>
  <c r="L50" i="35"/>
  <c r="L42" i="35"/>
  <c r="L39" i="35"/>
  <c r="L26" i="35"/>
  <c r="L25" i="35"/>
  <c r="L23" i="35"/>
  <c r="L27" i="35"/>
  <c r="K72" i="36"/>
  <c r="K71" i="36"/>
  <c r="K55" i="36"/>
  <c r="K59" i="36"/>
  <c r="K60" i="36" s="1"/>
  <c r="K56" i="36"/>
  <c r="K30" i="36"/>
  <c r="K14" i="36"/>
  <c r="K15" i="36" s="1"/>
  <c r="K9" i="36"/>
  <c r="K11" i="36"/>
  <c r="K10" i="36"/>
  <c r="L83" i="33"/>
  <c r="M83" i="33" s="1"/>
  <c r="J83" i="33"/>
  <c r="L82" i="33"/>
  <c r="J82" i="33"/>
  <c r="L81" i="33"/>
  <c r="J81" i="33"/>
  <c r="L80" i="33"/>
  <c r="J80" i="33"/>
  <c r="L77" i="33"/>
  <c r="J77" i="33"/>
  <c r="L76" i="33"/>
  <c r="J76" i="33"/>
  <c r="L73" i="33"/>
  <c r="J73" i="33"/>
  <c r="L72" i="33"/>
  <c r="J72" i="33"/>
  <c r="L71" i="33"/>
  <c r="M71" i="33" s="1"/>
  <c r="J71" i="33"/>
  <c r="L68" i="33"/>
  <c r="J68" i="33"/>
  <c r="L65" i="33"/>
  <c r="J65" i="33"/>
  <c r="L64" i="33"/>
  <c r="M64" i="33" s="1"/>
  <c r="J64" i="33"/>
  <c r="L63" i="33"/>
  <c r="J63" i="33"/>
  <c r="L62" i="33"/>
  <c r="J62" i="33"/>
  <c r="L59" i="33"/>
  <c r="J59" i="33"/>
  <c r="L58" i="33"/>
  <c r="J58" i="33"/>
  <c r="L55" i="33"/>
  <c r="J55" i="33"/>
  <c r="L53" i="33"/>
  <c r="M53" i="33" s="1"/>
  <c r="J53" i="33"/>
  <c r="L52" i="33"/>
  <c r="J52" i="33"/>
  <c r="L51" i="33"/>
  <c r="M51" i="33" s="1"/>
  <c r="J51" i="33"/>
  <c r="L50" i="33"/>
  <c r="J50" i="33"/>
  <c r="L49" i="33"/>
  <c r="M49" i="33" s="1"/>
  <c r="J49" i="33"/>
  <c r="L48" i="33"/>
  <c r="M48" i="33" s="1"/>
  <c r="J48" i="33"/>
  <c r="L47" i="33"/>
  <c r="M47" i="33" s="1"/>
  <c r="J47" i="33"/>
  <c r="L46" i="33"/>
  <c r="J46" i="33"/>
  <c r="L44" i="33"/>
  <c r="J44" i="33"/>
  <c r="L43" i="33"/>
  <c r="J43" i="33"/>
  <c r="L42" i="33"/>
  <c r="J42" i="33"/>
  <c r="L40" i="33"/>
  <c r="J40" i="33"/>
  <c r="L39" i="33"/>
  <c r="M39" i="33" s="1"/>
  <c r="J39" i="33"/>
  <c r="L38" i="33"/>
  <c r="J38" i="33"/>
  <c r="L37" i="33"/>
  <c r="J37" i="33"/>
  <c r="L36" i="33"/>
  <c r="J36" i="33"/>
  <c r="L35" i="33"/>
  <c r="J35" i="33"/>
  <c r="L34" i="33"/>
  <c r="J34" i="33"/>
  <c r="L30" i="33"/>
  <c r="J30" i="33"/>
  <c r="L29" i="33"/>
  <c r="J29" i="33"/>
  <c r="L26" i="33"/>
  <c r="M26" i="33" s="1"/>
  <c r="J26" i="33"/>
  <c r="L25" i="33"/>
  <c r="J25" i="33"/>
  <c r="L22" i="33"/>
  <c r="M22" i="33" s="1"/>
  <c r="J22" i="33"/>
  <c r="L21" i="33"/>
  <c r="J21" i="33"/>
  <c r="L19" i="33"/>
  <c r="J19" i="33"/>
  <c r="L18" i="33"/>
  <c r="J18" i="33"/>
  <c r="L17" i="33"/>
  <c r="J17" i="33"/>
  <c r="L16" i="33"/>
  <c r="J16" i="33"/>
  <c r="L15" i="33"/>
  <c r="J15" i="33"/>
  <c r="L12" i="33"/>
  <c r="J12" i="33"/>
  <c r="L11" i="33"/>
  <c r="M11" i="33" s="1"/>
  <c r="J11" i="33"/>
  <c r="L10" i="33"/>
  <c r="M19" i="33" l="1"/>
  <c r="M30" i="33"/>
  <c r="M17" i="33"/>
  <c r="M15" i="33"/>
  <c r="M16" i="33"/>
  <c r="M18" i="33"/>
  <c r="M23" i="33" s="1"/>
  <c r="M21" i="33"/>
  <c r="M25" i="33"/>
  <c r="M27" i="33" s="1"/>
  <c r="M29" i="33"/>
  <c r="M40" i="33"/>
  <c r="M43" i="33"/>
  <c r="M46" i="33"/>
  <c r="M68" i="33"/>
  <c r="M72" i="33"/>
  <c r="M76" i="33"/>
  <c r="M10" i="33"/>
  <c r="M13" i="33" s="1"/>
  <c r="M50" i="33"/>
  <c r="M52" i="33"/>
  <c r="L86" i="35"/>
  <c r="K86" i="36"/>
  <c r="K32" i="36"/>
  <c r="L93" i="35"/>
  <c r="K57" i="36"/>
  <c r="K75" i="36"/>
  <c r="L75" i="35"/>
  <c r="L54" i="35"/>
  <c r="L31" i="35"/>
  <c r="M82" i="33"/>
  <c r="M81" i="33"/>
  <c r="M80" i="33"/>
  <c r="M77" i="33"/>
  <c r="M78" i="33" s="1"/>
  <c r="M73" i="33"/>
  <c r="M74" i="33" s="1"/>
  <c r="M65" i="33"/>
  <c r="M63" i="33"/>
  <c r="M62" i="33"/>
  <c r="M59" i="33"/>
  <c r="M60" i="33" s="1"/>
  <c r="M58" i="33"/>
  <c r="M55" i="33"/>
  <c r="M44" i="33"/>
  <c r="M42" i="33"/>
  <c r="M38" i="33"/>
  <c r="M37" i="33"/>
  <c r="M36" i="33"/>
  <c r="M35" i="33"/>
  <c r="M34" i="33"/>
  <c r="M12" i="33"/>
  <c r="K12" i="36"/>
  <c r="J10" i="33"/>
  <c r="M69" i="33"/>
  <c r="M31" i="33" l="1"/>
  <c r="K87" i="36"/>
  <c r="K89" i="36" s="1"/>
  <c r="E9" i="32" s="1"/>
  <c r="L94" i="35"/>
  <c r="L96" i="35" s="1"/>
  <c r="M84" i="33"/>
  <c r="M85" i="33" s="1"/>
  <c r="M87" i="33" s="1"/>
  <c r="M66" i="33"/>
  <c r="M56" i="33"/>
  <c r="C72" i="36"/>
  <c r="C71" i="36"/>
  <c r="C70" i="36"/>
  <c r="C14" i="36"/>
  <c r="D49" i="35"/>
  <c r="D48" i="35"/>
  <c r="D42" i="35"/>
  <c r="K88" i="36" l="1"/>
  <c r="E7" i="32"/>
  <c r="M86" i="33"/>
  <c r="E11" i="32"/>
  <c r="L95" i="35"/>
  <c r="G75" i="35"/>
  <c r="I86" i="35"/>
  <c r="G31" i="35"/>
  <c r="G86" i="35"/>
  <c r="I93" i="35"/>
  <c r="I31" i="35"/>
  <c r="E15" i="32" l="1"/>
  <c r="K54" i="35"/>
  <c r="K31" i="35"/>
  <c r="I94" i="35"/>
  <c r="K93" i="35"/>
  <c r="K86" i="35"/>
  <c r="G54" i="35"/>
  <c r="K75" i="35"/>
  <c r="K94" i="35" l="1"/>
  <c r="E29" i="33" l="1"/>
  <c r="E30" i="33"/>
</calcChain>
</file>

<file path=xl/sharedStrings.xml><?xml version="1.0" encoding="utf-8"?>
<sst xmlns="http://schemas.openxmlformats.org/spreadsheetml/2006/main" count="669" uniqueCount="286">
  <si>
    <t>UNIT</t>
  </si>
  <si>
    <t>ITEM NO.</t>
  </si>
  <si>
    <t>DESCRIPTION</t>
  </si>
  <si>
    <t>MISCELLANEOUS</t>
  </si>
  <si>
    <t>BILL OF QUANTITIES</t>
  </si>
  <si>
    <t>AMOUNT</t>
  </si>
  <si>
    <t>Nos.</t>
  </si>
  <si>
    <t>No.</t>
  </si>
  <si>
    <t xml:space="preserve">Sub-total Carried to Summary </t>
  </si>
  <si>
    <t>Lot</t>
  </si>
  <si>
    <t>Shop Drawings</t>
  </si>
  <si>
    <t>As Built Drawings</t>
  </si>
  <si>
    <t xml:space="preserve">Commissioning &amp; Testing </t>
  </si>
  <si>
    <t>Sub-total Carried to Summary</t>
  </si>
  <si>
    <t>DUCT WORK (MACHINE MADE) (SECTION 23 31 13)</t>
  </si>
  <si>
    <r>
      <t>m</t>
    </r>
    <r>
      <rPr>
        <vertAlign val="superscript"/>
        <sz val="8"/>
        <color indexed="8"/>
        <rFont val="Lucida Sans Unicode"/>
        <family val="2"/>
      </rPr>
      <t>2</t>
    </r>
  </si>
  <si>
    <t>Volume Control Damper</t>
  </si>
  <si>
    <t>Duct Test Holes</t>
  </si>
  <si>
    <t>Duct Supports (Hot Dipped Galvanized up to 50 to 70 Micron) System</t>
  </si>
  <si>
    <t>G.I Frame as Duct Sleeves</t>
  </si>
  <si>
    <t>THERMAL INSULATION (SECTION 23 07 13 &amp; 23 07 19)</t>
  </si>
  <si>
    <t>Sheet Metal Duct Work (Exhaust Air)</t>
  </si>
  <si>
    <t>AIR DEVICES (SECTION 23 37 13)</t>
  </si>
  <si>
    <t>Commissioning &amp; Testing</t>
  </si>
  <si>
    <t>TEST RUN (SECTION 23 05 94)</t>
  </si>
  <si>
    <t>One Month Test Run of the System</t>
  </si>
  <si>
    <t>CLEANING, BALANCING &amp; TESTING (SECTION 23 05 93)</t>
  </si>
  <si>
    <t>Cleaning &amp; Adjusting</t>
  </si>
  <si>
    <t>Balancing</t>
  </si>
  <si>
    <t>Testing &amp; Commissioning</t>
  </si>
  <si>
    <t>PAINTING &amp; FINISHING AND MECHANICAL IDENTIFICATION (SECTION 23 05 50 &amp; 23 05 53)</t>
  </si>
  <si>
    <t>Painting  &amp; Finishing (Section 23 05 50)</t>
  </si>
  <si>
    <t>Equipment Data Plates (Section 23 05 53)</t>
  </si>
  <si>
    <t>Structural Opening &amp; Core Cuts</t>
  </si>
  <si>
    <t>Wall Openings</t>
  </si>
  <si>
    <t>Sheet Metal Duct Work (Air-Conditioning) (Supply Air, Return Air &amp; Fresh Air)</t>
  </si>
  <si>
    <t>Air Terminal Number (ST-01)</t>
  </si>
  <si>
    <t>Air Terminal Number (ST-02)</t>
  </si>
  <si>
    <t>Air Terminal Number (ST-03)</t>
  </si>
  <si>
    <t>Air Terminal Number (RT-10)</t>
  </si>
  <si>
    <t>Air Terminal Number (ST-04)</t>
  </si>
  <si>
    <t>Air Terminal Number (ST-05)</t>
  </si>
  <si>
    <t>Air Terminal Number (ST-06)</t>
  </si>
  <si>
    <t>Air Terminal Number (ST-07)</t>
  </si>
  <si>
    <t>Air Terminal Number (ST-08)</t>
  </si>
  <si>
    <t>Air Terminal Number (RT-01)</t>
  </si>
  <si>
    <t>Air Terminal Number (RT-02)</t>
  </si>
  <si>
    <t>Air Terminal Number (RT-03)</t>
  </si>
  <si>
    <t>Air Terminal Number (RT-04)</t>
  </si>
  <si>
    <t>Air Terminal Number (RT-05)</t>
  </si>
  <si>
    <t>Air Terminal Number (RT-06)</t>
  </si>
  <si>
    <t>Air Terminal Number (RT-07)</t>
  </si>
  <si>
    <t>Air Terminal Number (RT-08)</t>
  </si>
  <si>
    <t>HVAC WORKS</t>
  </si>
  <si>
    <t>Foundation/Supports (By Civil Contractor)</t>
  </si>
  <si>
    <t>Sheet Metal Duct Work (Air Conditioning) (Supply Air), Machine made Ducts (Section 23 31 13)</t>
  </si>
  <si>
    <t>Sheet Metal Duct Work (Air Conditioning) (Return Air), Machine made Ducts (Section 23 31 13)</t>
  </si>
  <si>
    <t>Sheet Metal Duct Work (Exhaust Air) Machine made Ducts (Section 23 31 13)</t>
  </si>
  <si>
    <t>Air Terminal Number (ST-09)</t>
  </si>
  <si>
    <t>Air Terminal Number (ET-01)</t>
  </si>
  <si>
    <t>Supply &amp; Installation of R.A.G A70</t>
  </si>
  <si>
    <t>Supply &amp; Installation of Tuttle &amp; Bailey Supply Air Linear Slot Diffuser (Series 6000)</t>
  </si>
  <si>
    <t>Supply &amp; Installation of Tuttle &amp; Bailey Return Air Linear Slot Diffuser (Series 6000)</t>
  </si>
  <si>
    <t>Supply &amp; Installation of Tube Axial Exhaust Fan (FN/01)</t>
  </si>
  <si>
    <t xml:space="preserve">Supply &amp; Installation of Round Diffuser (Tuttle &amp; Bailey) </t>
  </si>
  <si>
    <t>Installation of Owner Furnished Air Handling Unit (AHU-00248)</t>
  </si>
  <si>
    <t>HYDRONIC PIPING &amp; SPECIALITIES (SECTION 23 21 13 &amp; DS/1637-23 21 13)</t>
  </si>
  <si>
    <t>Drain Piping uPVC Pressure Pipe (IP/1) (Section 23 21 13 &amp; DS/1637-23 21 13)</t>
  </si>
  <si>
    <t>Ø 1" (Ø 25mm)</t>
  </si>
  <si>
    <t>Pipe Sleeves</t>
  </si>
  <si>
    <t xml:space="preserve">Spare parts for AHU-00248 (Refer Data Sheet) </t>
  </si>
  <si>
    <t>Supply Air Duct (32"x18")</t>
  </si>
  <si>
    <t>Return Air Duct (14"x12")</t>
  </si>
  <si>
    <t>Rm</t>
  </si>
  <si>
    <t xml:space="preserve">Inspection and Insulation Replacement of Existing AHU C2-12 Supply Duct </t>
  </si>
  <si>
    <t>DOLMEN CITY FAMILY AREA, SECOND FLOOR</t>
  </si>
  <si>
    <t>1.1.1</t>
  </si>
  <si>
    <t>1.1.2</t>
  </si>
  <si>
    <t>1.1.3</t>
  </si>
  <si>
    <t>5.1.1</t>
  </si>
  <si>
    <t>5.1.2</t>
  </si>
  <si>
    <t>5.1.3</t>
  </si>
  <si>
    <t>5.1.4</t>
  </si>
  <si>
    <t>5.1.5</t>
  </si>
  <si>
    <t>5.1.6</t>
  </si>
  <si>
    <t>5.1.7</t>
  </si>
  <si>
    <t>5.2.1</t>
  </si>
  <si>
    <t>5.2.2</t>
  </si>
  <si>
    <t>5.2.3</t>
  </si>
  <si>
    <t>5.3.1</t>
  </si>
  <si>
    <t>5.3.2</t>
  </si>
  <si>
    <t>5.3.3</t>
  </si>
  <si>
    <t>5.3.4</t>
  </si>
  <si>
    <t>5.3.5</t>
  </si>
  <si>
    <t>5.3.6</t>
  </si>
  <si>
    <t>5.3.7</t>
  </si>
  <si>
    <t>5.3.8</t>
  </si>
  <si>
    <t>5.4.1</t>
  </si>
  <si>
    <t>Pipe Supports (Section 23 05 29)</t>
  </si>
  <si>
    <t>FANS (SECTION 23 34 13 &amp; DS/1283E-23 34 13)</t>
  </si>
  <si>
    <t>AIR HANDLING UNITS (REFER SECTION 23 73 10 &amp; DS/1283E-23 73 10) (OWNER FURNISHED)</t>
  </si>
  <si>
    <t>SOUND LINERS ON SUPPLY AND RETURN AIR DUCTS (SECTION 23 33 19)</t>
  </si>
  <si>
    <t>Grand Total Amount Rs</t>
  </si>
  <si>
    <t xml:space="preserve">DOLMEN CITY FAMILY AREA, SECOND FLOOR  
</t>
  </si>
  <si>
    <t xml:space="preserve">PLUMBING WORKS </t>
  </si>
  <si>
    <t>COLD WATER SUPPLY SYSTEM (DOMESTIC WATER)</t>
  </si>
  <si>
    <t xml:space="preserve">Poly Propylene Random Pipes - PPR Pipe PN-20 Including all Fittings and Accessories Required for Piping Installation, Testing &amp; Commissioning (Section 22 11 16 &amp; DS/1283E-22 11 16) </t>
  </si>
  <si>
    <t xml:space="preserve">                Ø 65mm</t>
  </si>
  <si>
    <t>-</t>
  </si>
  <si>
    <t>Rate Only</t>
  </si>
  <si>
    <t xml:space="preserve">                Ø 50mm</t>
  </si>
  <si>
    <t xml:space="preserve">                Ø 40mm</t>
  </si>
  <si>
    <t>1.1.4</t>
  </si>
  <si>
    <t xml:space="preserve">                Ø 32mm</t>
  </si>
  <si>
    <t>1.1.5</t>
  </si>
  <si>
    <t xml:space="preserve">                Ø 25mm</t>
  </si>
  <si>
    <t>1.1.6</t>
  </si>
  <si>
    <t xml:space="preserve">                Ø 20mm</t>
  </si>
  <si>
    <t xml:space="preserve">Valve &amp; Specialities </t>
  </si>
  <si>
    <t>1.2.1</t>
  </si>
  <si>
    <t xml:space="preserve">Gate Valves - Brass (Including all Fittings and Accessories Required for Valve Installation) (Section 22 05 23) </t>
  </si>
  <si>
    <t>1.2.1.1</t>
  </si>
  <si>
    <t>1.2.1.2</t>
  </si>
  <si>
    <t>1.2.1.3</t>
  </si>
  <si>
    <t>1.2.1.4</t>
  </si>
  <si>
    <t>1.2.2</t>
  </si>
  <si>
    <t>Air Vents (Including all Fittings and Accessories Required for Air Vent Installation. Refer Detail # FND/PH/07) (Section 22 68 35)</t>
  </si>
  <si>
    <t>1.2.2.1</t>
  </si>
  <si>
    <t>1.2.3</t>
  </si>
  <si>
    <t>Pressure Reducing Valves (PRV Assembly with Complete Accessories e.g Valves, Strainers, Pressure Gauges etc.) Refer Tender Drawings (Section 22 05 23)</t>
  </si>
  <si>
    <t>1.2.3.1</t>
  </si>
  <si>
    <t>Engineered Pipe Support System as per make indicated in Approved list of Manufacturers in Tender document.</t>
  </si>
  <si>
    <r>
      <t>Pressure Testing of Water Supply Piping</t>
    </r>
    <r>
      <rPr>
        <sz val="8"/>
        <rFont val="Lucida Sans Unicode"/>
        <family val="2"/>
      </rPr>
      <t xml:space="preserve"> (Minimum 150 psi) including all equipment, accessories and arrangements required for Pressure Testing</t>
    </r>
  </si>
  <si>
    <t>Supply &amp; Installation of Access Panel 300mm x 300mm in False Ceiling as shown in Tender Drawings</t>
  </si>
  <si>
    <t>Supply &amp; Installation of Access Panel 600mm x 600mm in False Ceiling as shown in Tender Drawings</t>
  </si>
  <si>
    <t>Pressure Gauge With Siphon and Gauge Cock (Section 22 05 23)</t>
  </si>
  <si>
    <t>HOT &amp; TEMPERED WATER SUPPLY SYSTEM (DOMESTIC WATER)</t>
  </si>
  <si>
    <t>2.1.1</t>
  </si>
  <si>
    <t>2.1.2</t>
  </si>
  <si>
    <t>2.1.3</t>
  </si>
  <si>
    <t>2.2.1</t>
  </si>
  <si>
    <t>3 Way Thermostatic Mixing Valve (Including all Fittings and Accessories Required for Valve Installation)</t>
  </si>
  <si>
    <t>2.2.1.1</t>
  </si>
  <si>
    <t>2.2.2</t>
  </si>
  <si>
    <t>2.2.2.1</t>
  </si>
  <si>
    <t>2.2.2.2</t>
  </si>
  <si>
    <t>2.2.2.3</t>
  </si>
  <si>
    <t>2.2.3</t>
  </si>
  <si>
    <t>2.2.3.1</t>
  </si>
  <si>
    <t>Hot &amp; Tempered Water Pipe Insulation With Cladding Where Applicable as per (DS/1283E-22 07 19 &amp; Section 22 07 19)</t>
  </si>
  <si>
    <t>2.3.1</t>
  </si>
  <si>
    <t>2.3.2</t>
  </si>
  <si>
    <t>2.3.3</t>
  </si>
  <si>
    <t>Pipe Support System as per make indicated in Approved list of Manufacturers in Tender document.</t>
  </si>
  <si>
    <t>Pressure Testing of Hot Water Supply Piping (Including all equipment, accessories and arrangements required for Pressure Testing)</t>
  </si>
  <si>
    <t>Supply &amp; Installation of Electric Operated Hot Water Heaters (Section 22 33 00 &amp; DS/1283E-22 33 00)</t>
  </si>
  <si>
    <t>2.6.1</t>
  </si>
  <si>
    <t>Supply, Installation and Commissioning of Electric Operated Hot Water Heater EHWH/01 &amp; 02, 30L heating capacity. Including all fittings and accessories required from installation till commissioning of Hot Water Heater.</t>
  </si>
  <si>
    <t xml:space="preserve">SOIL, WASTE &amp; VENT DRAIN SYSTEM </t>
  </si>
  <si>
    <t>Building Toilet &amp; Kitchen Drainage Pipe Conformance to BS-EN1329 (uPVC-NON-PRESSURE CLASS FOR ø ≥ 50mm &amp; uPVC-PRESSURE CLASS-E for ø &lt; 50mm) Including all Fittings and Accessories Required for Piping Installation, Testing and Commissioning e.g Elbows, Y, Double Y, Reducers, Sockets etc. (Section 22 13 20 &amp; DS/1283E-22 13 20)</t>
  </si>
  <si>
    <t>3.1.1</t>
  </si>
  <si>
    <t xml:space="preserve">                Ø 100mm</t>
  </si>
  <si>
    <t>3.1.2</t>
  </si>
  <si>
    <t xml:space="preserve">                Ø 75mm</t>
  </si>
  <si>
    <t>3.1.3</t>
  </si>
  <si>
    <t>3.1.4</t>
  </si>
  <si>
    <t>3.1.5</t>
  </si>
  <si>
    <t>Building Vent Pipe Conformance to BS-EN1329 (uPVC-NON-PRESSURE CLASS FOR ø ≥ 50mm &amp; uPVC-PRESSURE CLASS-E for ø &lt; 50mm) Including all Fittings and Accessories Required for Piping Installation, Testing and Commissioning e.g Elbows, Y, Double Y, Reducers, Sockets etc. (Section 22 13 20 &amp; DS/1283E-22 13 20)</t>
  </si>
  <si>
    <t>3.2.1</t>
  </si>
  <si>
    <t>3.2.2</t>
  </si>
  <si>
    <t>3.2.3</t>
  </si>
  <si>
    <t>Drain Accessories (Section 22 11 19)</t>
  </si>
  <si>
    <t>3.3.1</t>
  </si>
  <si>
    <t>SS Floor Drain with Multifloor Trap - Refer Detail # FND/SDS/20 (Section 22 11 19)</t>
  </si>
  <si>
    <t>.</t>
  </si>
  <si>
    <t>3.3.1.1</t>
  </si>
  <si>
    <t>3.3.2</t>
  </si>
  <si>
    <t>Floor Clean Out (Sewerage) Refer Detail # FND/SDS/18 (Section 22 11 19)</t>
  </si>
  <si>
    <t>3.3.2.1</t>
  </si>
  <si>
    <t>3.3.3</t>
  </si>
  <si>
    <t>Multifloor Trap (Section 22 11 19)</t>
  </si>
  <si>
    <t>3.3.3.1</t>
  </si>
  <si>
    <t>Pipe Support System for Drain Pipe as per make indicated in Approved list of Manufacturers in Tender document.</t>
  </si>
  <si>
    <t>Head Testing of Soil, waste and vent piping (Including all equipment, accessories and arrangements required for Head Testing)</t>
  </si>
  <si>
    <t xml:space="preserve">PLUMBING FIXTURES &amp; FITTINGS </t>
  </si>
  <si>
    <t>Supply &amp; Installation of Wall Mounted Western WC With Concealed Flush Tank and Angle valves and associated accessories (Including test run) (Section 22 41 10 &amp; DS-1283E-22 41 10)</t>
  </si>
  <si>
    <t>Supply &amp; Installation of Counter Sunk Wash Basin with Waste, Bottle Trap &amp; Tee Stop-Cock (Including test run) (Section 22 41 10 &amp; DS-1283E-22 41 10)</t>
  </si>
  <si>
    <t>Supply &amp; Installation of Wash Basin Single Lever Mixer With Flexible Hoses (Including test run) (Section 22 41 10 &amp; DS-1283E-22 41 10)</t>
  </si>
  <si>
    <t>Supply &amp; Installation of Single Bowl Kitchen Sink With Sink Mixer, Waste, Tee Stop-Cock (Including test run)
(Section 22 41 10 &amp; DS-1283E-22 41 10)</t>
  </si>
  <si>
    <t>Supply &amp; Installation of Hand Operated Shower Spray With Angle Valve (Including test run)
(Section 22 41 10 &amp; DS-1283E-22 41 10)</t>
  </si>
  <si>
    <t>Supply &amp; Installation of Toilet Roll Holder (Section 22 41 10 &amp; DS-1283E-22 41 10) (Including test run)</t>
  </si>
  <si>
    <t>Supply &amp; Installation of Soap Dispenser (Section 22 41 10 &amp; DS-1283E-22 41 10) (Including test run)</t>
  </si>
  <si>
    <t>Supply &amp; Installation of bibcock for janitor room (Including test run)
(Section 22 41 10 &amp; DS-1283E-22 41 10)</t>
  </si>
  <si>
    <t>Supply &amp; Installation of Single Lever Mixer with Pullout Spout &amp; Flexible Hoses (Including test run) for Diaper Changing Station (Section 22 41 10 &amp; DS-1283E-22 41 10)</t>
  </si>
  <si>
    <t>Adaptors/flanges/unions required to join any two dis-similar material pipes (PPR/UPVC)</t>
  </si>
  <si>
    <t>Pipe Sleeves/Core Cutting where required on RCC Walls &amp; Slabs including core sealing by using material specific for core sealing application - Refer Tender Drawings and relevant Standard Details</t>
  </si>
  <si>
    <t>Connection of New Water Supply, Drainage &amp; Vent piping with Existing risers by taking tap-offs, complete in all respect - Refer Tender Drawings</t>
  </si>
  <si>
    <t>FIRE SUPPRESSION SYSTEM WORKS</t>
  </si>
  <si>
    <t>FIRE SPRINKLERS (SECTION 21 13 10 &amp; DS/1283E-21 13 10)</t>
  </si>
  <si>
    <t>Fire Sprinkler-Concealed Pendent, Standard Response (SP-01)- NEW</t>
  </si>
  <si>
    <t>Dismantling and relocation of Existing Fire Sprinkler-Concealed Pendent, Standard Response (SP-01)- Complete in all Respect</t>
  </si>
  <si>
    <t>Cabinet complete with 06 Spare Sprinklers (Pendent ESFR Sprinkler) (SP-01)</t>
  </si>
  <si>
    <t>CORRUGATED STAINLESS STEEL FLEXIBLE CONNECTOR</t>
  </si>
  <si>
    <t>Corrugated Stainless Steel Flexible Connector Ø 1" X 3 ft (UL/FM) - NEW</t>
  </si>
  <si>
    <t>PORTABLE FIRE EXTINGUISHER FOR FIRE TYPES A, B, C &amp; AFFF (SECTION 21 21 10 &amp; DS/1283E-21 21 10)</t>
  </si>
  <si>
    <t>Supply &amp; Installation of 6kg Dry Powder Extinguisher (ABC)</t>
  </si>
  <si>
    <t>BLACK STEEL SCHEDULE-40 PIPING (SECTION 21 10 10)</t>
  </si>
  <si>
    <t xml:space="preserve">Welded Piping System </t>
  </si>
  <si>
    <t>4.1.1</t>
  </si>
  <si>
    <t>Ø 250 mm</t>
  </si>
  <si>
    <t>4.1.2</t>
  </si>
  <si>
    <t xml:space="preserve">Ø 200 mm </t>
  </si>
  <si>
    <t>4.1.3</t>
  </si>
  <si>
    <t>Ø 150 mm</t>
  </si>
  <si>
    <t>4.1.4</t>
  </si>
  <si>
    <t>Ø 100 mm</t>
  </si>
  <si>
    <t>4.1.5</t>
  </si>
  <si>
    <t>Ø 75 mm</t>
  </si>
  <si>
    <t>4.1.6</t>
  </si>
  <si>
    <t>Ø 65 mm</t>
  </si>
  <si>
    <t>Threaded Piping System</t>
  </si>
  <si>
    <t>4.2.1</t>
  </si>
  <si>
    <t>Ø 50 mm</t>
  </si>
  <si>
    <t>4.2.2</t>
  </si>
  <si>
    <t>Ø 40 mm</t>
  </si>
  <si>
    <t>4.2.3</t>
  </si>
  <si>
    <t>Ø 32 mm</t>
  </si>
  <si>
    <t>4.2.4</t>
  </si>
  <si>
    <t>Ø 25 mm</t>
  </si>
  <si>
    <t>SIESMIC BRACING</t>
  </si>
  <si>
    <t>Transverse Seismic Bracing (As per FND Detail No. FND/SS/10)</t>
  </si>
  <si>
    <t>Longitudinal Seismic Bracing (As per FND Detail No. FND/SS/11)</t>
  </si>
  <si>
    <t>5.2.4</t>
  </si>
  <si>
    <t>5.2.5</t>
  </si>
  <si>
    <t>Four Way Seismic Bracing (As per FND Detail No. FND/ADD/10)</t>
  </si>
  <si>
    <t>Seismic Restraint (As per FND Detail No. FND/ADD/08)</t>
  </si>
  <si>
    <t>5.4.2</t>
  </si>
  <si>
    <t>5.4.3</t>
  </si>
  <si>
    <t>5.4.4</t>
  </si>
  <si>
    <t>FIRE SPRINKLER SYSTEM ACCEPTANCE TEST (SECTION 21 13 17)</t>
  </si>
  <si>
    <t xml:space="preserve">Fire Sprinkler System Acceptance Test      </t>
  </si>
  <si>
    <t xml:space="preserve">PAINTING COATING &amp; STENCILING (SECTION 21 05 50) </t>
  </si>
  <si>
    <t xml:space="preserve">Painting, Coating 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</si>
  <si>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</si>
  <si>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</si>
  <si>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</si>
  <si>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</si>
  <si>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</si>
  <si>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</si>
  <si>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</si>
  <si>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</si>
  <si>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7.1.9</t>
  </si>
  <si>
    <t>7.1.10</t>
  </si>
  <si>
    <t xml:space="preserve">Stenciling &amp; Identification </t>
  </si>
  <si>
    <t>Signage as per NFPA (For Example: Signage of Fire Hose Reel, Landing Valve etc.)</t>
  </si>
  <si>
    <t>PIPE SUPPORT SYSTEM (SECTION 21 05 29)</t>
  </si>
  <si>
    <t>Engineered Pipe Support System</t>
  </si>
  <si>
    <t>Hydrostatic Testing</t>
  </si>
  <si>
    <t>Fire Stoping of Walls &amp; Structure Openings (For Small Openings - Hilti FS - ONE or Approved Equivalent) - UL based Solution</t>
  </si>
  <si>
    <r>
      <t xml:space="preserve">Cutting, tapping and Connecting Fire Pipe to Existing Fire Piping as Shown in the drawing </t>
    </r>
    <r>
      <rPr>
        <b/>
        <sz val="8"/>
        <rFont val="Lucida Sans Unicode"/>
        <family val="2"/>
      </rPr>
      <t>03-FND-1283E-FA-F-14-02-200-00</t>
    </r>
  </si>
  <si>
    <t>Grand Total Amount</t>
  </si>
  <si>
    <t>S.NO</t>
  </si>
  <si>
    <t xml:space="preserve">HVAC </t>
  </si>
  <si>
    <t>Fire Fighting</t>
  </si>
  <si>
    <t>Plumbing</t>
  </si>
  <si>
    <t>Material</t>
  </si>
  <si>
    <t>Labour</t>
  </si>
  <si>
    <t>Total Amount</t>
  </si>
  <si>
    <t>Amount</t>
  </si>
  <si>
    <t>Qty</t>
  </si>
  <si>
    <t>MATERIAL RATE</t>
  </si>
  <si>
    <t>LABOUR RATE</t>
  </si>
  <si>
    <t>RUNNING BILL NO 1</t>
  </si>
  <si>
    <t>Billed Qty</t>
  </si>
  <si>
    <r>
      <rPr>
        <b/>
        <sz val="11"/>
        <rFont val="Arial"/>
        <family val="2"/>
      </rPr>
      <t>SUMMARY</t>
    </r>
    <r>
      <rPr>
        <sz val="11"/>
        <rFont val="Arial"/>
        <family val="2"/>
      </rPr>
      <t xml:space="preserve"> </t>
    </r>
    <r>
      <rPr>
        <b/>
        <sz val="11"/>
        <rFont val="Arial"/>
        <family val="2"/>
      </rPr>
      <t>OF</t>
    </r>
    <r>
      <rPr>
        <sz val="11"/>
        <rFont val="Arial"/>
        <family val="2"/>
      </rPr>
      <t xml:space="preserve"> </t>
    </r>
    <r>
      <rPr>
        <b/>
        <sz val="11"/>
        <rFont val="Arial"/>
        <family val="2"/>
      </rPr>
      <t>COST</t>
    </r>
  </si>
  <si>
    <t>Variation</t>
  </si>
  <si>
    <t>32mm PPRV PIPE 21.3 Meter</t>
  </si>
  <si>
    <t>PIPE</t>
  </si>
  <si>
    <t>INSULATON</t>
  </si>
  <si>
    <t>Variations (05 Nos)</t>
  </si>
  <si>
    <t>Withholding Tax - 7.5%</t>
  </si>
  <si>
    <t>TOTAL COST OF PLUMBING WORK. With WHT</t>
  </si>
  <si>
    <t>TOTAL COST OF FIRE FIGHTING WORK. With WHT</t>
  </si>
  <si>
    <t>TOTAL COST OF HVAC WORK. With WHT</t>
  </si>
  <si>
    <t>MAIN SUMMARY OF MEP WORK</t>
  </si>
  <si>
    <t>Bill No.01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</si>
</sst>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_(* #,##0_);_(* \(#,##0\);_(* &quot;-&quot;??_);_(@_)"/>
    <numFmt numFmtId="168" formatCode="#,##0.0_);[Red]\(#,##0.0\)"/>
    <numFmt numFmtId="169" formatCode="#,##0.0"/>
    <numFmt numFmtId="170" formatCode="#,##0.0;[Red]\-#,##0.0"/>
  </numFmts>
  <fonts count="62">
    <font>
      <sz val="10"/>
      <name val="MS Sans Serif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name val="Arial"/>
      <family val="2"/>
    </font>
    <font>
      <sz val="8"/>
      <color indexed="19"/>
      <name val="Arial Black"/>
      <family val="2"/>
    </font>
    <font>
      <sz val="9"/>
      <name val="Arial Narrow"/>
      <family val="2"/>
    </font>
    <font>
      <sz val="9"/>
      <color indexed="12"/>
      <name val="Arial Black"/>
      <family val="2"/>
    </font>
    <font>
      <sz val="10"/>
      <name val="Arial Black"/>
      <family val="2"/>
    </font>
    <font>
      <sz val="10"/>
      <color indexed="8"/>
      <name val="Arial Black"/>
      <family val="2"/>
    </font>
    <font>
      <sz val="10"/>
      <name val="Lucida Sans Unicode"/>
      <family val="2"/>
    </font>
    <font>
      <sz val="10"/>
      <name val="Verdana"/>
      <family val="2"/>
    </font>
    <font>
      <sz val="9"/>
      <name val="Arial Black"/>
      <family val="2"/>
    </font>
    <font>
      <sz val="8"/>
      <name val="Lucida Sans Unicode"/>
      <family val="2"/>
    </font>
    <font>
      <sz val="8"/>
      <color indexed="8"/>
      <name val="Lucida Sans Unicode"/>
      <family val="2"/>
    </font>
    <font>
      <b/>
      <sz val="8"/>
      <color indexed="8"/>
      <name val="Lucida Sans Unicode"/>
      <family val="2"/>
    </font>
    <font>
      <b/>
      <sz val="8"/>
      <name val="Lucida Sans Unicode"/>
      <family val="2"/>
    </font>
    <font>
      <sz val="8.5"/>
      <color indexed="8"/>
      <name val="Arial"/>
      <family val="2"/>
    </font>
    <font>
      <sz val="8"/>
      <name val="Arial Black"/>
      <family val="2"/>
    </font>
    <font>
      <sz val="8"/>
      <color rgb="FFFF0000"/>
      <name val="Lucida Sans Unicode"/>
      <family val="2"/>
    </font>
    <font>
      <sz val="8"/>
      <color indexed="8"/>
      <name val="Arial Black"/>
      <family val="2"/>
    </font>
    <font>
      <sz val="8"/>
      <color indexed="8"/>
      <name val="Arial"/>
      <family val="2"/>
    </font>
    <font>
      <sz val="10"/>
      <color indexed="8"/>
      <name val="Arial"/>
      <family val="2"/>
    </font>
    <font>
      <vertAlign val="superscript"/>
      <sz val="8"/>
      <color indexed="8"/>
      <name val="Lucida Sans Unicode"/>
      <family val="2"/>
    </font>
    <font>
      <sz val="9"/>
      <color indexed="8"/>
      <name val="Arial Black"/>
      <family val="2"/>
    </font>
    <font>
      <b/>
      <sz val="9"/>
      <color indexed="8"/>
      <name val="Lucida Sans Unicode"/>
      <family val="2"/>
    </font>
    <font>
      <sz val="10"/>
      <name val="Trebuchet MS"/>
      <family val="2"/>
    </font>
    <font>
      <sz val="9"/>
      <color indexed="23"/>
      <name val="Arial Black"/>
      <family val="2"/>
    </font>
    <font>
      <b/>
      <sz val="9"/>
      <name val="Arial Black"/>
      <family val="2"/>
    </font>
    <font>
      <sz val="8"/>
      <name val="Lucida Sans"/>
      <family val="2"/>
    </font>
    <font>
      <b/>
      <sz val="8"/>
      <name val="Trebuchet MS"/>
      <family val="2"/>
    </font>
    <font>
      <sz val="9"/>
      <name val="Lucida Sans"/>
      <family val="2"/>
    </font>
    <font>
      <b/>
      <sz val="9"/>
      <name val="Lucida Sans"/>
      <family val="2"/>
    </font>
    <font>
      <sz val="9"/>
      <name val="Trebuchet MS"/>
      <family val="2"/>
    </font>
    <font>
      <sz val="8"/>
      <name val="Trebuchet MS"/>
      <family val="2"/>
    </font>
    <font>
      <b/>
      <sz val="8"/>
      <color theme="1"/>
      <name val="Lucida Sans Unicode"/>
      <family val="2"/>
    </font>
    <font>
      <b/>
      <sz val="8"/>
      <color theme="1"/>
      <name val="Lucida Sans"/>
      <family val="2"/>
    </font>
    <font>
      <sz val="8"/>
      <color theme="1"/>
      <name val="Trebuchet MS"/>
      <family val="2"/>
    </font>
    <font>
      <sz val="8"/>
      <color theme="1"/>
      <name val="Lucida Sans Unicode"/>
      <family val="2"/>
    </font>
    <font>
      <sz val="8"/>
      <color theme="1"/>
      <name val="Lucida Sans"/>
      <family val="2"/>
    </font>
    <font>
      <b/>
      <sz val="8"/>
      <color theme="1"/>
      <name val="Trebuchet MS"/>
      <family val="2"/>
    </font>
    <font>
      <b/>
      <sz val="9"/>
      <name val="Lucida Sans Unicode"/>
      <family val="2"/>
    </font>
    <font>
      <sz val="8"/>
      <name val="Arial"/>
      <family val="2"/>
    </font>
    <font>
      <sz val="9"/>
      <name val="Arial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0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000000"/>
      <name val="Arial"/>
      <family val="2"/>
    </font>
    <font>
      <sz val="12"/>
      <name val="Arial Black"/>
      <family val="2"/>
    </font>
    <font>
      <sz val="10"/>
      <name val="MS Sans Serif"/>
    </font>
    <font>
      <u/>
      <sz val="10"/>
      <color theme="10"/>
      <name val="MS Sans Serif"/>
    </font>
    <font>
      <b/>
      <u/>
      <sz val="14"/>
      <color theme="10"/>
      <name val="MS Sans Serif"/>
    </font>
    <font>
      <b/>
      <sz val="1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1"/>
      <name val="Calibri"/>
      <family val="2"/>
      <scheme val="minor"/>
    </font>
    <font>
      <b/>
      <sz val="8"/>
      <name val="Lucid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BFBFBF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/>
      <bottom/>
      <diagonal/>
    </border>
    <border>
      <left style="medium">
        <color indexed="8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</borders>
  <cellStyleXfs count="50">
    <xf numFmtId="0" fontId="0" fillId="0" borderId="0"/>
    <xf numFmtId="40" fontId="3" fillId="0" borderId="0" applyFont="0" applyFill="0" applyBorder="0" applyAlignment="0" applyProtection="0"/>
    <xf numFmtId="38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0" fontId="3" fillId="0" borderId="0" applyFill="0" applyBorder="0" applyAlignment="0" applyProtection="0"/>
    <xf numFmtId="40" fontId="3" fillId="0" borderId="0" applyFont="0" applyFill="0" applyBorder="0" applyAlignment="0" applyProtection="0"/>
    <xf numFmtId="40" fontId="3" fillId="0" borderId="0" applyFont="0" applyFill="0" applyBorder="0" applyAlignment="0" applyProtection="0"/>
    <xf numFmtId="0" fontId="6" fillId="0" borderId="1">
      <alignment horizontal="left"/>
    </xf>
    <xf numFmtId="0" fontId="10" fillId="0" borderId="2">
      <alignment horizontal="left"/>
    </xf>
    <xf numFmtId="168" fontId="5" fillId="0" borderId="0" applyNumberFormat="0" applyAlignment="0">
      <alignment horizontal="left"/>
    </xf>
    <xf numFmtId="0" fontId="5" fillId="0" borderId="0" applyNumberFormat="0" applyAlignment="0"/>
    <xf numFmtId="168" fontId="6" fillId="0" borderId="0">
      <alignment horizontal="left"/>
    </xf>
    <xf numFmtId="0" fontId="3" fillId="0" borderId="0"/>
    <xf numFmtId="0" fontId="3" fillId="0" borderId="0"/>
    <xf numFmtId="0" fontId="6" fillId="0" borderId="1">
      <alignment horizontal="center"/>
    </xf>
    <xf numFmtId="0" fontId="7" fillId="0" borderId="0" applyNumberFormat="0">
      <alignment horizontal="center" vertical="center" wrapText="1"/>
    </xf>
    <xf numFmtId="0" fontId="11" fillId="0" borderId="0"/>
    <xf numFmtId="0" fontId="2" fillId="0" borderId="0"/>
    <xf numFmtId="165" fontId="2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2" fillId="0" borderId="0"/>
    <xf numFmtId="0" fontId="4" fillId="0" borderId="0"/>
    <xf numFmtId="165" fontId="4" fillId="0" borderId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7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38" fontId="6" fillId="0" borderId="1" applyFill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0" fillId="0" borderId="0"/>
    <xf numFmtId="166" fontId="27" fillId="0" borderId="0">
      <alignment horizontal="left"/>
    </xf>
    <xf numFmtId="0" fontId="6" fillId="0" borderId="2">
      <alignment horizontal="center"/>
    </xf>
    <xf numFmtId="38" fontId="6" fillId="0" borderId="2" applyFill="0" applyAlignment="0" applyProtection="0"/>
    <xf numFmtId="0" fontId="44" fillId="0" borderId="0"/>
    <xf numFmtId="165" fontId="45" fillId="0" borderId="0" applyFont="0" applyFill="0" applyBorder="0" applyAlignment="0" applyProtection="0"/>
    <xf numFmtId="165" fontId="45" fillId="0" borderId="0" applyFont="0" applyFill="0" applyBorder="0" applyAlignment="0" applyProtection="0"/>
    <xf numFmtId="0" fontId="45" fillId="0" borderId="0"/>
    <xf numFmtId="9" fontId="54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552">
    <xf numFmtId="0" fontId="0" fillId="0" borderId="0" xfId="0"/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40" fontId="9" fillId="0" borderId="0" xfId="0" applyNumberFormat="1" applyFont="1" applyAlignment="1">
      <alignment horizontal="left" vertical="center"/>
    </xf>
    <xf numFmtId="168" fontId="12" fillId="0" borderId="3" xfId="0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7" fillId="0" borderId="0" xfId="33" applyFont="1" applyAlignment="1">
      <alignment vertical="center"/>
    </xf>
    <xf numFmtId="166" fontId="12" fillId="0" borderId="3" xfId="7" applyNumberFormat="1" applyFont="1" applyBorder="1" applyAlignment="1">
      <alignment horizontal="center" vertical="center"/>
    </xf>
    <xf numFmtId="0" fontId="12" fillId="0" borderId="11" xfId="7" applyFont="1" applyBorder="1" applyAlignment="1">
      <alignment vertical="center"/>
    </xf>
    <xf numFmtId="0" fontId="13" fillId="0" borderId="11" xfId="7" applyFont="1" applyBorder="1" applyAlignment="1">
      <alignment vertical="center"/>
    </xf>
    <xf numFmtId="38" fontId="15" fillId="0" borderId="7" xfId="34" applyFont="1" applyFill="1" applyBorder="1" applyAlignment="1">
      <alignment horizontal="right" vertical="center"/>
    </xf>
    <xf numFmtId="3" fontId="15" fillId="0" borderId="21" xfId="34" applyNumberFormat="1" applyFont="1" applyFill="1" applyBorder="1" applyAlignment="1">
      <alignment horizontal="right" vertical="center"/>
    </xf>
    <xf numFmtId="0" fontId="14" fillId="0" borderId="0" xfId="0" applyFont="1" applyAlignment="1">
      <alignment vertical="center"/>
    </xf>
    <xf numFmtId="0" fontId="20" fillId="0" borderId="14" xfId="9" applyNumberFormat="1" applyFont="1" applyBorder="1" applyAlignment="1">
      <alignment horizontal="left" vertical="center"/>
    </xf>
    <xf numFmtId="0" fontId="21" fillId="0" borderId="14" xfId="0" applyFont="1" applyBorder="1" applyAlignment="1">
      <alignment vertical="center"/>
    </xf>
    <xf numFmtId="0" fontId="21" fillId="0" borderId="14" xfId="0" applyFont="1" applyBorder="1" applyAlignment="1">
      <alignment horizontal="right" vertical="center"/>
    </xf>
    <xf numFmtId="0" fontId="21" fillId="0" borderId="22" xfId="0" applyFont="1" applyBorder="1" applyAlignment="1">
      <alignment horizontal="right" vertical="center"/>
    </xf>
    <xf numFmtId="0" fontId="22" fillId="0" borderId="0" xfId="0" applyFont="1" applyAlignment="1">
      <alignment vertical="center"/>
    </xf>
    <xf numFmtId="0" fontId="14" fillId="0" borderId="14" xfId="14" applyFont="1" applyBorder="1" applyAlignment="1">
      <alignment horizontal="center" vertical="center"/>
    </xf>
    <xf numFmtId="0" fontId="13" fillId="0" borderId="14" xfId="14" applyFont="1" applyBorder="1" applyAlignment="1">
      <alignment horizontal="right" vertical="center"/>
    </xf>
    <xf numFmtId="3" fontId="13" fillId="0" borderId="14" xfId="34" applyNumberFormat="1" applyFont="1" applyFill="1" applyBorder="1" applyAlignment="1">
      <alignment horizontal="right" vertical="center"/>
    </xf>
    <xf numFmtId="168" fontId="14" fillId="0" borderId="3" xfId="11" applyFont="1" applyBorder="1" applyAlignment="1">
      <alignment horizontal="center" vertical="center"/>
    </xf>
    <xf numFmtId="0" fontId="14" fillId="0" borderId="11" xfId="7" applyFont="1" applyBorder="1" applyAlignment="1">
      <alignment horizontal="left" vertical="center"/>
    </xf>
    <xf numFmtId="0" fontId="13" fillId="0" borderId="11" xfId="7" applyFont="1" applyBorder="1" applyAlignment="1">
      <alignment horizontal="left" vertical="center"/>
    </xf>
    <xf numFmtId="0" fontId="13" fillId="0" borderId="14" xfId="7" applyFont="1" applyBorder="1" applyAlignment="1">
      <alignment horizontal="left" vertical="center"/>
    </xf>
    <xf numFmtId="168" fontId="14" fillId="0" borderId="3" xfId="11" applyFont="1" applyBorder="1" applyAlignment="1">
      <alignment horizontal="center" vertical="center" wrapText="1"/>
    </xf>
    <xf numFmtId="0" fontId="13" fillId="0" borderId="31" xfId="7" applyFont="1" applyBorder="1" applyAlignment="1">
      <alignment horizontal="left" vertical="center"/>
    </xf>
    <xf numFmtId="0" fontId="14" fillId="0" borderId="23" xfId="14" applyFont="1" applyBorder="1" applyAlignment="1">
      <alignment horizontal="center" vertical="center"/>
    </xf>
    <xf numFmtId="0" fontId="14" fillId="0" borderId="14" xfId="7" applyFont="1" applyBorder="1" applyAlignment="1">
      <alignment horizontal="left" vertical="center"/>
    </xf>
    <xf numFmtId="0" fontId="14" fillId="0" borderId="31" xfId="7" applyFont="1" applyBorder="1" applyAlignment="1">
      <alignment horizontal="left" vertical="center"/>
    </xf>
    <xf numFmtId="0" fontId="13" fillId="0" borderId="23" xfId="14" applyFont="1" applyBorder="1" applyAlignment="1">
      <alignment horizontal="center" vertical="center"/>
    </xf>
    <xf numFmtId="168" fontId="14" fillId="0" borderId="16" xfId="11" applyFont="1" applyBorder="1" applyAlignment="1">
      <alignment horizontal="center" vertical="center" wrapText="1"/>
    </xf>
    <xf numFmtId="0" fontId="13" fillId="0" borderId="33" xfId="14" applyFont="1" applyBorder="1" applyAlignment="1">
      <alignment horizontal="center" vertical="center"/>
    </xf>
    <xf numFmtId="0" fontId="16" fillId="0" borderId="11" xfId="7" applyFont="1" applyBorder="1" applyAlignment="1">
      <alignment vertical="center"/>
    </xf>
    <xf numFmtId="0" fontId="16" fillId="0" borderId="14" xfId="0" applyFont="1" applyBorder="1" applyAlignment="1">
      <alignment vertical="center"/>
    </xf>
    <xf numFmtId="3" fontId="13" fillId="0" borderId="15" xfId="34" applyNumberFormat="1" applyFont="1" applyFill="1" applyBorder="1" applyAlignment="1">
      <alignment horizontal="right" vertical="center"/>
    </xf>
    <xf numFmtId="0" fontId="14" fillId="0" borderId="34" xfId="14" applyFont="1" applyBorder="1" applyAlignment="1">
      <alignment horizontal="center" vertical="center"/>
    </xf>
    <xf numFmtId="0" fontId="14" fillId="0" borderId="0" xfId="9" applyNumberFormat="1" applyFont="1" applyAlignment="1">
      <alignment vertical="center"/>
    </xf>
    <xf numFmtId="0" fontId="19" fillId="0" borderId="14" xfId="7" applyFont="1" applyBorder="1" applyAlignment="1">
      <alignment horizontal="left" vertical="center"/>
    </xf>
    <xf numFmtId="38" fontId="14" fillId="0" borderId="14" xfId="34" applyFont="1" applyFill="1" applyBorder="1" applyAlignment="1">
      <alignment horizontal="right" vertical="center"/>
    </xf>
    <xf numFmtId="0" fontId="14" fillId="3" borderId="0" xfId="0" applyFont="1" applyFill="1" applyAlignment="1">
      <alignment vertical="center"/>
    </xf>
    <xf numFmtId="0" fontId="14" fillId="0" borderId="14" xfId="9" applyNumberFormat="1" applyFont="1" applyBorder="1" applyAlignment="1">
      <alignment horizontal="left" vertical="center"/>
    </xf>
    <xf numFmtId="38" fontId="15" fillId="0" borderId="25" xfId="34" applyFont="1" applyFill="1" applyBorder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centerContinuous" vertical="center"/>
    </xf>
    <xf numFmtId="0" fontId="14" fillId="0" borderId="20" xfId="7" applyFont="1" applyBorder="1" applyAlignment="1">
      <alignment horizontal="left" vertical="center"/>
    </xf>
    <xf numFmtId="0" fontId="14" fillId="0" borderId="18" xfId="7" applyFont="1" applyBorder="1" applyAlignment="1">
      <alignment horizontal="left" vertical="center"/>
    </xf>
    <xf numFmtId="0" fontId="14" fillId="0" borderId="29" xfId="7" applyFont="1" applyBorder="1" applyAlignment="1">
      <alignment horizontal="left" vertical="center"/>
    </xf>
    <xf numFmtId="168" fontId="13" fillId="0" borderId="3" xfId="11" applyFont="1" applyBorder="1" applyAlignment="1">
      <alignment horizontal="center" vertical="center" wrapText="1"/>
    </xf>
    <xf numFmtId="0" fontId="14" fillId="0" borderId="17" xfId="7" applyFont="1" applyBorder="1" applyAlignment="1">
      <alignment horizontal="left" vertical="center"/>
    </xf>
    <xf numFmtId="0" fontId="14" fillId="0" borderId="24" xfId="7" applyFont="1" applyBorder="1" applyAlignment="1">
      <alignment horizontal="left" vertical="center"/>
    </xf>
    <xf numFmtId="0" fontId="14" fillId="0" borderId="27" xfId="7" applyFont="1" applyBorder="1" applyAlignment="1">
      <alignment horizontal="left" vertical="center"/>
    </xf>
    <xf numFmtId="0" fontId="14" fillId="0" borderId="33" xfId="14" applyFont="1" applyBorder="1" applyAlignment="1">
      <alignment horizontal="center" vertical="center"/>
    </xf>
    <xf numFmtId="0" fontId="21" fillId="0" borderId="18" xfId="0" applyFont="1" applyBorder="1" applyAlignment="1">
      <alignment horizontal="right" vertical="center"/>
    </xf>
    <xf numFmtId="168" fontId="15" fillId="0" borderId="3" xfId="11" applyFont="1" applyBorder="1" applyAlignment="1">
      <alignment horizontal="center" vertical="center" wrapText="1"/>
    </xf>
    <xf numFmtId="40" fontId="14" fillId="0" borderId="3" xfId="11" applyNumberFormat="1" applyFont="1" applyBorder="1" applyAlignment="1">
      <alignment horizontal="center" vertical="center" wrapText="1"/>
    </xf>
    <xf numFmtId="1" fontId="14" fillId="0" borderId="23" xfId="14" applyNumberFormat="1" applyFont="1" applyBorder="1" applyAlignment="1">
      <alignment horizontal="center" vertical="center"/>
    </xf>
    <xf numFmtId="166" fontId="12" fillId="0" borderId="38" xfId="0" applyNumberFormat="1" applyFont="1" applyBorder="1" applyAlignment="1">
      <alignment horizontal="center" vertical="center"/>
    </xf>
    <xf numFmtId="0" fontId="12" fillId="0" borderId="1" xfId="7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37" xfId="0" applyFont="1" applyBorder="1" applyAlignment="1">
      <alignment vertical="center"/>
    </xf>
    <xf numFmtId="0" fontId="14" fillId="2" borderId="11" xfId="7" quotePrefix="1" applyFont="1" applyFill="1" applyBorder="1" applyAlignment="1">
      <alignment horizontal="left" vertical="center"/>
    </xf>
    <xf numFmtId="0" fontId="14" fillId="2" borderId="11" xfId="7" applyFont="1" applyFill="1" applyBorder="1" applyAlignment="1">
      <alignment vertical="center"/>
    </xf>
    <xf numFmtId="0" fontId="13" fillId="2" borderId="11" xfId="7" applyFont="1" applyFill="1" applyBorder="1" applyAlignment="1">
      <alignment vertical="center"/>
    </xf>
    <xf numFmtId="168" fontId="16" fillId="0" borderId="3" xfId="11" applyFont="1" applyBorder="1" applyAlignment="1">
      <alignment horizontal="center" vertical="center"/>
    </xf>
    <xf numFmtId="0" fontId="16" fillId="0" borderId="11" xfId="7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4" fillId="0" borderId="14" xfId="14" quotePrefix="1" applyFont="1" applyBorder="1" applyAlignment="1">
      <alignment horizontal="center" vertical="center"/>
    </xf>
    <xf numFmtId="38" fontId="13" fillId="0" borderId="15" xfId="1" applyNumberFormat="1" applyFont="1" applyFill="1" applyBorder="1" applyAlignment="1">
      <alignment horizontal="right" vertical="center"/>
    </xf>
    <xf numFmtId="0" fontId="14" fillId="0" borderId="14" xfId="0" applyFont="1" applyBorder="1" applyAlignment="1">
      <alignment vertical="center"/>
    </xf>
    <xf numFmtId="0" fontId="14" fillId="0" borderId="10" xfId="7" applyFont="1" applyBorder="1" applyAlignment="1">
      <alignment horizontal="right" vertical="center"/>
    </xf>
    <xf numFmtId="0" fontId="14" fillId="2" borderId="6" xfId="14" applyFont="1" applyFill="1" applyBorder="1" applyAlignment="1">
      <alignment horizontal="center" vertical="center"/>
    </xf>
    <xf numFmtId="0" fontId="13" fillId="2" borderId="6" xfId="14" applyFont="1" applyFill="1" applyBorder="1" applyAlignment="1">
      <alignment horizontal="center" vertical="center"/>
    </xf>
    <xf numFmtId="0" fontId="14" fillId="2" borderId="11" xfId="7" applyFont="1" applyFill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0" fontId="13" fillId="2" borderId="17" xfId="7" applyFont="1" applyFill="1" applyBorder="1" applyAlignment="1">
      <alignment horizontal="left" vertical="center"/>
    </xf>
    <xf numFmtId="0" fontId="13" fillId="0" borderId="24" xfId="0" applyFont="1" applyBorder="1" applyAlignment="1">
      <alignment horizontal="left" vertical="center"/>
    </xf>
    <xf numFmtId="0" fontId="13" fillId="0" borderId="39" xfId="0" applyFont="1" applyBorder="1" applyAlignment="1">
      <alignment horizontal="left" vertical="center"/>
    </xf>
    <xf numFmtId="0" fontId="13" fillId="2" borderId="40" xfId="14" applyFont="1" applyFill="1" applyBorder="1" applyAlignment="1">
      <alignment horizontal="center" vertical="center"/>
    </xf>
    <xf numFmtId="38" fontId="15" fillId="0" borderId="14" xfId="34" applyFont="1" applyFill="1" applyBorder="1" applyAlignment="1">
      <alignment horizontal="right" vertical="center"/>
    </xf>
    <xf numFmtId="38" fontId="15" fillId="0" borderId="24" xfId="34" applyFont="1" applyFill="1" applyBorder="1" applyAlignment="1">
      <alignment horizontal="right" vertical="center"/>
    </xf>
    <xf numFmtId="0" fontId="13" fillId="0" borderId="14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38" fontId="13" fillId="0" borderId="3" xfId="1" applyNumberFormat="1" applyFont="1" applyBorder="1" applyAlignment="1">
      <alignment horizontal="right" vertical="center"/>
    </xf>
    <xf numFmtId="38" fontId="14" fillId="0" borderId="3" xfId="1" applyNumberFormat="1" applyFont="1" applyFill="1" applyBorder="1" applyAlignment="1">
      <alignment horizontal="right" vertical="center"/>
    </xf>
    <xf numFmtId="38" fontId="14" fillId="0" borderId="4" xfId="1" applyNumberFormat="1" applyFont="1" applyFill="1" applyBorder="1" applyAlignment="1">
      <alignment horizontal="right" vertical="center"/>
    </xf>
    <xf numFmtId="3" fontId="25" fillId="0" borderId="26" xfId="34" applyNumberFormat="1" applyFont="1" applyFill="1" applyBorder="1" applyAlignment="1">
      <alignment horizontal="right" vertical="center"/>
    </xf>
    <xf numFmtId="0" fontId="26" fillId="2" borderId="0" xfId="40" applyFont="1" applyFill="1" applyAlignment="1">
      <alignment horizontal="center" vertical="center"/>
    </xf>
    <xf numFmtId="0" fontId="26" fillId="2" borderId="0" xfId="40" applyFont="1" applyFill="1" applyAlignment="1">
      <alignment vertical="center"/>
    </xf>
    <xf numFmtId="38" fontId="26" fillId="2" borderId="0" xfId="1" applyNumberFormat="1" applyFont="1" applyFill="1" applyAlignment="1">
      <alignment vertical="center"/>
    </xf>
    <xf numFmtId="0" fontId="18" fillId="0" borderId="0" xfId="40" applyFont="1" applyAlignment="1">
      <alignment vertical="center"/>
    </xf>
    <xf numFmtId="166" fontId="28" fillId="0" borderId="51" xfId="41" applyFont="1" applyBorder="1" applyAlignment="1">
      <alignment horizontal="center" vertical="center"/>
    </xf>
    <xf numFmtId="166" fontId="28" fillId="0" borderId="54" xfId="41" applyFont="1" applyBorder="1" applyAlignment="1">
      <alignment horizontal="left" vertical="center"/>
    </xf>
    <xf numFmtId="0" fontId="18" fillId="0" borderId="55" xfId="40" applyFont="1" applyBorder="1" applyAlignment="1">
      <alignment horizontal="center" vertical="center"/>
    </xf>
    <xf numFmtId="0" fontId="18" fillId="0" borderId="55" xfId="40" applyFont="1" applyBorder="1" applyAlignment="1">
      <alignment vertical="center"/>
    </xf>
    <xf numFmtId="38" fontId="18" fillId="0" borderId="55" xfId="1" applyNumberFormat="1" applyFont="1" applyFill="1" applyBorder="1" applyAlignment="1">
      <alignment horizontal="right" vertical="center"/>
    </xf>
    <xf numFmtId="38" fontId="18" fillId="0" borderId="44" xfId="1" applyNumberFormat="1" applyFont="1" applyFill="1" applyBorder="1" applyAlignment="1">
      <alignment horizontal="right" vertical="center"/>
    </xf>
    <xf numFmtId="0" fontId="16" fillId="0" borderId="51" xfId="8" applyFont="1" applyBorder="1" applyAlignment="1">
      <alignment horizontal="center" vertical="center"/>
    </xf>
    <xf numFmtId="0" fontId="13" fillId="0" borderId="0" xfId="40" applyFont="1" applyAlignment="1">
      <alignment vertical="center"/>
    </xf>
    <xf numFmtId="166" fontId="13" fillId="0" borderId="43" xfId="41" applyFont="1" applyBorder="1" applyAlignment="1">
      <alignment horizontal="center" vertical="center"/>
    </xf>
    <xf numFmtId="0" fontId="14" fillId="0" borderId="56" xfId="8" applyFont="1" applyBorder="1" applyAlignment="1">
      <alignment horizontal="left" vertical="center"/>
    </xf>
    <xf numFmtId="0" fontId="13" fillId="0" borderId="53" xfId="42" applyFont="1" applyBorder="1" applyAlignment="1">
      <alignment horizontal="center" vertical="center"/>
    </xf>
    <xf numFmtId="1" fontId="13" fillId="0" borderId="57" xfId="42" applyNumberFormat="1" applyFont="1" applyBorder="1" applyAlignment="1">
      <alignment horizontal="center" vertical="center"/>
    </xf>
    <xf numFmtId="0" fontId="13" fillId="0" borderId="54" xfId="42" applyFont="1" applyBorder="1" applyAlignment="1">
      <alignment horizontal="center" vertical="center"/>
    </xf>
    <xf numFmtId="3" fontId="13" fillId="0" borderId="51" xfId="1" applyNumberFormat="1" applyFont="1" applyFill="1" applyBorder="1" applyAlignment="1">
      <alignment horizontal="right" vertical="center"/>
    </xf>
    <xf numFmtId="3" fontId="13" fillId="0" borderId="52" xfId="1" applyNumberFormat="1" applyFont="1" applyFill="1" applyBorder="1" applyAlignment="1">
      <alignment horizontal="right" vertical="center"/>
    </xf>
    <xf numFmtId="0" fontId="16" fillId="0" borderId="0" xfId="40" applyFont="1" applyAlignment="1">
      <alignment vertical="center"/>
    </xf>
    <xf numFmtId="38" fontId="13" fillId="0" borderId="52" xfId="1" applyNumberFormat="1" applyFont="1" applyFill="1" applyBorder="1" applyAlignment="1">
      <alignment horizontal="right" vertical="center"/>
    </xf>
    <xf numFmtId="0" fontId="13" fillId="0" borderId="56" xfId="8" applyFont="1" applyBorder="1" applyAlignment="1">
      <alignment horizontal="left" vertical="center"/>
    </xf>
    <xf numFmtId="166" fontId="16" fillId="0" borderId="51" xfId="41" applyFont="1" applyBorder="1" applyAlignment="1">
      <alignment horizontal="center" vertical="center"/>
    </xf>
    <xf numFmtId="0" fontId="16" fillId="0" borderId="54" xfId="8" applyFont="1" applyBorder="1" applyAlignment="1">
      <alignment horizontal="left" vertical="center"/>
    </xf>
    <xf numFmtId="0" fontId="13" fillId="0" borderId="55" xfId="40" applyFont="1" applyBorder="1" applyAlignment="1">
      <alignment horizontal="center" vertical="center"/>
    </xf>
    <xf numFmtId="0" fontId="13" fillId="0" borderId="55" xfId="40" applyFont="1" applyBorder="1" applyAlignment="1">
      <alignment vertical="center"/>
    </xf>
    <xf numFmtId="38" fontId="13" fillId="0" borderId="55" xfId="1" applyNumberFormat="1" applyFont="1" applyFill="1" applyBorder="1" applyAlignment="1">
      <alignment horizontal="right" vertical="center"/>
    </xf>
    <xf numFmtId="38" fontId="13" fillId="0" borderId="44" xfId="1" applyNumberFormat="1" applyFont="1" applyFill="1" applyBorder="1" applyAlignment="1">
      <alignment horizontal="right" vertical="center"/>
    </xf>
    <xf numFmtId="0" fontId="29" fillId="0" borderId="53" xfId="42" applyFont="1" applyBorder="1" applyAlignment="1">
      <alignment horizontal="center" vertical="center"/>
    </xf>
    <xf numFmtId="1" fontId="29" fillId="0" borderId="57" xfId="42" applyNumberFormat="1" applyFont="1" applyBorder="1" applyAlignment="1">
      <alignment horizontal="center" vertical="center"/>
    </xf>
    <xf numFmtId="0" fontId="29" fillId="0" borderId="54" xfId="42" applyFont="1" applyBorder="1" applyAlignment="1">
      <alignment horizontal="center" vertical="center"/>
    </xf>
    <xf numFmtId="0" fontId="30" fillId="0" borderId="0" xfId="40" applyFont="1" applyAlignment="1">
      <alignment vertical="center"/>
    </xf>
    <xf numFmtId="0" fontId="13" fillId="0" borderId="55" xfId="40" applyFont="1" applyBorder="1" applyAlignment="1">
      <alignment horizontal="left" vertical="center"/>
    </xf>
    <xf numFmtId="0" fontId="13" fillId="0" borderId="55" xfId="40" applyFont="1" applyBorder="1" applyAlignment="1">
      <alignment horizontal="right" vertical="center"/>
    </xf>
    <xf numFmtId="3" fontId="13" fillId="0" borderId="44" xfId="40" applyNumberFormat="1" applyFont="1" applyBorder="1" applyAlignment="1">
      <alignment horizontal="right" vertical="center"/>
    </xf>
    <xf numFmtId="38" fontId="13" fillId="0" borderId="53" xfId="43" applyFont="1" applyFill="1" applyBorder="1" applyAlignment="1">
      <alignment vertical="center"/>
    </xf>
    <xf numFmtId="38" fontId="13" fillId="0" borderId="53" xfId="43" applyFont="1" applyFill="1" applyBorder="1" applyAlignment="1">
      <alignment horizontal="center" vertical="center"/>
    </xf>
    <xf numFmtId="169" fontId="13" fillId="0" borderId="43" xfId="8" applyNumberFormat="1" applyFont="1" applyBorder="1" applyAlignment="1">
      <alignment horizontal="center" vertical="center"/>
    </xf>
    <xf numFmtId="0" fontId="13" fillId="0" borderId="57" xfId="42" applyFont="1" applyBorder="1" applyAlignment="1">
      <alignment horizontal="center" vertical="center"/>
    </xf>
    <xf numFmtId="166" fontId="13" fillId="0" borderId="43" xfId="15" applyNumberFormat="1" applyFont="1" applyBorder="1">
      <alignment horizontal="center" vertical="center" wrapText="1"/>
    </xf>
    <xf numFmtId="3" fontId="14" fillId="0" borderId="57" xfId="40" applyNumberFormat="1" applyFont="1" applyBorder="1" applyAlignment="1">
      <alignment horizontal="center" vertical="center"/>
    </xf>
    <xf numFmtId="3" fontId="13" fillId="0" borderId="54" xfId="42" applyNumberFormat="1" applyFont="1" applyBorder="1" applyAlignment="1">
      <alignment horizontal="center" vertical="center"/>
    </xf>
    <xf numFmtId="38" fontId="16" fillId="0" borderId="1" xfId="1" applyNumberFormat="1" applyFont="1" applyFill="1" applyBorder="1" applyAlignment="1">
      <alignment vertical="center"/>
    </xf>
    <xf numFmtId="38" fontId="16" fillId="0" borderId="7" xfId="1" applyNumberFormat="1" applyFont="1" applyFill="1" applyBorder="1" applyAlignment="1">
      <alignment vertical="center"/>
    </xf>
    <xf numFmtId="0" fontId="31" fillId="0" borderId="55" xfId="40" applyFont="1" applyBorder="1" applyAlignment="1">
      <alignment horizontal="center" vertical="center"/>
    </xf>
    <xf numFmtId="0" fontId="31" fillId="0" borderId="55" xfId="40" applyFont="1" applyBorder="1" applyAlignment="1">
      <alignment vertical="center"/>
    </xf>
    <xf numFmtId="0" fontId="31" fillId="0" borderId="55" xfId="40" applyFont="1" applyBorder="1" applyAlignment="1">
      <alignment horizontal="right" vertical="center"/>
    </xf>
    <xf numFmtId="38" fontId="31" fillId="0" borderId="55" xfId="1" applyNumberFormat="1" applyFont="1" applyFill="1" applyBorder="1" applyAlignment="1">
      <alignment horizontal="right" vertical="center"/>
    </xf>
    <xf numFmtId="38" fontId="32" fillId="0" borderId="58" xfId="1" applyNumberFormat="1" applyFont="1" applyFill="1" applyBorder="1" applyAlignment="1">
      <alignment horizontal="right" vertical="center"/>
    </xf>
    <xf numFmtId="0" fontId="33" fillId="0" borderId="0" xfId="40" applyFont="1" applyAlignment="1">
      <alignment vertical="center"/>
    </xf>
    <xf numFmtId="169" fontId="16" fillId="0" borderId="51" xfId="8" applyNumberFormat="1" applyFont="1" applyBorder="1" applyAlignment="1">
      <alignment horizontal="center" vertical="center"/>
    </xf>
    <xf numFmtId="4" fontId="16" fillId="0" borderId="54" xfId="8" applyNumberFormat="1" applyFont="1" applyBorder="1" applyAlignment="1">
      <alignment horizontal="left" vertical="center"/>
    </xf>
    <xf numFmtId="0" fontId="29" fillId="0" borderId="55" xfId="40" applyFont="1" applyBorder="1" applyAlignment="1">
      <alignment horizontal="center" vertical="center"/>
    </xf>
    <xf numFmtId="0" fontId="29" fillId="0" borderId="55" xfId="40" applyFont="1" applyBorder="1" applyAlignment="1">
      <alignment vertical="center"/>
    </xf>
    <xf numFmtId="38" fontId="29" fillId="0" borderId="55" xfId="1" applyNumberFormat="1" applyFont="1" applyFill="1" applyBorder="1" applyAlignment="1">
      <alignment horizontal="right" vertical="center"/>
    </xf>
    <xf numFmtId="38" fontId="29" fillId="0" borderId="44" xfId="1" applyNumberFormat="1" applyFont="1" applyFill="1" applyBorder="1" applyAlignment="1">
      <alignment horizontal="right" vertical="center"/>
    </xf>
    <xf numFmtId="0" fontId="34" fillId="0" borderId="0" xfId="40" applyFont="1" applyAlignment="1">
      <alignment vertical="center"/>
    </xf>
    <xf numFmtId="0" fontId="29" fillId="0" borderId="57" xfId="42" applyFont="1" applyBorder="1" applyAlignment="1">
      <alignment horizontal="center" vertical="center"/>
    </xf>
    <xf numFmtId="0" fontId="29" fillId="0" borderId="55" xfId="8" applyFont="1" applyBorder="1" applyAlignment="1">
      <alignment vertical="center"/>
    </xf>
    <xf numFmtId="0" fontId="29" fillId="0" borderId="55" xfId="42" applyFont="1" applyBorder="1" applyAlignment="1">
      <alignment horizontal="center" vertical="center"/>
    </xf>
    <xf numFmtId="4" fontId="16" fillId="0" borderId="51" xfId="8" applyNumberFormat="1" applyFont="1" applyBorder="1" applyAlignment="1">
      <alignment horizontal="center" vertical="center"/>
    </xf>
    <xf numFmtId="0" fontId="16" fillId="4" borderId="54" xfId="8" applyFont="1" applyFill="1" applyBorder="1" applyAlignment="1">
      <alignment horizontal="left" vertical="center"/>
    </xf>
    <xf numFmtId="0" fontId="29" fillId="0" borderId="55" xfId="40" applyFont="1" applyBorder="1" applyAlignment="1">
      <alignment horizontal="right" vertical="center"/>
    </xf>
    <xf numFmtId="38" fontId="29" fillId="0" borderId="44" xfId="1" applyNumberFormat="1" applyFont="1" applyFill="1" applyBorder="1" applyAlignment="1">
      <alignment vertical="center"/>
    </xf>
    <xf numFmtId="169" fontId="35" fillId="0" borderId="51" xfId="8" applyNumberFormat="1" applyFont="1" applyBorder="1" applyAlignment="1">
      <alignment horizontal="center" vertical="center"/>
    </xf>
    <xf numFmtId="4" fontId="35" fillId="0" borderId="54" xfId="8" applyNumberFormat="1" applyFont="1" applyBorder="1" applyAlignment="1">
      <alignment horizontal="left" vertical="center"/>
    </xf>
    <xf numFmtId="4" fontId="36" fillId="0" borderId="55" xfId="8" applyNumberFormat="1" applyFont="1" applyBorder="1" applyAlignment="1">
      <alignment vertical="center"/>
    </xf>
    <xf numFmtId="38" fontId="36" fillId="0" borderId="55" xfId="1" applyNumberFormat="1" applyFont="1" applyFill="1" applyBorder="1" applyAlignment="1">
      <alignment vertical="center"/>
    </xf>
    <xf numFmtId="38" fontId="36" fillId="0" borderId="44" xfId="1" applyNumberFormat="1" applyFont="1" applyFill="1" applyBorder="1" applyAlignment="1">
      <alignment vertical="center"/>
    </xf>
    <xf numFmtId="0" fontId="37" fillId="0" borderId="0" xfId="40" applyFont="1" applyAlignment="1">
      <alignment horizontal="left" vertical="center"/>
    </xf>
    <xf numFmtId="166" fontId="38" fillId="0" borderId="43" xfId="41" applyFont="1" applyBorder="1" applyAlignment="1">
      <alignment horizontal="center" vertical="center"/>
    </xf>
    <xf numFmtId="0" fontId="39" fillId="0" borderId="53" xfId="42" applyFont="1" applyBorder="1" applyAlignment="1">
      <alignment horizontal="center" vertical="center"/>
    </xf>
    <xf numFmtId="0" fontId="39" fillId="0" borderId="57" xfId="42" applyFont="1" applyBorder="1" applyAlignment="1">
      <alignment horizontal="center" vertical="center"/>
    </xf>
    <xf numFmtId="0" fontId="37" fillId="0" borderId="0" xfId="40" applyFont="1" applyAlignment="1">
      <alignment vertical="center"/>
    </xf>
    <xf numFmtId="0" fontId="40" fillId="0" borderId="0" xfId="40" applyFont="1" applyAlignment="1">
      <alignment vertical="center"/>
    </xf>
    <xf numFmtId="169" fontId="29" fillId="0" borderId="43" xfId="8" applyNumberFormat="1" applyFont="1" applyBorder="1" applyAlignment="1">
      <alignment horizontal="center" vertical="center"/>
    </xf>
    <xf numFmtId="0" fontId="13" fillId="0" borderId="0" xfId="40" applyFont="1" applyAlignment="1">
      <alignment horizontal="left" vertical="center"/>
    </xf>
    <xf numFmtId="3" fontId="13" fillId="0" borderId="57" xfId="42" applyNumberFormat="1" applyFont="1" applyBorder="1" applyAlignment="1">
      <alignment horizontal="center" vertical="center"/>
    </xf>
    <xf numFmtId="168" fontId="13" fillId="0" borderId="59" xfId="11" applyFont="1" applyBorder="1" applyAlignment="1">
      <alignment horizontal="center" vertical="center" wrapText="1"/>
    </xf>
    <xf numFmtId="0" fontId="13" fillId="0" borderId="23" xfId="42" applyFont="1" applyBorder="1" applyAlignment="1">
      <alignment horizontal="center" vertical="center"/>
    </xf>
    <xf numFmtId="0" fontId="13" fillId="0" borderId="11" xfId="8" applyFont="1" applyBorder="1" applyAlignment="1">
      <alignment horizontal="left" vertical="center"/>
    </xf>
    <xf numFmtId="0" fontId="13" fillId="0" borderId="31" xfId="8" applyFont="1" applyBorder="1" applyAlignment="1">
      <alignment horizontal="left" vertical="center"/>
    </xf>
    <xf numFmtId="0" fontId="13" fillId="0" borderId="55" xfId="42" applyFont="1" applyBorder="1" applyAlignment="1">
      <alignment horizontal="center" vertical="center"/>
    </xf>
    <xf numFmtId="0" fontId="13" fillId="0" borderId="52" xfId="42" applyFont="1" applyBorder="1" applyAlignment="1">
      <alignment horizontal="center" vertical="center"/>
    </xf>
    <xf numFmtId="166" fontId="28" fillId="0" borderId="46" xfId="41" applyFont="1" applyBorder="1" applyAlignment="1">
      <alignment horizontal="center" vertical="center"/>
    </xf>
    <xf numFmtId="166" fontId="28" fillId="0" borderId="49" xfId="41" applyFont="1" applyBorder="1" applyAlignment="1">
      <alignment horizontal="left" vertical="center"/>
    </xf>
    <xf numFmtId="0" fontId="18" fillId="0" borderId="1" xfId="40" applyFont="1" applyBorder="1" applyAlignment="1">
      <alignment horizontal="center" vertical="center"/>
    </xf>
    <xf numFmtId="0" fontId="18" fillId="0" borderId="1" xfId="40" applyFont="1" applyBorder="1" applyAlignment="1">
      <alignment vertical="center"/>
    </xf>
    <xf numFmtId="38" fontId="18" fillId="0" borderId="1" xfId="1" applyNumberFormat="1" applyFont="1" applyFill="1" applyBorder="1" applyAlignment="1">
      <alignment horizontal="right" vertical="center"/>
    </xf>
    <xf numFmtId="168" fontId="13" fillId="0" borderId="61" xfId="11" applyFont="1" applyBorder="1" applyAlignment="1" applyProtection="1">
      <alignment horizontal="center" vertical="center"/>
      <protection locked="0"/>
    </xf>
    <xf numFmtId="0" fontId="13" fillId="0" borderId="54" xfId="8" applyFont="1" applyBorder="1" applyAlignment="1">
      <alignment vertical="center"/>
    </xf>
    <xf numFmtId="0" fontId="13" fillId="0" borderId="53" xfId="8" applyFont="1" applyBorder="1" applyAlignment="1">
      <alignment vertical="center"/>
    </xf>
    <xf numFmtId="38" fontId="16" fillId="0" borderId="65" xfId="1" applyNumberFormat="1" applyFont="1" applyFill="1" applyBorder="1" applyAlignment="1">
      <alignment vertical="center"/>
    </xf>
    <xf numFmtId="0" fontId="42" fillId="0" borderId="0" xfId="40" applyFont="1" applyAlignment="1">
      <alignment horizontal="center" vertical="center"/>
    </xf>
    <xf numFmtId="0" fontId="42" fillId="0" borderId="0" xfId="40" applyFont="1" applyAlignment="1">
      <alignment vertical="center"/>
    </xf>
    <xf numFmtId="0" fontId="42" fillId="0" borderId="0" xfId="40" applyFont="1" applyAlignment="1">
      <alignment horizontal="centerContinuous" vertical="center"/>
    </xf>
    <xf numFmtId="38" fontId="42" fillId="0" borderId="0" xfId="1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2" xfId="0" applyFont="1" applyBorder="1" applyAlignment="1">
      <alignment vertical="center"/>
    </xf>
    <xf numFmtId="4" fontId="12" fillId="0" borderId="11" xfId="0" applyNumberFormat="1" applyFont="1" applyBorder="1" applyAlignment="1">
      <alignment vertical="center"/>
    </xf>
    <xf numFmtId="4" fontId="12" fillId="0" borderId="14" xfId="0" applyNumberFormat="1" applyFont="1" applyBorder="1" applyAlignment="1">
      <alignment vertical="center"/>
    </xf>
    <xf numFmtId="168" fontId="13" fillId="0" borderId="3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4" xfId="8" applyFont="1" applyBorder="1" applyAlignment="1">
      <alignment horizontal="center" vertical="center"/>
    </xf>
    <xf numFmtId="0" fontId="13" fillId="0" borderId="14" xfId="0" applyFont="1" applyBorder="1" applyAlignment="1">
      <alignment horizontal="left" vertical="center" wrapText="1"/>
    </xf>
    <xf numFmtId="0" fontId="14" fillId="0" borderId="19" xfId="8" applyFont="1" applyBorder="1" applyAlignment="1">
      <alignment horizontal="center" vertical="center"/>
    </xf>
    <xf numFmtId="0" fontId="15" fillId="0" borderId="18" xfId="8" applyFont="1" applyBorder="1" applyAlignment="1">
      <alignment vertical="center"/>
    </xf>
    <xf numFmtId="0" fontId="12" fillId="0" borderId="11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38" fontId="43" fillId="0" borderId="14" xfId="1" applyNumberFormat="1" applyFont="1" applyFill="1" applyBorder="1" applyAlignment="1">
      <alignment horizontal="right" vertical="center"/>
    </xf>
    <xf numFmtId="38" fontId="43" fillId="0" borderId="18" xfId="1" applyNumberFormat="1" applyFont="1" applyFill="1" applyBorder="1" applyAlignment="1">
      <alignment horizontal="right" vertical="center"/>
    </xf>
    <xf numFmtId="0" fontId="13" fillId="0" borderId="6" xfId="0" quotePrefix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5" fillId="0" borderId="14" xfId="8" applyFont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8" xfId="0" applyBorder="1" applyAlignment="1">
      <alignment vertical="center"/>
    </xf>
    <xf numFmtId="0" fontId="13" fillId="0" borderId="6" xfId="0" applyFont="1" applyBorder="1" applyAlignment="1">
      <alignment horizontal="left" vertical="center"/>
    </xf>
    <xf numFmtId="168" fontId="16" fillId="0" borderId="3" xfId="0" applyNumberFormat="1" applyFont="1" applyBorder="1" applyAlignment="1">
      <alignment horizontal="center" vertical="center"/>
    </xf>
    <xf numFmtId="0" fontId="16" fillId="0" borderId="11" xfId="0" applyFont="1" applyBorder="1" applyAlignment="1">
      <alignment horizontal="left" vertical="center"/>
    </xf>
    <xf numFmtId="38" fontId="13" fillId="0" borderId="14" xfId="0" applyNumberFormat="1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4" xfId="1" applyNumberFormat="1" applyFont="1" applyFill="1" applyBorder="1" applyAlignment="1">
      <alignment horizontal="right" vertical="center"/>
    </xf>
    <xf numFmtId="38" fontId="13" fillId="0" borderId="6" xfId="0" applyNumberFormat="1" applyFont="1" applyBorder="1" applyAlignment="1">
      <alignment horizontal="center" vertical="center"/>
    </xf>
    <xf numFmtId="38" fontId="13" fillId="0" borderId="6" xfId="1" applyNumberFormat="1" applyFont="1" applyFill="1" applyBorder="1" applyAlignment="1">
      <alignment horizontal="center" vertical="center"/>
    </xf>
    <xf numFmtId="0" fontId="16" fillId="0" borderId="11" xfId="8" applyFont="1" applyBorder="1" applyAlignment="1">
      <alignment horizontal="left" vertical="center"/>
    </xf>
    <xf numFmtId="3" fontId="16" fillId="0" borderId="14" xfId="14" applyNumberFormat="1" applyFont="1" applyBorder="1" applyAlignment="1">
      <alignment horizontal="center" vertical="center"/>
    </xf>
    <xf numFmtId="0" fontId="16" fillId="0" borderId="14" xfId="14" applyFont="1" applyBorder="1" applyAlignment="1">
      <alignment horizontal="center" vertical="center"/>
    </xf>
    <xf numFmtId="38" fontId="16" fillId="0" borderId="14" xfId="1" applyNumberFormat="1" applyFont="1" applyFill="1" applyBorder="1" applyAlignment="1">
      <alignment horizontal="right" vertical="center"/>
    </xf>
    <xf numFmtId="0" fontId="13" fillId="0" borderId="3" xfId="8" applyFont="1" applyBorder="1" applyAlignment="1">
      <alignment horizontal="center" vertical="center"/>
    </xf>
    <xf numFmtId="3" fontId="13" fillId="0" borderId="6" xfId="14" applyNumberFormat="1" applyFont="1" applyBorder="1" applyAlignment="1">
      <alignment horizontal="center" vertical="center"/>
    </xf>
    <xf numFmtId="0" fontId="13" fillId="0" borderId="4" xfId="14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168" fontId="13" fillId="0" borderId="16" xfId="0" applyNumberFormat="1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168" fontId="12" fillId="2" borderId="3" xfId="0" applyNumberFormat="1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left" vertical="center"/>
    </xf>
    <xf numFmtId="0" fontId="0" fillId="2" borderId="14" xfId="0" applyFill="1" applyBorder="1" applyAlignment="1">
      <alignment vertical="center"/>
    </xf>
    <xf numFmtId="0" fontId="0" fillId="2" borderId="18" xfId="0" applyFill="1" applyBorder="1" applyAlignment="1">
      <alignment vertical="center"/>
    </xf>
    <xf numFmtId="0" fontId="43" fillId="2" borderId="0" xfId="0" applyFont="1" applyFill="1" applyAlignment="1">
      <alignment vertical="center"/>
    </xf>
    <xf numFmtId="0" fontId="13" fillId="0" borderId="6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168" fontId="13" fillId="2" borderId="3" xfId="0" applyNumberFormat="1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3" fillId="0" borderId="0" xfId="0" applyFont="1" applyAlignment="1">
      <alignment horizontal="centerContinuous" vertical="center"/>
    </xf>
    <xf numFmtId="38" fontId="43" fillId="0" borderId="0" xfId="1" applyNumberFormat="1" applyFont="1" applyBorder="1" applyAlignment="1">
      <alignment horizontal="right" vertical="center"/>
    </xf>
    <xf numFmtId="38" fontId="43" fillId="0" borderId="0" xfId="1" applyNumberFormat="1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Continuous" vertical="center"/>
    </xf>
    <xf numFmtId="38" fontId="4" fillId="0" borderId="0" xfId="1" applyNumberFormat="1" applyFont="1" applyAlignment="1">
      <alignment horizontal="right" vertical="center"/>
    </xf>
    <xf numFmtId="0" fontId="46" fillId="0" borderId="68" xfId="44" applyFont="1" applyBorder="1" applyAlignment="1">
      <alignment horizontal="left" wrapText="1"/>
    </xf>
    <xf numFmtId="1" fontId="46" fillId="0" borderId="68" xfId="44" applyNumberFormat="1" applyFont="1" applyBorder="1" applyAlignment="1">
      <alignment horizontal="center" vertical="center" shrinkToFit="1"/>
    </xf>
    <xf numFmtId="167" fontId="46" fillId="0" borderId="68" xfId="45" applyNumberFormat="1" applyFont="1" applyFill="1" applyBorder="1" applyAlignment="1">
      <alignment horizontal="left" wrapText="1"/>
    </xf>
    <xf numFmtId="167" fontId="46" fillId="0" borderId="68" xfId="45" applyNumberFormat="1" applyFont="1" applyFill="1" applyBorder="1" applyAlignment="1">
      <alignment horizontal="left" vertical="center" wrapText="1"/>
    </xf>
    <xf numFmtId="167" fontId="50" fillId="0" borderId="0" xfId="45" applyNumberFormat="1" applyFont="1" applyFill="1" applyBorder="1" applyAlignment="1">
      <alignment horizontal="right" vertical="center"/>
    </xf>
    <xf numFmtId="167" fontId="50" fillId="0" borderId="0" xfId="45" applyNumberFormat="1" applyFont="1" applyFill="1" applyBorder="1" applyAlignment="1">
      <alignment horizontal="right" vertical="center" wrapText="1"/>
    </xf>
    <xf numFmtId="0" fontId="46" fillId="0" borderId="70" xfId="44" applyFont="1" applyBorder="1" applyAlignment="1">
      <alignment horizontal="left" wrapText="1"/>
    </xf>
    <xf numFmtId="0" fontId="46" fillId="0" borderId="71" xfId="44" applyFont="1" applyBorder="1" applyAlignment="1">
      <alignment horizontal="left" wrapText="1"/>
    </xf>
    <xf numFmtId="167" fontId="46" fillId="0" borderId="70" xfId="45" applyNumberFormat="1" applyFont="1" applyFill="1" applyBorder="1" applyAlignment="1">
      <alignment horizontal="left" wrapText="1"/>
    </xf>
    <xf numFmtId="0" fontId="4" fillId="0" borderId="69" xfId="44" applyFont="1" applyBorder="1" applyAlignment="1">
      <alignment vertical="center" wrapText="1"/>
    </xf>
    <xf numFmtId="0" fontId="46" fillId="0" borderId="69" xfId="44" applyFont="1" applyBorder="1" applyAlignment="1">
      <alignment horizontal="left" wrapText="1"/>
    </xf>
    <xf numFmtId="0" fontId="4" fillId="0" borderId="0" xfId="44" applyFont="1" applyAlignment="1">
      <alignment horizontal="left" vertical="center" wrapText="1"/>
    </xf>
    <xf numFmtId="3" fontId="4" fillId="0" borderId="69" xfId="44" applyNumberFormat="1" applyFont="1" applyBorder="1" applyAlignment="1">
      <alignment vertical="center" wrapText="1"/>
    </xf>
    <xf numFmtId="38" fontId="4" fillId="0" borderId="69" xfId="44" applyNumberFormat="1" applyFont="1" applyBorder="1" applyAlignment="1">
      <alignment vertical="center" wrapText="1"/>
    </xf>
    <xf numFmtId="0" fontId="52" fillId="6" borderId="72" xfId="44" applyFont="1" applyFill="1" applyBorder="1" applyAlignment="1">
      <alignment vertical="center" wrapText="1"/>
    </xf>
    <xf numFmtId="0" fontId="47" fillId="6" borderId="73" xfId="44" applyFont="1" applyFill="1" applyBorder="1" applyAlignment="1">
      <alignment horizontal="center" vertical="center" wrapText="1"/>
    </xf>
    <xf numFmtId="0" fontId="48" fillId="6" borderId="73" xfId="44" applyFont="1" applyFill="1" applyBorder="1" applyAlignment="1">
      <alignment horizontal="center" vertical="center" wrapText="1"/>
    </xf>
    <xf numFmtId="167" fontId="47" fillId="6" borderId="74" xfId="45" applyNumberFormat="1" applyFont="1" applyFill="1" applyBorder="1" applyAlignment="1">
      <alignment horizontal="left" vertical="center" wrapText="1"/>
    </xf>
    <xf numFmtId="0" fontId="53" fillId="0" borderId="0" xfId="0" applyFont="1" applyAlignment="1">
      <alignment vertical="center"/>
    </xf>
    <xf numFmtId="38" fontId="15" fillId="0" borderId="7" xfId="8" applyNumberFormat="1" applyFont="1" applyBorder="1" applyAlignment="1">
      <alignment vertical="center"/>
    </xf>
    <xf numFmtId="164" fontId="15" fillId="0" borderId="7" xfId="8" applyNumberFormat="1" applyFont="1" applyBorder="1" applyAlignment="1">
      <alignment vertical="center"/>
    </xf>
    <xf numFmtId="167" fontId="46" fillId="0" borderId="0" xfId="45" applyNumberFormat="1" applyFont="1" applyFill="1" applyBorder="1" applyAlignment="1">
      <alignment horizontal="left" wrapText="1"/>
    </xf>
    <xf numFmtId="167" fontId="46" fillId="0" borderId="0" xfId="45" applyNumberFormat="1" applyFont="1" applyFill="1" applyBorder="1" applyAlignment="1">
      <alignment horizontal="left" vertical="center" wrapText="1"/>
    </xf>
    <xf numFmtId="0" fontId="51" fillId="0" borderId="0" xfId="44" applyFont="1" applyAlignment="1">
      <alignment horizontal="center" vertical="center"/>
    </xf>
    <xf numFmtId="167" fontId="49" fillId="0" borderId="0" xfId="45" applyNumberFormat="1" applyFont="1" applyFill="1" applyBorder="1" applyAlignment="1">
      <alignment horizontal="center" vertical="center" wrapText="1"/>
    </xf>
    <xf numFmtId="167" fontId="47" fillId="0" borderId="0" xfId="45" applyNumberFormat="1" applyFont="1" applyFill="1" applyBorder="1" applyAlignment="1">
      <alignment horizontal="left" vertical="center" wrapText="1"/>
    </xf>
    <xf numFmtId="10" fontId="8" fillId="0" borderId="0" xfId="48" applyNumberFormat="1" applyFont="1" applyAlignment="1">
      <alignment vertical="center"/>
    </xf>
    <xf numFmtId="0" fontId="56" fillId="0" borderId="0" xfId="49" applyFont="1" applyAlignment="1">
      <alignment vertical="center"/>
    </xf>
    <xf numFmtId="0" fontId="9" fillId="0" borderId="0" xfId="0" applyFont="1" applyAlignment="1">
      <alignment horizontal="centerContinuous" vertical="center"/>
    </xf>
    <xf numFmtId="168" fontId="24" fillId="0" borderId="75" xfId="9" quotePrefix="1" applyNumberFormat="1" applyFont="1" applyBorder="1" applyAlignment="1">
      <alignment horizontal="center" vertical="center"/>
    </xf>
    <xf numFmtId="0" fontId="24" fillId="0" borderId="20" xfId="9" applyNumberFormat="1" applyFont="1" applyBorder="1" applyAlignment="1">
      <alignment horizontal="left" vertical="center"/>
    </xf>
    <xf numFmtId="0" fontId="20" fillId="0" borderId="18" xfId="9" applyNumberFormat="1" applyFont="1" applyBorder="1" applyAlignment="1">
      <alignment horizontal="left" vertical="center"/>
    </xf>
    <xf numFmtId="0" fontId="21" fillId="0" borderId="18" xfId="0" applyFont="1" applyBorder="1" applyAlignment="1">
      <alignment vertical="center"/>
    </xf>
    <xf numFmtId="0" fontId="18" fillId="7" borderId="57" xfId="15" applyFont="1" applyFill="1" applyBorder="1">
      <alignment horizontal="center" vertical="center" wrapText="1"/>
    </xf>
    <xf numFmtId="0" fontId="57" fillId="5" borderId="57" xfId="44" applyFont="1" applyFill="1" applyBorder="1" applyAlignment="1">
      <alignment horizontal="center" vertical="center" wrapText="1"/>
    </xf>
    <xf numFmtId="0" fontId="58" fillId="5" borderId="57" xfId="44" applyFont="1" applyFill="1" applyBorder="1" applyAlignment="1">
      <alignment horizontal="center" vertical="center" wrapText="1"/>
    </xf>
    <xf numFmtId="167" fontId="57" fillId="5" borderId="57" xfId="45" applyNumberFormat="1" applyFont="1" applyFill="1" applyBorder="1" applyAlignment="1">
      <alignment horizontal="center" vertical="center" wrapText="1"/>
    </xf>
    <xf numFmtId="10" fontId="42" fillId="0" borderId="0" xfId="1" applyNumberFormat="1" applyFont="1" applyAlignment="1">
      <alignment horizontal="right" vertical="center"/>
    </xf>
    <xf numFmtId="38" fontId="16" fillId="0" borderId="7" xfId="1" applyNumberFormat="1" applyFont="1" applyBorder="1" applyAlignment="1">
      <alignment horizontal="right" vertical="center"/>
    </xf>
    <xf numFmtId="38" fontId="16" fillId="0" borderId="78" xfId="1" applyNumberFormat="1" applyFont="1" applyBorder="1" applyAlignment="1">
      <alignment horizontal="right" vertical="center"/>
    </xf>
    <xf numFmtId="0" fontId="15" fillId="0" borderId="0" xfId="8" applyFont="1" applyBorder="1" applyAlignment="1">
      <alignment vertical="center"/>
    </xf>
    <xf numFmtId="167" fontId="16" fillId="0" borderId="7" xfId="40" applyNumberFormat="1" applyFont="1" applyBorder="1" applyAlignment="1">
      <alignment vertical="center"/>
    </xf>
    <xf numFmtId="165" fontId="43" fillId="0" borderId="0" xfId="0" applyNumberFormat="1" applyFont="1" applyAlignment="1">
      <alignment vertical="center"/>
    </xf>
    <xf numFmtId="168" fontId="13" fillId="2" borderId="16" xfId="0" applyNumberFormat="1" applyFont="1" applyFill="1" applyBorder="1" applyAlignment="1">
      <alignment horizontal="center" vertical="center"/>
    </xf>
    <xf numFmtId="0" fontId="13" fillId="0" borderId="24" xfId="0" applyFont="1" applyBorder="1" applyAlignment="1">
      <alignment horizontal="left" vertical="center" wrapText="1"/>
    </xf>
    <xf numFmtId="38" fontId="14" fillId="0" borderId="16" xfId="1" applyNumberFormat="1" applyFont="1" applyFill="1" applyBorder="1" applyAlignment="1">
      <alignment horizontal="right" vertical="center"/>
    </xf>
    <xf numFmtId="38" fontId="14" fillId="0" borderId="5" xfId="1" applyNumberFormat="1" applyFont="1" applyFill="1" applyBorder="1" applyAlignment="1">
      <alignment horizontal="right" vertical="center"/>
    </xf>
    <xf numFmtId="164" fontId="15" fillId="0" borderId="81" xfId="8" applyNumberFormat="1" applyFont="1" applyBorder="1" applyAlignment="1">
      <alignment vertical="center"/>
    </xf>
    <xf numFmtId="38" fontId="15" fillId="0" borderId="76" xfId="1" applyNumberFormat="1" applyFont="1" applyBorder="1" applyAlignment="1">
      <alignment vertical="center"/>
    </xf>
    <xf numFmtId="38" fontId="15" fillId="0" borderId="7" xfId="1" applyNumberFormat="1" applyFont="1" applyBorder="1" applyAlignment="1">
      <alignment vertical="center"/>
    </xf>
    <xf numFmtId="0" fontId="22" fillId="0" borderId="77" xfId="0" applyFont="1" applyBorder="1" applyAlignment="1">
      <alignment horizontal="right" vertical="center"/>
    </xf>
    <xf numFmtId="38" fontId="15" fillId="0" borderId="0" xfId="34" applyFont="1" applyFill="1" applyBorder="1" applyAlignment="1">
      <alignment horizontal="right" vertical="center"/>
    </xf>
    <xf numFmtId="38" fontId="15" fillId="0" borderId="77" xfId="34" applyFont="1" applyFill="1" applyBorder="1" applyAlignment="1">
      <alignment horizontal="right" vertical="center"/>
    </xf>
    <xf numFmtId="38" fontId="61" fillId="0" borderId="55" xfId="1" applyNumberFormat="1" applyFont="1" applyFill="1" applyBorder="1" applyAlignment="1">
      <alignment vertical="center"/>
    </xf>
    <xf numFmtId="38" fontId="16" fillId="0" borderId="67" xfId="1" applyNumberFormat="1" applyFont="1" applyBorder="1" applyAlignment="1">
      <alignment vertical="center"/>
    </xf>
    <xf numFmtId="0" fontId="16" fillId="0" borderId="18" xfId="8" applyFont="1" applyBorder="1" applyAlignment="1">
      <alignment vertical="center"/>
    </xf>
    <xf numFmtId="0" fontId="16" fillId="0" borderId="14" xfId="8" applyFont="1" applyBorder="1" applyAlignment="1">
      <alignment vertical="center"/>
    </xf>
    <xf numFmtId="38" fontId="16" fillId="0" borderId="79" xfId="1" applyNumberFormat="1" applyFont="1" applyBorder="1" applyAlignment="1">
      <alignment vertical="center"/>
    </xf>
    <xf numFmtId="38" fontId="16" fillId="0" borderId="76" xfId="1" applyNumberFormat="1" applyFont="1" applyBorder="1" applyAlignment="1">
      <alignment vertical="center"/>
    </xf>
    <xf numFmtId="0" fontId="16" fillId="0" borderId="0" xfId="8" applyFont="1" applyBorder="1" applyAlignment="1">
      <alignment vertical="center"/>
    </xf>
    <xf numFmtId="0" fontId="42" fillId="0" borderId="18" xfId="0" applyFont="1" applyBorder="1" applyAlignment="1">
      <alignment horizontal="right" vertical="center"/>
    </xf>
    <xf numFmtId="38" fontId="16" fillId="0" borderId="14" xfId="34" applyFont="1" applyFill="1" applyBorder="1" applyAlignment="1">
      <alignment horizontal="right" vertical="center"/>
    </xf>
    <xf numFmtId="0" fontId="42" fillId="0" borderId="14" xfId="0" applyFont="1" applyBorder="1" applyAlignment="1">
      <alignment horizontal="right" vertical="center"/>
    </xf>
    <xf numFmtId="38" fontId="16" fillId="0" borderId="24" xfId="34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22" fillId="3" borderId="0" xfId="0" applyFont="1" applyFill="1" applyAlignment="1">
      <alignment horizontal="right" vertical="center"/>
    </xf>
    <xf numFmtId="38" fontId="43" fillId="3" borderId="0" xfId="1" applyNumberFormat="1" applyFont="1" applyFill="1" applyBorder="1" applyAlignment="1">
      <alignment horizontal="right" vertical="center"/>
    </xf>
    <xf numFmtId="38" fontId="43" fillId="3" borderId="0" xfId="1" applyNumberFormat="1" applyFont="1" applyFill="1" applyAlignment="1">
      <alignment horizontal="right" vertical="center"/>
    </xf>
    <xf numFmtId="38" fontId="4" fillId="3" borderId="0" xfId="1" applyNumberFormat="1" applyFont="1" applyFill="1" applyAlignment="1">
      <alignment horizontal="right" vertical="center"/>
    </xf>
    <xf numFmtId="38" fontId="42" fillId="3" borderId="0" xfId="1" applyNumberFormat="1" applyFont="1" applyFill="1" applyBorder="1" applyAlignment="1">
      <alignment horizontal="right" vertical="center"/>
    </xf>
    <xf numFmtId="0" fontId="18" fillId="2" borderId="57" xfId="15" applyFont="1" applyFill="1" applyBorder="1">
      <alignment horizontal="center" vertical="center" wrapText="1"/>
    </xf>
    <xf numFmtId="38" fontId="18" fillId="2" borderId="55" xfId="1" applyNumberFormat="1" applyFont="1" applyFill="1" applyBorder="1" applyAlignment="1">
      <alignment horizontal="right" vertical="center"/>
    </xf>
    <xf numFmtId="38" fontId="13" fillId="2" borderId="3" xfId="1" applyNumberFormat="1" applyFont="1" applyFill="1" applyBorder="1" applyAlignment="1">
      <alignment horizontal="right" vertical="center"/>
    </xf>
    <xf numFmtId="38" fontId="13" fillId="2" borderId="55" xfId="1" applyNumberFormat="1" applyFont="1" applyFill="1" applyBorder="1" applyAlignment="1">
      <alignment horizontal="right" vertical="center"/>
    </xf>
    <xf numFmtId="3" fontId="13" fillId="2" borderId="51" xfId="1" applyNumberFormat="1" applyFont="1" applyFill="1" applyBorder="1" applyAlignment="1">
      <alignment horizontal="right" vertical="center"/>
    </xf>
    <xf numFmtId="0" fontId="13" fillId="2" borderId="55" xfId="40" applyFont="1" applyFill="1" applyBorder="1" applyAlignment="1">
      <alignment horizontal="right" vertical="center"/>
    </xf>
    <xf numFmtId="38" fontId="16" fillId="2" borderId="1" xfId="1" applyNumberFormat="1" applyFont="1" applyFill="1" applyBorder="1" applyAlignment="1">
      <alignment vertical="center"/>
    </xf>
    <xf numFmtId="38" fontId="31" fillId="2" borderId="55" xfId="1" applyNumberFormat="1" applyFont="1" applyFill="1" applyBorder="1" applyAlignment="1">
      <alignment horizontal="right" vertical="center"/>
    </xf>
    <xf numFmtId="38" fontId="29" fillId="2" borderId="55" xfId="1" applyNumberFormat="1" applyFont="1" applyFill="1" applyBorder="1" applyAlignment="1">
      <alignment horizontal="right" vertical="center"/>
    </xf>
    <xf numFmtId="38" fontId="36" fillId="2" borderId="55" xfId="1" applyNumberFormat="1" applyFont="1" applyFill="1" applyBorder="1" applyAlignment="1">
      <alignment vertical="center"/>
    </xf>
    <xf numFmtId="38" fontId="13" fillId="2" borderId="54" xfId="43" applyFont="1" applyFill="1" applyBorder="1" applyAlignment="1">
      <alignment vertical="center"/>
    </xf>
    <xf numFmtId="0" fontId="13" fillId="2" borderId="53" xfId="42" applyFont="1" applyFill="1" applyBorder="1" applyAlignment="1">
      <alignment horizontal="center" vertical="center"/>
    </xf>
    <xf numFmtId="1" fontId="13" fillId="2" borderId="57" xfId="42" applyNumberFormat="1" applyFont="1" applyFill="1" applyBorder="1" applyAlignment="1">
      <alignment horizontal="center" vertical="center"/>
    </xf>
    <xf numFmtId="0" fontId="13" fillId="2" borderId="54" xfId="42" applyFont="1" applyFill="1" applyBorder="1" applyAlignment="1">
      <alignment horizontal="center" vertical="center"/>
    </xf>
    <xf numFmtId="38" fontId="13" fillId="2" borderId="52" xfId="1" applyNumberFormat="1" applyFont="1" applyFill="1" applyBorder="1" applyAlignment="1">
      <alignment horizontal="right" vertical="center"/>
    </xf>
    <xf numFmtId="38" fontId="14" fillId="2" borderId="3" xfId="1" applyNumberFormat="1" applyFont="1" applyFill="1" applyBorder="1" applyAlignment="1">
      <alignment horizontal="right" vertical="center"/>
    </xf>
    <xf numFmtId="0" fontId="13" fillId="2" borderId="57" xfId="42" applyFont="1" applyFill="1" applyBorder="1" applyAlignment="1">
      <alignment horizontal="center" vertical="center"/>
    </xf>
    <xf numFmtId="0" fontId="14" fillId="2" borderId="56" xfId="8" applyFont="1" applyFill="1" applyBorder="1" applyAlignment="1">
      <alignment horizontal="left" vertical="center"/>
    </xf>
    <xf numFmtId="3" fontId="13" fillId="2" borderId="52" xfId="1" applyNumberFormat="1" applyFont="1" applyFill="1" applyBorder="1" applyAlignment="1">
      <alignment horizontal="right" vertical="center"/>
    </xf>
    <xf numFmtId="169" fontId="16" fillId="2" borderId="51" xfId="8" applyNumberFormat="1" applyFont="1" applyFill="1" applyBorder="1" applyAlignment="1">
      <alignment horizontal="center" vertical="center"/>
    </xf>
    <xf numFmtId="0" fontId="13" fillId="2" borderId="0" xfId="40" applyFont="1" applyFill="1" applyAlignment="1">
      <alignment horizontal="left" vertical="center"/>
    </xf>
    <xf numFmtId="0" fontId="16" fillId="2" borderId="0" xfId="40" applyFont="1" applyFill="1" applyAlignment="1">
      <alignment vertical="center"/>
    </xf>
    <xf numFmtId="166" fontId="13" fillId="2" borderId="43" xfId="41" applyFont="1" applyFill="1" applyBorder="1" applyAlignment="1">
      <alignment horizontal="center" vertical="center"/>
    </xf>
    <xf numFmtId="0" fontId="13" fillId="2" borderId="0" xfId="40" applyFont="1" applyFill="1" applyAlignment="1">
      <alignment vertical="center"/>
    </xf>
    <xf numFmtId="38" fontId="14" fillId="2" borderId="4" xfId="1" applyNumberFormat="1" applyFont="1" applyFill="1" applyBorder="1" applyAlignment="1">
      <alignment horizontal="right" vertical="center"/>
    </xf>
    <xf numFmtId="4" fontId="16" fillId="2" borderId="51" xfId="8" applyNumberFormat="1" applyFont="1" applyFill="1" applyBorder="1" applyAlignment="1">
      <alignment horizontal="center" vertical="center"/>
    </xf>
    <xf numFmtId="4" fontId="16" fillId="2" borderId="54" xfId="8" applyNumberFormat="1" applyFont="1" applyFill="1" applyBorder="1" applyAlignment="1">
      <alignment horizontal="left" vertical="center"/>
    </xf>
    <xf numFmtId="4" fontId="13" fillId="2" borderId="55" xfId="40" applyNumberFormat="1" applyFont="1" applyFill="1" applyBorder="1" applyAlignment="1">
      <alignment horizontal="left" vertical="center"/>
    </xf>
    <xf numFmtId="4" fontId="13" fillId="2" borderId="55" xfId="40" applyNumberFormat="1" applyFont="1" applyFill="1" applyBorder="1" applyAlignment="1">
      <alignment horizontal="center" vertical="center"/>
    </xf>
    <xf numFmtId="4" fontId="13" fillId="2" borderId="55" xfId="40" applyNumberFormat="1" applyFont="1" applyFill="1" applyBorder="1" applyAlignment="1">
      <alignment vertical="center"/>
    </xf>
    <xf numFmtId="38" fontId="13" fillId="2" borderId="44" xfId="1" applyNumberFormat="1" applyFont="1" applyFill="1" applyBorder="1" applyAlignment="1">
      <alignment horizontal="right" vertical="center"/>
    </xf>
    <xf numFmtId="4" fontId="13" fillId="2" borderId="51" xfId="8" applyNumberFormat="1" applyFont="1" applyFill="1" applyBorder="1" applyAlignment="1">
      <alignment horizontal="center" vertical="center"/>
    </xf>
    <xf numFmtId="38" fontId="13" fillId="2" borderId="55" xfId="43" applyFont="1" applyFill="1" applyBorder="1" applyAlignment="1">
      <alignment vertical="center"/>
    </xf>
    <xf numFmtId="3" fontId="13" fillId="2" borderId="57" xfId="42" applyNumberFormat="1" applyFont="1" applyFill="1" applyBorder="1" applyAlignment="1">
      <alignment horizontal="center" vertical="center"/>
    </xf>
    <xf numFmtId="4" fontId="13" fillId="2" borderId="57" xfId="42" applyNumberFormat="1" applyFont="1" applyFill="1" applyBorder="1" applyAlignment="1">
      <alignment horizontal="center" vertical="center"/>
    </xf>
    <xf numFmtId="169" fontId="13" fillId="2" borderId="51" xfId="8" applyNumberFormat="1" applyFont="1" applyFill="1" applyBorder="1" applyAlignment="1">
      <alignment horizontal="center" vertical="center"/>
    </xf>
    <xf numFmtId="38" fontId="16" fillId="2" borderId="7" xfId="1" applyNumberFormat="1" applyFont="1" applyFill="1" applyBorder="1" applyAlignment="1">
      <alignment vertical="center"/>
    </xf>
    <xf numFmtId="38" fontId="16" fillId="2" borderId="48" xfId="1" applyNumberFormat="1" applyFont="1" applyFill="1" applyBorder="1" applyAlignment="1">
      <alignment vertical="center"/>
    </xf>
    <xf numFmtId="168" fontId="12" fillId="2" borderId="59" xfId="11" applyFont="1" applyFill="1" applyBorder="1" applyAlignment="1">
      <alignment horizontal="center" vertical="center"/>
    </xf>
    <xf numFmtId="0" fontId="12" fillId="2" borderId="11" xfId="8" applyFont="1" applyFill="1" applyBorder="1" applyAlignment="1">
      <alignment horizontal="left" vertical="center"/>
    </xf>
    <xf numFmtId="0" fontId="41" fillId="2" borderId="14" xfId="8" applyFont="1" applyFill="1" applyBorder="1" applyAlignment="1">
      <alignment horizontal="left" vertical="center"/>
    </xf>
    <xf numFmtId="0" fontId="41" fillId="2" borderId="14" xfId="42" applyFont="1" applyFill="1" applyBorder="1" applyAlignment="1">
      <alignment horizontal="center" vertical="center"/>
    </xf>
    <xf numFmtId="0" fontId="13" fillId="2" borderId="14" xfId="42" applyFont="1" applyFill="1" applyBorder="1" applyAlignment="1">
      <alignment horizontal="center" vertical="center"/>
    </xf>
    <xf numFmtId="38" fontId="13" fillId="2" borderId="14" xfId="1" applyNumberFormat="1" applyFont="1" applyFill="1" applyBorder="1" applyAlignment="1">
      <alignment horizontal="right" vertical="center"/>
    </xf>
    <xf numFmtId="38" fontId="13" fillId="2" borderId="60" xfId="1" applyNumberFormat="1" applyFont="1" applyFill="1" applyBorder="1" applyAlignment="1">
      <alignment horizontal="right" vertical="center"/>
    </xf>
    <xf numFmtId="0" fontId="8" fillId="2" borderId="0" xfId="40" applyFont="1" applyFill="1" applyAlignment="1">
      <alignment vertical="center"/>
    </xf>
    <xf numFmtId="38" fontId="8" fillId="2" borderId="0" xfId="1" applyNumberFormat="1" applyFont="1" applyFill="1" applyAlignment="1">
      <alignment horizontal="center" vertical="center"/>
    </xf>
    <xf numFmtId="38" fontId="8" fillId="2" borderId="0" xfId="1" applyNumberFormat="1" applyFont="1" applyFill="1" applyAlignment="1">
      <alignment vertical="center"/>
    </xf>
    <xf numFmtId="38" fontId="8" fillId="2" borderId="0" xfId="1" applyNumberFormat="1" applyFont="1" applyFill="1" applyAlignment="1">
      <alignment horizontal="right" vertical="center"/>
    </xf>
    <xf numFmtId="38" fontId="8" fillId="2" borderId="0" xfId="1" applyNumberFormat="1" applyFont="1" applyFill="1" applyBorder="1" applyAlignment="1">
      <alignment horizontal="right" vertical="center"/>
    </xf>
    <xf numFmtId="0" fontId="8" fillId="2" borderId="0" xfId="0" applyFont="1" applyFill="1" applyAlignment="1">
      <alignment horizontal="right" vertical="center"/>
    </xf>
    <xf numFmtId="0" fontId="8" fillId="2" borderId="0" xfId="40" applyFont="1" applyFill="1" applyAlignment="1">
      <alignment horizontal="left" vertical="center"/>
    </xf>
    <xf numFmtId="38" fontId="8" fillId="2" borderId="0" xfId="1" applyNumberFormat="1" applyFont="1" applyFill="1" applyBorder="1" applyAlignment="1">
      <alignment vertical="center"/>
    </xf>
    <xf numFmtId="0" fontId="9" fillId="2" borderId="0" xfId="40" applyFont="1" applyFill="1" applyAlignment="1">
      <alignment vertical="center"/>
    </xf>
    <xf numFmtId="170" fontId="13" fillId="2" borderId="3" xfId="1" applyNumberFormat="1" applyFont="1" applyFill="1" applyBorder="1" applyAlignment="1">
      <alignment horizontal="right" vertical="center"/>
    </xf>
    <xf numFmtId="38" fontId="18" fillId="2" borderId="1" xfId="1" applyNumberFormat="1" applyFont="1" applyFill="1" applyBorder="1" applyAlignment="1">
      <alignment horizontal="right" vertical="center"/>
    </xf>
    <xf numFmtId="38" fontId="16" fillId="2" borderId="66" xfId="1" applyNumberFormat="1" applyFont="1" applyFill="1" applyBorder="1" applyAlignment="1">
      <alignment vertical="center"/>
    </xf>
    <xf numFmtId="38" fontId="42" fillId="2" borderId="0" xfId="1" applyNumberFormat="1" applyFont="1" applyFill="1" applyAlignment="1">
      <alignment horizontal="right" vertical="center"/>
    </xf>
    <xf numFmtId="38" fontId="16" fillId="2" borderId="65" xfId="1" applyNumberFormat="1" applyFont="1" applyFill="1" applyBorder="1" applyAlignment="1">
      <alignment vertical="center"/>
    </xf>
    <xf numFmtId="167" fontId="46" fillId="3" borderId="68" xfId="45" applyNumberFormat="1" applyFont="1" applyFill="1" applyBorder="1" applyAlignment="1">
      <alignment horizontal="left" vertical="center" wrapText="1"/>
    </xf>
    <xf numFmtId="0" fontId="21" fillId="2" borderId="18" xfId="0" applyFont="1" applyFill="1" applyBorder="1" applyAlignment="1">
      <alignment horizontal="right" vertical="center"/>
    </xf>
    <xf numFmtId="0" fontId="13" fillId="2" borderId="14" xfId="14" applyFont="1" applyFill="1" applyBorder="1" applyAlignment="1">
      <alignment horizontal="right" vertical="center"/>
    </xf>
    <xf numFmtId="38" fontId="15" fillId="2" borderId="14" xfId="34" applyFont="1" applyFill="1" applyBorder="1" applyAlignment="1">
      <alignment horizontal="right" vertical="center"/>
    </xf>
    <xf numFmtId="0" fontId="21" fillId="2" borderId="14" xfId="0" applyFont="1" applyFill="1" applyBorder="1" applyAlignment="1">
      <alignment horizontal="right" vertical="center"/>
    </xf>
    <xf numFmtId="40" fontId="13" fillId="2" borderId="3" xfId="1" applyFont="1" applyFill="1" applyBorder="1" applyAlignment="1">
      <alignment horizontal="right" vertical="center"/>
    </xf>
    <xf numFmtId="168" fontId="14" fillId="2" borderId="3" xfId="11" applyFont="1" applyFill="1" applyBorder="1" applyAlignment="1">
      <alignment horizontal="center" vertical="center" wrapText="1"/>
    </xf>
    <xf numFmtId="0" fontId="14" fillId="2" borderId="14" xfId="7" applyFont="1" applyFill="1" applyBorder="1" applyAlignment="1">
      <alignment horizontal="left" vertical="center"/>
    </xf>
    <xf numFmtId="0" fontId="14" fillId="2" borderId="31" xfId="7" applyFont="1" applyFill="1" applyBorder="1" applyAlignment="1">
      <alignment horizontal="left" vertical="center"/>
    </xf>
    <xf numFmtId="0" fontId="13" fillId="2" borderId="23" xfId="14" applyFont="1" applyFill="1" applyBorder="1" applyAlignment="1">
      <alignment horizontal="center" vertical="center"/>
    </xf>
    <xf numFmtId="0" fontId="14" fillId="2" borderId="23" xfId="14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38" fontId="16" fillId="2" borderId="14" xfId="34" applyFont="1" applyFill="1" applyBorder="1" applyAlignment="1">
      <alignment horizontal="right" vertical="center"/>
    </xf>
    <xf numFmtId="38" fontId="15" fillId="2" borderId="7" xfId="34" applyFont="1" applyFill="1" applyBorder="1" applyAlignment="1">
      <alignment horizontal="right" vertical="center"/>
    </xf>
    <xf numFmtId="166" fontId="12" fillId="2" borderId="3" xfId="7" applyNumberFormat="1" applyFont="1" applyFill="1" applyBorder="1" applyAlignment="1">
      <alignment horizontal="center" vertical="center"/>
    </xf>
    <xf numFmtId="0" fontId="12" fillId="2" borderId="11" xfId="7" applyFont="1" applyFill="1" applyBorder="1" applyAlignment="1">
      <alignment vertical="center"/>
    </xf>
    <xf numFmtId="0" fontId="13" fillId="2" borderId="14" xfId="14" applyFont="1" applyFill="1" applyBorder="1" applyAlignment="1">
      <alignment horizontal="center" vertical="center"/>
    </xf>
    <xf numFmtId="0" fontId="14" fillId="2" borderId="14" xfId="14" applyFont="1" applyFill="1" applyBorder="1" applyAlignment="1">
      <alignment horizontal="center" vertical="center"/>
    </xf>
    <xf numFmtId="3" fontId="13" fillId="2" borderId="14" xfId="14" applyNumberFormat="1" applyFont="1" applyFill="1" applyBorder="1" applyAlignment="1">
      <alignment horizontal="right" vertical="center"/>
    </xf>
    <xf numFmtId="3" fontId="14" fillId="2" borderId="14" xfId="14" applyNumberFormat="1" applyFont="1" applyFill="1" applyBorder="1" applyAlignment="1">
      <alignment horizontal="right" vertical="center"/>
    </xf>
    <xf numFmtId="3" fontId="14" fillId="2" borderId="14" xfId="34" applyNumberFormat="1" applyFont="1" applyFill="1" applyBorder="1" applyAlignment="1">
      <alignment horizontal="right" vertical="center"/>
    </xf>
    <xf numFmtId="0" fontId="13" fillId="2" borderId="35" xfId="14" applyFont="1" applyFill="1" applyBorder="1" applyAlignment="1">
      <alignment horizontal="right" vertical="center"/>
    </xf>
    <xf numFmtId="166" fontId="13" fillId="2" borderId="23" xfId="14" applyNumberFormat="1" applyFont="1" applyFill="1" applyBorder="1" applyAlignment="1">
      <alignment horizontal="center" vertical="center"/>
    </xf>
    <xf numFmtId="0" fontId="20" fillId="2" borderId="14" xfId="9" applyNumberFormat="1" applyFont="1" applyFill="1" applyBorder="1" applyAlignment="1">
      <alignment horizontal="left" vertical="center"/>
    </xf>
    <xf numFmtId="0" fontId="21" fillId="2" borderId="14" xfId="0" applyFont="1" applyFill="1" applyBorder="1" applyAlignment="1">
      <alignment vertical="center"/>
    </xf>
    <xf numFmtId="0" fontId="42" fillId="2" borderId="14" xfId="0" applyFont="1" applyFill="1" applyBorder="1" applyAlignment="1">
      <alignment horizontal="right" vertical="center"/>
    </xf>
    <xf numFmtId="0" fontId="21" fillId="2" borderId="22" xfId="0" applyFont="1" applyFill="1" applyBorder="1" applyAlignment="1">
      <alignment horizontal="right" vertical="center"/>
    </xf>
    <xf numFmtId="0" fontId="13" fillId="2" borderId="11" xfId="7" applyFont="1" applyFill="1" applyBorder="1" applyAlignment="1">
      <alignment horizontal="left" vertical="center"/>
    </xf>
    <xf numFmtId="0" fontId="13" fillId="2" borderId="14" xfId="7" applyFont="1" applyFill="1" applyBorder="1" applyAlignment="1">
      <alignment horizontal="left" vertical="center"/>
    </xf>
    <xf numFmtId="0" fontId="13" fillId="2" borderId="31" xfId="7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38" fontId="15" fillId="2" borderId="24" xfId="34" applyFont="1" applyFill="1" applyBorder="1" applyAlignment="1">
      <alignment horizontal="right" vertical="center"/>
    </xf>
    <xf numFmtId="168" fontId="13" fillId="2" borderId="3" xfId="11" applyFont="1" applyFill="1" applyBorder="1" applyAlignment="1">
      <alignment horizontal="center" vertical="center"/>
    </xf>
    <xf numFmtId="0" fontId="13" fillId="2" borderId="14" xfId="7" applyFont="1" applyFill="1" applyBorder="1" applyAlignment="1">
      <alignment vertical="center"/>
    </xf>
    <xf numFmtId="0" fontId="13" fillId="2" borderId="31" xfId="7" applyFont="1" applyFill="1" applyBorder="1" applyAlignment="1">
      <alignment vertical="center"/>
    </xf>
    <xf numFmtId="0" fontId="14" fillId="2" borderId="34" xfId="14" applyFont="1" applyFill="1" applyBorder="1" applyAlignment="1">
      <alignment horizontal="center" vertical="center"/>
    </xf>
    <xf numFmtId="168" fontId="13" fillId="2" borderId="16" xfId="11" applyFont="1" applyFill="1" applyBorder="1" applyAlignment="1">
      <alignment horizontal="center" vertical="center"/>
    </xf>
    <xf numFmtId="0" fontId="13" fillId="2" borderId="24" xfId="7" applyFont="1" applyFill="1" applyBorder="1" applyAlignment="1">
      <alignment vertical="center"/>
    </xf>
    <xf numFmtId="0" fontId="13" fillId="2" borderId="27" xfId="7" applyFont="1" applyFill="1" applyBorder="1" applyAlignment="1">
      <alignment vertical="center"/>
    </xf>
    <xf numFmtId="0" fontId="13" fillId="2" borderId="33" xfId="14" applyFont="1" applyFill="1" applyBorder="1" applyAlignment="1">
      <alignment horizontal="center" vertical="center"/>
    </xf>
    <xf numFmtId="0" fontId="14" fillId="2" borderId="82" xfId="14" applyFont="1" applyFill="1" applyBorder="1" applyAlignment="1">
      <alignment horizontal="center" vertical="center"/>
    </xf>
    <xf numFmtId="38" fontId="13" fillId="2" borderId="16" xfId="1" applyNumberFormat="1" applyFont="1" applyFill="1" applyBorder="1" applyAlignment="1">
      <alignment horizontal="right" vertical="center"/>
    </xf>
    <xf numFmtId="38" fontId="15" fillId="2" borderId="76" xfId="34" applyFont="1" applyFill="1" applyBorder="1" applyAlignment="1">
      <alignment horizontal="right" vertical="center"/>
    </xf>
    <xf numFmtId="38" fontId="16" fillId="2" borderId="76" xfId="34" applyFont="1" applyFill="1" applyBorder="1" applyAlignment="1">
      <alignment horizontal="right" vertical="center"/>
    </xf>
    <xf numFmtId="38" fontId="15" fillId="2" borderId="0" xfId="34" applyFont="1" applyFill="1" applyBorder="1" applyAlignment="1">
      <alignment horizontal="right" vertical="center"/>
    </xf>
    <xf numFmtId="38" fontId="16" fillId="2" borderId="0" xfId="34" applyFont="1" applyFill="1" applyBorder="1" applyAlignment="1">
      <alignment horizontal="right" vertical="center"/>
    </xf>
    <xf numFmtId="0" fontId="14" fillId="2" borderId="76" xfId="0" applyFont="1" applyFill="1" applyBorder="1" applyAlignment="1">
      <alignment vertical="center"/>
    </xf>
    <xf numFmtId="0" fontId="22" fillId="2" borderId="76" xfId="0" applyFont="1" applyFill="1" applyBorder="1" applyAlignment="1">
      <alignment horizontal="right" vertical="center"/>
    </xf>
    <xf numFmtId="4" fontId="12" fillId="2" borderId="14" xfId="0" applyNumberFormat="1" applyFont="1" applyFill="1" applyBorder="1" applyAlignment="1">
      <alignment vertical="center"/>
    </xf>
    <xf numFmtId="0" fontId="15" fillId="2" borderId="18" xfId="8" applyFont="1" applyFill="1" applyBorder="1" applyAlignment="1">
      <alignment vertical="center"/>
    </xf>
    <xf numFmtId="38" fontId="43" fillId="2" borderId="18" xfId="1" applyNumberFormat="1" applyFont="1" applyFill="1" applyBorder="1" applyAlignment="1">
      <alignment horizontal="right" vertical="center"/>
    </xf>
    <xf numFmtId="0" fontId="15" fillId="2" borderId="14" xfId="8" applyFont="1" applyFill="1" applyBorder="1" applyAlignment="1">
      <alignment vertical="center"/>
    </xf>
    <xf numFmtId="164" fontId="13" fillId="2" borderId="14" xfId="1" applyNumberFormat="1" applyFont="1" applyFill="1" applyBorder="1" applyAlignment="1">
      <alignment horizontal="right" vertical="center"/>
    </xf>
    <xf numFmtId="0" fontId="13" fillId="2" borderId="14" xfId="0" applyFont="1" applyFill="1" applyBorder="1" applyAlignment="1">
      <alignment horizontal="left" vertical="center"/>
    </xf>
    <xf numFmtId="38" fontId="13" fillId="2" borderId="6" xfId="0" applyNumberFormat="1" applyFont="1" applyFill="1" applyBorder="1" applyAlignment="1">
      <alignment horizontal="center" vertical="center"/>
    </xf>
    <xf numFmtId="38" fontId="16" fillId="2" borderId="67" xfId="1" applyNumberFormat="1" applyFont="1" applyFill="1" applyBorder="1" applyAlignment="1">
      <alignment vertical="center"/>
    </xf>
    <xf numFmtId="0" fontId="13" fillId="2" borderId="0" xfId="0" applyFont="1" applyFill="1" applyAlignment="1">
      <alignment vertical="center"/>
    </xf>
    <xf numFmtId="38" fontId="13" fillId="2" borderId="6" xfId="1" applyNumberFormat="1" applyFont="1" applyFill="1" applyBorder="1" applyAlignment="1">
      <alignment horizontal="center" vertical="center"/>
    </xf>
    <xf numFmtId="0" fontId="16" fillId="2" borderId="18" xfId="8" applyFont="1" applyFill="1" applyBorder="1" applyAlignment="1">
      <alignment vertical="center"/>
    </xf>
    <xf numFmtId="38" fontId="15" fillId="2" borderId="7" xfId="8" applyNumberFormat="1" applyFont="1" applyFill="1" applyBorder="1" applyAlignment="1">
      <alignment vertical="center"/>
    </xf>
    <xf numFmtId="0" fontId="43" fillId="2" borderId="14" xfId="0" applyFont="1" applyFill="1" applyBorder="1" applyAlignment="1">
      <alignment horizontal="center" vertical="center"/>
    </xf>
    <xf numFmtId="38" fontId="43" fillId="2" borderId="14" xfId="1" applyNumberFormat="1" applyFont="1" applyFill="1" applyBorder="1" applyAlignment="1">
      <alignment horizontal="right" vertical="center"/>
    </xf>
    <xf numFmtId="168" fontId="16" fillId="2" borderId="3" xfId="0" applyNumberFormat="1" applyFont="1" applyFill="1" applyBorder="1" applyAlignment="1">
      <alignment horizontal="center" vertical="center"/>
    </xf>
    <xf numFmtId="0" fontId="16" fillId="2" borderId="11" xfId="8" applyFont="1" applyFill="1" applyBorder="1" applyAlignment="1">
      <alignment horizontal="left" vertical="center"/>
    </xf>
    <xf numFmtId="3" fontId="16" fillId="2" borderId="14" xfId="14" applyNumberFormat="1" applyFont="1" applyFill="1" applyBorder="1" applyAlignment="1">
      <alignment horizontal="center" vertical="center"/>
    </xf>
    <xf numFmtId="0" fontId="16" fillId="2" borderId="14" xfId="14" applyFont="1" applyFill="1" applyBorder="1" applyAlignment="1">
      <alignment horizontal="center" vertical="center"/>
    </xf>
    <xf numFmtId="38" fontId="16" fillId="2" borderId="14" xfId="1" applyNumberFormat="1" applyFont="1" applyFill="1" applyBorder="1" applyAlignment="1">
      <alignment horizontal="right" vertical="center"/>
    </xf>
    <xf numFmtId="0" fontId="13" fillId="2" borderId="3" xfId="8" applyFont="1" applyFill="1" applyBorder="1" applyAlignment="1">
      <alignment horizontal="center" vertical="center"/>
    </xf>
    <xf numFmtId="3" fontId="13" fillId="2" borderId="6" xfId="14" applyNumberFormat="1" applyFont="1" applyFill="1" applyBorder="1" applyAlignment="1">
      <alignment horizontal="center" vertical="center"/>
    </xf>
    <xf numFmtId="0" fontId="13" fillId="2" borderId="4" xfId="14" applyFont="1" applyFill="1" applyBorder="1" applyAlignment="1">
      <alignment horizontal="center" vertical="center"/>
    </xf>
    <xf numFmtId="164" fontId="15" fillId="2" borderId="7" xfId="8" applyNumberFormat="1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3" fillId="2" borderId="14" xfId="0" applyFont="1" applyFill="1" applyBorder="1" applyAlignment="1">
      <alignment vertical="center"/>
    </xf>
    <xf numFmtId="38" fontId="3" fillId="2" borderId="14" xfId="1" applyNumberFormat="1" applyFont="1" applyFill="1" applyBorder="1" applyAlignment="1">
      <alignment vertical="center"/>
    </xf>
    <xf numFmtId="38" fontId="3" fillId="2" borderId="18" xfId="1" applyNumberFormat="1" applyFont="1" applyFill="1" applyBorder="1" applyAlignment="1">
      <alignment vertical="center"/>
    </xf>
    <xf numFmtId="0" fontId="43" fillId="2" borderId="14" xfId="0" quotePrefix="1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Continuous" vertical="center"/>
    </xf>
    <xf numFmtId="0" fontId="16" fillId="2" borderId="11" xfId="0" applyFont="1" applyFill="1" applyBorder="1" applyAlignment="1">
      <alignment vertical="center"/>
    </xf>
    <xf numFmtId="38" fontId="16" fillId="2" borderId="14" xfId="1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38" fontId="15" fillId="2" borderId="14" xfId="1" applyNumberFormat="1" applyFont="1" applyFill="1" applyBorder="1" applyAlignment="1">
      <alignment horizontal="right" vertical="center"/>
    </xf>
    <xf numFmtId="40" fontId="13" fillId="2" borderId="16" xfId="1" applyFont="1" applyFill="1" applyBorder="1" applyAlignment="1">
      <alignment horizontal="right" vertical="center"/>
    </xf>
    <xf numFmtId="38" fontId="15" fillId="2" borderId="76" xfId="1" applyNumberFormat="1" applyFont="1" applyFill="1" applyBorder="1" applyAlignment="1">
      <alignment vertical="center"/>
    </xf>
    <xf numFmtId="0" fontId="15" fillId="2" borderId="0" xfId="8" applyFont="1" applyFill="1" applyBorder="1" applyAlignment="1">
      <alignment vertical="center"/>
    </xf>
    <xf numFmtId="38" fontId="18" fillId="0" borderId="0" xfId="1" applyNumberFormat="1" applyFont="1" applyAlignment="1">
      <alignment vertical="center"/>
    </xf>
    <xf numFmtId="38" fontId="8" fillId="0" borderId="0" xfId="1" applyNumberFormat="1" applyFont="1" applyAlignment="1">
      <alignment vertical="center"/>
    </xf>
    <xf numFmtId="0" fontId="47" fillId="0" borderId="0" xfId="44" applyFont="1" applyAlignment="1">
      <alignment horizontal="left" vertical="center" wrapText="1"/>
    </xf>
    <xf numFmtId="0" fontId="4" fillId="0" borderId="0" xfId="44" applyFont="1" applyAlignment="1">
      <alignment horizontal="left" vertical="center" wrapText="1"/>
    </xf>
    <xf numFmtId="0" fontId="51" fillId="0" borderId="0" xfId="44" applyFont="1" applyAlignment="1">
      <alignment horizontal="center" vertical="center"/>
    </xf>
    <xf numFmtId="0" fontId="47" fillId="0" borderId="0" xfId="44" applyFont="1" applyAlignment="1">
      <alignment horizontal="center" vertical="center" wrapText="1"/>
    </xf>
    <xf numFmtId="38" fontId="15" fillId="2" borderId="13" xfId="34" applyFont="1" applyFill="1" applyBorder="1" applyAlignment="1">
      <alignment horizontal="right" vertical="center"/>
    </xf>
    <xf numFmtId="38" fontId="15" fillId="2" borderId="14" xfId="34" applyFont="1" applyFill="1" applyBorder="1" applyAlignment="1">
      <alignment horizontal="right" vertical="center"/>
    </xf>
    <xf numFmtId="38" fontId="15" fillId="2" borderId="15" xfId="34" applyFont="1" applyFill="1" applyBorder="1" applyAlignment="1">
      <alignment horizontal="right" vertical="center"/>
    </xf>
    <xf numFmtId="38" fontId="15" fillId="0" borderId="13" xfId="34" applyFont="1" applyFill="1" applyBorder="1" applyAlignment="1">
      <alignment horizontal="right" vertical="center"/>
    </xf>
    <xf numFmtId="38" fontId="15" fillId="0" borderId="14" xfId="34" applyFont="1" applyFill="1" applyBorder="1" applyAlignment="1">
      <alignment horizontal="right" vertical="center"/>
    </xf>
    <xf numFmtId="38" fontId="15" fillId="0" borderId="15" xfId="34" applyFont="1" applyFill="1" applyBorder="1" applyAlignment="1">
      <alignment horizontal="right" vertical="center"/>
    </xf>
    <xf numFmtId="38" fontId="15" fillId="2" borderId="72" xfId="34" applyFont="1" applyFill="1" applyBorder="1" applyAlignment="1">
      <alignment horizontal="right" vertical="center"/>
    </xf>
    <xf numFmtId="38" fontId="15" fillId="2" borderId="76" xfId="34" applyFont="1" applyFill="1" applyBorder="1" applyAlignment="1">
      <alignment horizontal="right" vertical="center"/>
    </xf>
    <xf numFmtId="38" fontId="15" fillId="2" borderId="83" xfId="34" applyFont="1" applyFill="1" applyBorder="1" applyAlignment="1">
      <alignment horizontal="right" vertical="center"/>
    </xf>
    <xf numFmtId="38" fontId="15" fillId="0" borderId="32" xfId="34" applyFont="1" applyFill="1" applyBorder="1" applyAlignment="1">
      <alignment horizontal="right" vertical="center"/>
    </xf>
    <xf numFmtId="38" fontId="15" fillId="0" borderId="24" xfId="34" applyFont="1" applyFill="1" applyBorder="1" applyAlignment="1">
      <alignment horizontal="right" vertical="center"/>
    </xf>
    <xf numFmtId="38" fontId="15" fillId="0" borderId="36" xfId="34" applyFont="1" applyFill="1" applyBorder="1" applyAlignment="1">
      <alignment horizontal="right" vertical="center"/>
    </xf>
    <xf numFmtId="0" fontId="16" fillId="2" borderId="72" xfId="40" applyFont="1" applyFill="1" applyBorder="1" applyAlignment="1">
      <alignment horizontal="center" vertical="center"/>
    </xf>
    <xf numFmtId="0" fontId="16" fillId="2" borderId="76" xfId="40" applyFont="1" applyFill="1" applyBorder="1" applyAlignment="1">
      <alignment horizontal="center" vertical="center"/>
    </xf>
    <xf numFmtId="0" fontId="60" fillId="2" borderId="72" xfId="0" applyFont="1" applyFill="1" applyBorder="1" applyAlignment="1">
      <alignment horizontal="center" vertical="center" wrapText="1"/>
    </xf>
    <xf numFmtId="0" fontId="60" fillId="2" borderId="76" xfId="0" applyFont="1" applyFill="1" applyBorder="1" applyAlignment="1">
      <alignment horizontal="center" vertical="center" wrapText="1"/>
    </xf>
    <xf numFmtId="0" fontId="18" fillId="7" borderId="57" xfId="15" applyFont="1" applyFill="1" applyBorder="1">
      <alignment horizontal="center" vertical="center" wrapText="1"/>
    </xf>
    <xf numFmtId="0" fontId="18" fillId="7" borderId="57" xfId="15" applyFont="1" applyFill="1" applyBorder="1" applyAlignment="1">
      <alignment horizontal="center" vertical="center"/>
    </xf>
    <xf numFmtId="0" fontId="9" fillId="7" borderId="57" xfId="0" applyFont="1" applyFill="1" applyBorder="1" applyAlignment="1">
      <alignment horizontal="center" vertical="center"/>
    </xf>
    <xf numFmtId="0" fontId="9" fillId="7" borderId="54" xfId="0" applyFont="1" applyFill="1" applyBorder="1" applyAlignment="1">
      <alignment horizontal="center" vertical="center"/>
    </xf>
    <xf numFmtId="0" fontId="9" fillId="7" borderId="55" xfId="0" applyFont="1" applyFill="1" applyBorder="1" applyAlignment="1">
      <alignment horizontal="center" vertical="center"/>
    </xf>
    <xf numFmtId="0" fontId="9" fillId="7" borderId="53" xfId="0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7" borderId="50" xfId="0" applyFont="1" applyFill="1" applyBorder="1" applyAlignment="1">
      <alignment horizontal="center" vertical="center"/>
    </xf>
    <xf numFmtId="0" fontId="18" fillId="7" borderId="9" xfId="15" applyFont="1" applyFill="1" applyBorder="1">
      <alignment horizontal="center" vertical="center" wrapText="1"/>
    </xf>
    <xf numFmtId="0" fontId="18" fillId="7" borderId="50" xfId="15" applyFont="1" applyFill="1" applyBorder="1">
      <alignment horizontal="center" vertical="center" wrapText="1"/>
    </xf>
    <xf numFmtId="0" fontId="18" fillId="7" borderId="9" xfId="15" applyFont="1" applyFill="1" applyBorder="1" applyAlignment="1">
      <alignment horizontal="center" vertical="center"/>
    </xf>
    <xf numFmtId="0" fontId="18" fillId="7" borderId="50" xfId="15" applyFont="1" applyFill="1" applyBorder="1" applyAlignment="1">
      <alignment horizontal="center" vertical="center"/>
    </xf>
    <xf numFmtId="38" fontId="15" fillId="2" borderId="80" xfId="34" applyFont="1" applyFill="1" applyBorder="1" applyAlignment="1">
      <alignment horizontal="right" vertical="center"/>
    </xf>
    <xf numFmtId="38" fontId="15" fillId="2" borderId="0" xfId="34" applyFont="1" applyFill="1" applyBorder="1" applyAlignment="1">
      <alignment horizontal="right" vertical="center"/>
    </xf>
    <xf numFmtId="38" fontId="15" fillId="2" borderId="35" xfId="34" applyFont="1" applyFill="1" applyBorder="1" applyAlignment="1">
      <alignment horizontal="right" vertical="center"/>
    </xf>
    <xf numFmtId="0" fontId="15" fillId="0" borderId="80" xfId="8" applyFont="1" applyBorder="1" applyAlignment="1">
      <alignment horizontal="right" vertical="center"/>
    </xf>
    <xf numFmtId="0" fontId="15" fillId="0" borderId="0" xfId="8" applyFont="1" applyBorder="1" applyAlignment="1">
      <alignment horizontal="right" vertical="center"/>
    </xf>
    <xf numFmtId="0" fontId="15" fillId="0" borderId="13" xfId="8" applyFont="1" applyBorder="1" applyAlignment="1">
      <alignment horizontal="right" vertical="center"/>
    </xf>
    <xf numFmtId="0" fontId="15" fillId="0" borderId="14" xfId="8" applyFont="1" applyBorder="1" applyAlignment="1">
      <alignment horizontal="right" vertical="center"/>
    </xf>
    <xf numFmtId="0" fontId="15" fillId="2" borderId="13" xfId="8" applyFont="1" applyFill="1" applyBorder="1" applyAlignment="1">
      <alignment horizontal="right" vertical="center"/>
    </xf>
    <xf numFmtId="0" fontId="15" fillId="2" borderId="14" xfId="8" applyFont="1" applyFill="1" applyBorder="1" applyAlignment="1">
      <alignment horizontal="right" vertical="center"/>
    </xf>
    <xf numFmtId="0" fontId="16" fillId="0" borderId="72" xfId="40" applyFont="1" applyBorder="1" applyAlignment="1">
      <alignment horizontal="center" vertical="center"/>
    </xf>
    <xf numFmtId="0" fontId="16" fillId="0" borderId="76" xfId="40" applyFont="1" applyBorder="1" applyAlignment="1">
      <alignment horizontal="center" vertical="center"/>
    </xf>
    <xf numFmtId="0" fontId="18" fillId="7" borderId="8" xfId="15" applyFont="1" applyFill="1" applyBorder="1" applyAlignment="1">
      <alignment horizontal="center" vertical="center"/>
    </xf>
    <xf numFmtId="0" fontId="18" fillId="7" borderId="30" xfId="15" applyFont="1" applyFill="1" applyBorder="1" applyAlignment="1">
      <alignment horizontal="center" vertical="center"/>
    </xf>
    <xf numFmtId="0" fontId="18" fillId="7" borderId="30" xfId="15" applyFont="1" applyFill="1" applyBorder="1">
      <alignment horizontal="center" vertical="center" wrapText="1"/>
    </xf>
    <xf numFmtId="0" fontId="15" fillId="0" borderId="72" xfId="8" applyFont="1" applyBorder="1" applyAlignment="1">
      <alignment horizontal="right" vertical="center"/>
    </xf>
    <xf numFmtId="0" fontId="15" fillId="0" borderId="76" xfId="8" applyFont="1" applyBorder="1" applyAlignment="1">
      <alignment horizontal="right" vertical="center"/>
    </xf>
    <xf numFmtId="0" fontId="8" fillId="2" borderId="0" xfId="40" applyFont="1" applyFill="1" applyAlignment="1">
      <alignment horizontal="left" vertical="center" wrapText="1"/>
    </xf>
    <xf numFmtId="0" fontId="9" fillId="2" borderId="0" xfId="40" applyFont="1" applyFill="1" applyAlignment="1">
      <alignment horizontal="center" vertical="center"/>
    </xf>
    <xf numFmtId="0" fontId="16" fillId="0" borderId="62" xfId="40" applyFont="1" applyBorder="1" applyAlignment="1">
      <alignment horizontal="right" vertical="center"/>
    </xf>
    <xf numFmtId="0" fontId="16" fillId="0" borderId="63" xfId="40" applyFont="1" applyBorder="1" applyAlignment="1">
      <alignment horizontal="right" vertical="center"/>
    </xf>
    <xf numFmtId="0" fontId="16" fillId="0" borderId="64" xfId="40" applyFont="1" applyBorder="1" applyAlignment="1">
      <alignment horizontal="right" vertical="center"/>
    </xf>
    <xf numFmtId="0" fontId="13" fillId="0" borderId="11" xfId="8" applyFont="1" applyBorder="1" applyAlignment="1">
      <alignment horizontal="left" vertical="center" wrapText="1"/>
    </xf>
    <xf numFmtId="0" fontId="13" fillId="0" borderId="31" xfId="8" applyFont="1" applyBorder="1" applyAlignment="1">
      <alignment horizontal="left" vertical="center" wrapText="1"/>
    </xf>
    <xf numFmtId="4" fontId="16" fillId="2" borderId="54" xfId="8" applyNumberFormat="1" applyFont="1" applyFill="1" applyBorder="1" applyAlignment="1">
      <alignment horizontal="left" vertical="center" wrapText="1"/>
    </xf>
    <xf numFmtId="4" fontId="16" fillId="2" borderId="55" xfId="8" applyNumberFormat="1" applyFont="1" applyFill="1" applyBorder="1" applyAlignment="1">
      <alignment horizontal="left" vertical="center" wrapText="1"/>
    </xf>
    <xf numFmtId="4" fontId="16" fillId="2" borderId="44" xfId="8" applyNumberFormat="1" applyFont="1" applyFill="1" applyBorder="1" applyAlignment="1">
      <alignment horizontal="left" vertical="center" wrapText="1"/>
    </xf>
    <xf numFmtId="0" fontId="13" fillId="2" borderId="54" xfId="8" applyFont="1" applyFill="1" applyBorder="1" applyAlignment="1">
      <alignment horizontal="left" vertical="center" wrapText="1"/>
    </xf>
    <xf numFmtId="0" fontId="13" fillId="2" borderId="53" xfId="8" applyFont="1" applyFill="1" applyBorder="1" applyAlignment="1">
      <alignment horizontal="left" vertical="center" wrapText="1"/>
    </xf>
    <xf numFmtId="0" fontId="16" fillId="2" borderId="43" xfId="40" applyFont="1" applyFill="1" applyBorder="1" applyAlignment="1">
      <alignment horizontal="right" vertical="center"/>
    </xf>
    <xf numFmtId="0" fontId="16" fillId="2" borderId="55" xfId="40" applyFont="1" applyFill="1" applyBorder="1" applyAlignment="1">
      <alignment horizontal="right" vertical="center"/>
    </xf>
    <xf numFmtId="0" fontId="16" fillId="2" borderId="44" xfId="40" applyFont="1" applyFill="1" applyBorder="1" applyAlignment="1">
      <alignment horizontal="right" vertical="center"/>
    </xf>
    <xf numFmtId="0" fontId="13" fillId="0" borderId="54" xfId="8" applyFont="1" applyBorder="1" applyAlignment="1">
      <alignment vertical="center" wrapText="1"/>
    </xf>
    <xf numFmtId="0" fontId="13" fillId="0" borderId="53" xfId="8" applyFont="1" applyBorder="1" applyAlignment="1">
      <alignment vertical="center" wrapText="1"/>
    </xf>
    <xf numFmtId="4" fontId="16" fillId="0" borderId="54" xfId="8" applyNumberFormat="1" applyFont="1" applyBorder="1" applyAlignment="1">
      <alignment horizontal="left" vertical="center" wrapText="1"/>
    </xf>
    <xf numFmtId="4" fontId="16" fillId="0" borderId="55" xfId="8" applyNumberFormat="1" applyFont="1" applyBorder="1" applyAlignment="1">
      <alignment horizontal="left" vertical="center" wrapText="1"/>
    </xf>
    <xf numFmtId="4" fontId="16" fillId="0" borderId="44" xfId="8" applyNumberFormat="1" applyFont="1" applyBorder="1" applyAlignment="1">
      <alignment horizontal="left" vertical="center" wrapText="1"/>
    </xf>
    <xf numFmtId="0" fontId="16" fillId="0" borderId="54" xfId="8" applyFont="1" applyBorder="1" applyAlignment="1">
      <alignment horizontal="left" vertical="center" wrapText="1"/>
    </xf>
    <xf numFmtId="0" fontId="16" fillId="0" borderId="55" xfId="8" applyFont="1" applyBorder="1" applyAlignment="1">
      <alignment horizontal="left" vertical="center" wrapText="1"/>
    </xf>
    <xf numFmtId="0" fontId="16" fillId="2" borderId="55" xfId="8" applyFont="1" applyFill="1" applyBorder="1" applyAlignment="1">
      <alignment horizontal="left" vertical="center" wrapText="1"/>
    </xf>
    <xf numFmtId="0" fontId="16" fillId="0" borderId="44" xfId="8" applyFont="1" applyBorder="1" applyAlignment="1">
      <alignment horizontal="left" vertical="center" wrapText="1"/>
    </xf>
    <xf numFmtId="38" fontId="13" fillId="0" borderId="54" xfId="43" applyFont="1" applyFill="1" applyBorder="1" applyAlignment="1">
      <alignment horizontal="left" vertical="center" wrapText="1"/>
    </xf>
    <xf numFmtId="38" fontId="13" fillId="0" borderId="53" xfId="43" applyFont="1" applyFill="1" applyBorder="1" applyAlignment="1">
      <alignment horizontal="left" vertical="center" wrapText="1"/>
    </xf>
    <xf numFmtId="0" fontId="13" fillId="0" borderId="54" xfId="8" applyFont="1" applyBorder="1" applyAlignment="1">
      <alignment horizontal="left" vertical="center" wrapText="1"/>
    </xf>
    <xf numFmtId="0" fontId="13" fillId="0" borderId="53" xfId="8" applyFont="1" applyBorder="1" applyAlignment="1">
      <alignment horizontal="left" vertical="center" wrapText="1"/>
    </xf>
    <xf numFmtId="0" fontId="16" fillId="0" borderId="43" xfId="40" applyFont="1" applyBorder="1" applyAlignment="1">
      <alignment horizontal="right" vertical="center"/>
    </xf>
    <xf numFmtId="0" fontId="16" fillId="0" borderId="55" xfId="40" applyFont="1" applyBorder="1" applyAlignment="1">
      <alignment horizontal="right" vertical="center"/>
    </xf>
    <xf numFmtId="0" fontId="16" fillId="0" borderId="44" xfId="40" applyFont="1" applyBorder="1" applyAlignment="1">
      <alignment horizontal="right" vertical="center"/>
    </xf>
    <xf numFmtId="0" fontId="14" fillId="0" borderId="56" xfId="8" applyFont="1" applyBorder="1" applyAlignment="1">
      <alignment horizontal="left" vertical="center" wrapText="1"/>
    </xf>
    <xf numFmtId="0" fontId="14" fillId="0" borderId="53" xfId="8" applyFont="1" applyBorder="1" applyAlignment="1">
      <alignment horizontal="left" vertical="center" wrapText="1"/>
    </xf>
    <xf numFmtId="0" fontId="16" fillId="0" borderId="77" xfId="40" applyFont="1" applyBorder="1" applyAlignment="1">
      <alignment horizontal="center" vertical="center"/>
    </xf>
    <xf numFmtId="0" fontId="60" fillId="2" borderId="77" xfId="0" applyFont="1" applyFill="1" applyBorder="1" applyAlignment="1">
      <alignment horizontal="center" vertical="center" wrapText="1"/>
    </xf>
    <xf numFmtId="0" fontId="18" fillId="7" borderId="41" xfId="15" applyFont="1" applyFill="1" applyBorder="1" applyAlignment="1">
      <alignment horizontal="center" vertical="center"/>
    </xf>
    <xf numFmtId="0" fontId="18" fillId="7" borderId="42" xfId="15" applyFont="1" applyFill="1" applyBorder="1" applyAlignment="1">
      <alignment horizontal="center" vertical="center"/>
    </xf>
    <xf numFmtId="0" fontId="18" fillId="7" borderId="45" xfId="15" applyFont="1" applyFill="1" applyBorder="1" applyAlignment="1">
      <alignment horizontal="center" vertical="center"/>
    </xf>
    <xf numFmtId="0" fontId="18" fillId="7" borderId="28" xfId="15" applyFont="1" applyFill="1" applyBorder="1" applyAlignment="1">
      <alignment horizontal="center" vertical="center"/>
    </xf>
    <xf numFmtId="0" fontId="18" fillId="7" borderId="49" xfId="15" applyFont="1" applyFill="1" applyBorder="1" applyAlignment="1">
      <alignment horizontal="center" vertical="center"/>
    </xf>
    <xf numFmtId="0" fontId="18" fillId="7" borderId="47" xfId="15" applyFont="1" applyFill="1" applyBorder="1" applyAlignment="1">
      <alignment horizontal="center" vertical="center"/>
    </xf>
  </cellXfs>
  <cellStyles count="50">
    <cellStyle name="Comma" xfId="1" builtinId="3"/>
    <cellStyle name="Comma [0] 2" xfId="2"/>
    <cellStyle name="Comma [0] 3" xfId="34"/>
    <cellStyle name="Comma [0] 3 2" xfId="39"/>
    <cellStyle name="Comma [0] 4" xfId="43"/>
    <cellStyle name="Comma 10" xfId="35"/>
    <cellStyle name="Comma 12" xfId="36"/>
    <cellStyle name="Comma 16" xfId="18"/>
    <cellStyle name="Comma 19" xfId="38"/>
    <cellStyle name="Comma 2" xfId="3"/>
    <cellStyle name="Comma 2 2" xfId="4"/>
    <cellStyle name="Comma 2 2 2" xfId="21"/>
    <cellStyle name="Comma 2 3" xfId="46"/>
    <cellStyle name="Comma 3" xfId="5"/>
    <cellStyle name="Comma 3 2 2" xfId="29"/>
    <cellStyle name="Comma 4" xfId="25"/>
    <cellStyle name="Comma 5" xfId="24"/>
    <cellStyle name="Comma 6" xfId="6"/>
    <cellStyle name="Comma 7" xfId="45"/>
    <cellStyle name="Description" xfId="7"/>
    <cellStyle name="Description 2" xfId="8"/>
    <cellStyle name="Excel Built-in Normal" xfId="23"/>
    <cellStyle name="Heading1" xfId="9"/>
    <cellStyle name="Heading1 1" xfId="10"/>
    <cellStyle name="Heading1 2" xfId="41"/>
    <cellStyle name="Hyperlink" xfId="49" builtinId="8"/>
    <cellStyle name="List Number 1" xfId="11"/>
    <cellStyle name="Normal" xfId="0" builtinId="0"/>
    <cellStyle name="Normal 11 3" xfId="16"/>
    <cellStyle name="Normal 13" xfId="19"/>
    <cellStyle name="Normal 13 3" xfId="32"/>
    <cellStyle name="Normal 16" xfId="17"/>
    <cellStyle name="Normal 2" xfId="12"/>
    <cellStyle name="Normal 2 2" xfId="31"/>
    <cellStyle name="Normal 2 3" xfId="47"/>
    <cellStyle name="Normal 21 16" xfId="27"/>
    <cellStyle name="Normal 21 2 3 2 2" xfId="26"/>
    <cellStyle name="Normal 21 6 2 2" xfId="28"/>
    <cellStyle name="Normal 3" xfId="22"/>
    <cellStyle name="Normal 3 2" xfId="30"/>
    <cellStyle name="Normal 4" xfId="37"/>
    <cellStyle name="Normal 5" xfId="13"/>
    <cellStyle name="Normal 6" xfId="40"/>
    <cellStyle name="Normal 7" xfId="44"/>
    <cellStyle name="Normal_Sheet1 2" xfId="33"/>
    <cellStyle name="Percent" xfId="48" builtinId="5"/>
    <cellStyle name="Percent 2" xfId="20"/>
    <cellStyle name="Qty Unit" xfId="14"/>
    <cellStyle name="Qty Unit 2" xfId="42"/>
    <cellStyle name="Section1" xfId="1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7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0" Type="http://schemas.openxmlformats.org/officeDocument/2006/relationships/externalLink" Target="externalLinks/externalLink16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styles" Target="styles.xml"/><Relationship Id="rId8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Document\2005-09%20Plan%20Moyen%20Orient\Arabie%20Saoudite\Business%20Plans\2005-10-18%20TLSA%20Business%20Pl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skb\ten\CAMPU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skb\ten\SFDC-0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ow-1\SHAHID%20(F)\data\DO%20BURJ%20SHOPING%20MALL%20FAISALABAD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DATA\DataFile\O\DB9604\RevMay97\SHOP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hashir\VALUAT~1\APLMAR99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T\T218\QTY\STR21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d26\g\Electrical%20Projects%202009\1135%20PRCS%20Tower%20Islamabad\Tender%20Doc\boq\PRC%20PRICED%20BOQ%20revised%2021-7-1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Documents%20and%20Settings\&#50724;%20&#44305;&#50896;\My%20Documents\My%20Documents\SKKIM\Work1999\&#54840;&#45224;&#49437;&#50976;\&#49892;&#54665;BM\YUKONG\PROPOSAL\SEOUL\PROPOSAL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1\CURRENT%20JOBS%202008-09\BILLS\ZERYAB\JOB%20AND%20PAYMENTS%20DETAI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nd-fileserver\electrical%20projects%202011\1215%20ENGRO%20POLYMER\Tender%20Document\Tender%20Document\Division-2%20BOQ\Electrical%20BOQ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Ittefaq%20Building%20Solutions\K-K%20Rice%20Mill%20(Drawing)\BOQ-00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0000-000\B-WINDSR\WINDSR96\SPECS\VOLUM-1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h\Prints\INCOMTAX%20BUILDING%20-%20LAHORE%20-%20%20GUJRANWAL\My%20Documents\KACHHI%20CANAL%20KC-4-FIRST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Documents%20and%20Settings\samer.elbizri\Local%20Settings\Temporary%20Internet%20Files\Content.Outlook\IGKVMQNL\FGOC-YANBU\REVISED%20BOQ%2013-01-09\MODIFIED%20%20BOQ\ELEC%20.BOQ%20(PRICED)-ExcludingOpt-R8(re-Bid)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Startup" Target="DATA/TEN/TALIBWAL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-PC\Naveed's%20Document\Main%20Contractor's%20Claim\As%20Sana%20Builders,%20TCS%20Sukkur\IPCs\Shalimar%20Construction\Shalimar%20IPCs\Shalimar%20Const%20Sukkur%20Campus%20IPC%23%2008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0000-000\B-WINDSR\WINDSR96\SPECS\K-DRYWAL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04\common\Riaz%20Bhatti\XYZ\786-G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rkstation24\c\FND%20Projects\Standar%20Specs\Electrical\Standar-Elect-BOQ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sc-server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Approved%20MEP%20Mest.%20%2028062024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Approved%20Summary%200708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1.2 Strat"/>
      <sheetName val="2.1-Legal"/>
      <sheetName val="0.1-Front P"/>
      <sheetName val="0.2-Assumpt°"/>
      <sheetName val="2.2.1 -CAPEX-04"/>
      <sheetName val="2.2.2-CAPEX-05"/>
      <sheetName val="2.2.3-CAPEX-08"/>
      <sheetName val="2.2.4-CAPEX-11"/>
      <sheetName val="1.1-CAPEX"/>
      <sheetName val="1.2-Prod Budget"/>
      <sheetName val="1.3-Acq Evol"/>
      <sheetName val="2.1-RES1"/>
      <sheetName val="2.2-Sum RES1"/>
      <sheetName val="2.3-Vol, GM"/>
      <sheetName val="2.4-Brand Volumes"/>
      <sheetName val="2.4b-Vol K"/>
      <sheetName val="2.4-TOTAL Income"/>
      <sheetName val="3.1-BSheet"/>
      <sheetName val="3.2-Capital"/>
      <sheetName val="3.3-WCR"/>
      <sheetName val="4.1-CFlow"/>
      <sheetName val="5.1.1-Mpwer Prod"/>
      <sheetName val="5.1.2-OrgC Prod"/>
      <sheetName val="5.2.1-Mpwr Mkg"/>
      <sheetName val="5.2.2-OrgC Mkg"/>
      <sheetName val="2.3.3-CFlow"/>
      <sheetName val="2.3.6-MC04"/>
      <sheetName val="2.3.8b-Org C-fill"/>
      <sheetName val="2.3.8c-Org C-blend"/>
      <sheetName val="5.3-Gen Exp"/>
      <sheetName val="6.1-TRI"/>
      <sheetName val="6.2-ROA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>
        <row r="1">
          <cell r="D1">
            <v>37365.383298842593</v>
          </cell>
          <cell r="M1" t="str">
            <v>MODELE TRI</v>
          </cell>
          <cell r="O1" t="str">
            <v>Delta TRI</v>
          </cell>
          <cell r="P1">
            <v>7.0323514710290899E-2</v>
          </cell>
          <cell r="R1">
            <v>6.9999999999999188E-2</v>
          </cell>
          <cell r="U1" t="str">
            <v>TLSA</v>
          </cell>
        </row>
        <row r="2">
          <cell r="E2" t="str">
            <v>Frais financiers deduct. impôt :</v>
          </cell>
          <cell r="F2" t="b">
            <v>1</v>
          </cell>
          <cell r="I2" t="str">
            <v>Taux de l'impôt :</v>
          </cell>
          <cell r="J2">
            <v>0.35830000000000001</v>
          </cell>
          <cell r="P2" t="str">
            <v>Financement initial par emprunt :</v>
          </cell>
          <cell r="Q2">
            <v>0.5</v>
          </cell>
          <cell r="S2" t="str">
            <v>Unité de mesure :</v>
          </cell>
          <cell r="T2" t="str">
            <v>T</v>
          </cell>
          <cell r="U2" t="str">
            <v>K/M :</v>
          </cell>
          <cell r="W2" t="str">
            <v>T</v>
          </cell>
        </row>
        <row r="3">
          <cell r="E3" t="str">
            <v>Pertes de changes deduct. imp :</v>
          </cell>
          <cell r="F3" t="b">
            <v>1</v>
          </cell>
          <cell r="I3" t="str">
            <v>Report fiscal (ans) :</v>
          </cell>
          <cell r="J3">
            <v>5</v>
          </cell>
          <cell r="L3" t="str">
            <v>Année de base :</v>
          </cell>
          <cell r="M3">
            <v>2005</v>
          </cell>
          <cell r="P3" t="str">
            <v>Financement local :</v>
          </cell>
          <cell r="Q3">
            <v>1</v>
          </cell>
          <cell r="S3" t="str">
            <v>Devise :</v>
          </cell>
          <cell r="T3" t="str">
            <v>USD</v>
          </cell>
          <cell r="U3" t="str">
            <v>K/M/G :</v>
          </cell>
          <cell r="V3" t="str">
            <v>K</v>
          </cell>
          <cell r="W3" t="str">
            <v>KUSD</v>
          </cell>
        </row>
        <row r="4">
          <cell r="E4" t="str">
            <v>Taux d'actualisation :</v>
          </cell>
          <cell r="F4">
            <v>0.11</v>
          </cell>
          <cell r="I4" t="str">
            <v>Durée de vie :</v>
          </cell>
          <cell r="J4">
            <v>15</v>
          </cell>
          <cell r="L4" t="str">
            <v>Démarrage :</v>
          </cell>
          <cell r="M4">
            <v>2006</v>
          </cell>
          <cell r="P4" t="str">
            <v>Rachat/reprise activité :</v>
          </cell>
          <cell r="Q4" t="b">
            <v>0</v>
          </cell>
          <cell r="U4" t="str">
            <v>Taux de change :</v>
          </cell>
          <cell r="W4" t="str">
            <v>€/USD</v>
          </cell>
        </row>
        <row r="5">
          <cell r="D5" t="str">
            <v>VAN intrinsèque :</v>
          </cell>
          <cell r="E5" t="str">
            <v>3361,9 KUSD</v>
          </cell>
          <cell r="H5">
            <v>2005</v>
          </cell>
          <cell r="I5">
            <v>2006</v>
          </cell>
          <cell r="J5">
            <v>2007</v>
          </cell>
          <cell r="K5">
            <v>2008</v>
          </cell>
          <cell r="L5">
            <v>2009</v>
          </cell>
          <cell r="M5">
            <v>2010</v>
          </cell>
          <cell r="N5">
            <v>2011</v>
          </cell>
          <cell r="O5">
            <v>2012</v>
          </cell>
          <cell r="P5">
            <v>2013</v>
          </cell>
          <cell r="Q5">
            <v>2014</v>
          </cell>
          <cell r="R5">
            <v>2015</v>
          </cell>
          <cell r="S5">
            <v>2016</v>
          </cell>
          <cell r="T5">
            <v>2017</v>
          </cell>
          <cell r="U5">
            <v>2018</v>
          </cell>
          <cell r="V5">
            <v>2019</v>
          </cell>
          <cell r="W5">
            <v>2020</v>
          </cell>
        </row>
        <row r="6">
          <cell r="D6" t="str">
            <v>Payback: 11 ans</v>
          </cell>
          <cell r="G6" t="str">
            <v>TRI : 14,0%</v>
          </cell>
          <cell r="H6">
            <v>0</v>
          </cell>
          <cell r="I6">
            <v>1</v>
          </cell>
          <cell r="J6">
            <v>2</v>
          </cell>
          <cell r="K6">
            <v>3</v>
          </cell>
          <cell r="L6">
            <v>4</v>
          </cell>
          <cell r="M6">
            <v>5</v>
          </cell>
          <cell r="N6">
            <v>6</v>
          </cell>
          <cell r="O6">
            <v>7</v>
          </cell>
          <cell r="P6">
            <v>8</v>
          </cell>
          <cell r="Q6">
            <v>9</v>
          </cell>
          <cell r="R6">
            <v>10</v>
          </cell>
          <cell r="S6">
            <v>11</v>
          </cell>
          <cell r="T6">
            <v>12</v>
          </cell>
          <cell r="U6">
            <v>13</v>
          </cell>
          <cell r="V6">
            <v>14</v>
          </cell>
          <cell r="W6">
            <v>15</v>
          </cell>
        </row>
        <row r="7">
          <cell r="B7" t="str">
            <v>I - DONNEES GENERALES</v>
          </cell>
          <cell r="W7" t="str">
            <v/>
          </cell>
        </row>
        <row r="8">
          <cell r="C8" t="str">
            <v>Profil d'inflation</v>
          </cell>
          <cell r="H8">
            <v>0.01</v>
          </cell>
          <cell r="I8">
            <v>0.01</v>
          </cell>
          <cell r="J8">
            <v>0.01</v>
          </cell>
          <cell r="K8">
            <v>0.01</v>
          </cell>
          <cell r="L8">
            <v>0.01</v>
          </cell>
          <cell r="M8">
            <v>0.01</v>
          </cell>
          <cell r="N8">
            <v>0.01</v>
          </cell>
          <cell r="O8">
            <v>0.01</v>
          </cell>
          <cell r="P8">
            <v>0.01</v>
          </cell>
          <cell r="Q8">
            <v>0.01</v>
          </cell>
          <cell r="R8">
            <v>0.01</v>
          </cell>
          <cell r="S8">
            <v>0.01</v>
          </cell>
          <cell r="T8">
            <v>0.01</v>
          </cell>
          <cell r="U8">
            <v>0.01</v>
          </cell>
          <cell r="V8">
            <v>0.01</v>
          </cell>
          <cell r="W8">
            <v>0.01</v>
          </cell>
        </row>
        <row r="9">
          <cell r="C9" t="str">
            <v>Indice</v>
          </cell>
          <cell r="H9">
            <v>1</v>
          </cell>
          <cell r="I9">
            <v>1.01</v>
          </cell>
          <cell r="J9">
            <v>1.0201</v>
          </cell>
          <cell r="K9">
            <v>1.0303009999999999</v>
          </cell>
          <cell r="L9">
            <v>1.04060401</v>
          </cell>
          <cell r="M9">
            <v>1.0510100500999999</v>
          </cell>
          <cell r="N9">
            <v>1.0615201506009999</v>
          </cell>
          <cell r="O9">
            <v>1.0721353521070098</v>
          </cell>
          <cell r="P9">
            <v>1.08285670562808</v>
          </cell>
          <cell r="Q9">
            <v>1.0936852726843609</v>
          </cell>
          <cell r="R9">
            <v>1.1046221254112045</v>
          </cell>
          <cell r="S9">
            <v>1.1156683466653166</v>
          </cell>
          <cell r="T9">
            <v>1.1268250301319698</v>
          </cell>
          <cell r="U9">
            <v>1.1380932804332895</v>
          </cell>
          <cell r="V9">
            <v>1.1494742132376223</v>
          </cell>
          <cell r="W9">
            <v>1.1609689553699987</v>
          </cell>
        </row>
        <row r="10">
          <cell r="C10" t="str">
            <v>Taux des frais financiers</v>
          </cell>
          <cell r="H10">
            <v>2.5000000000000001E-2</v>
          </cell>
          <cell r="I10">
            <v>2.5000000000000001E-2</v>
          </cell>
          <cell r="J10">
            <v>2.5000000000000001E-2</v>
          </cell>
          <cell r="K10">
            <v>2.5000000000000001E-2</v>
          </cell>
          <cell r="L10">
            <v>2.5000000000000001E-2</v>
          </cell>
          <cell r="M10">
            <v>2.5000000000000001E-2</v>
          </cell>
          <cell r="N10">
            <v>2.5000000000000001E-2</v>
          </cell>
          <cell r="O10">
            <v>2.5000000000000001E-2</v>
          </cell>
          <cell r="P10">
            <v>2.5000000000000001E-2</v>
          </cell>
          <cell r="Q10">
            <v>2.5000000000000001E-2</v>
          </cell>
          <cell r="R10">
            <v>2.5000000000000001E-2</v>
          </cell>
          <cell r="S10">
            <v>2.5000000000000001E-2</v>
          </cell>
          <cell r="T10">
            <v>2.5000000000000001E-2</v>
          </cell>
          <cell r="U10">
            <v>2.5000000000000001E-2</v>
          </cell>
          <cell r="V10">
            <v>2.5000000000000001E-2</v>
          </cell>
          <cell r="W10">
            <v>2.5000000000000001E-2</v>
          </cell>
        </row>
        <row r="11">
          <cell r="B11" t="str">
            <v>II - DONNEES RELATIVES AU PROJET</v>
          </cell>
          <cell r="I11" t="str">
            <v>Monnaie constante</v>
          </cell>
        </row>
        <row r="12">
          <cell r="B12" t="str">
            <v>A - EXPLOITATION :</v>
          </cell>
        </row>
        <row r="13">
          <cell r="D13" t="str">
            <v>Volumes</v>
          </cell>
          <cell r="G13" t="str">
            <v>T</v>
          </cell>
          <cell r="I13">
            <v>4500</v>
          </cell>
          <cell r="J13">
            <v>7012.5</v>
          </cell>
          <cell r="K13">
            <v>14693.125</v>
          </cell>
          <cell r="L13">
            <v>18508.53125</v>
          </cell>
          <cell r="M13">
            <v>22320.53</v>
          </cell>
          <cell r="N13">
            <v>25785.365600000001</v>
          </cell>
          <cell r="O13">
            <v>28911.707911999998</v>
          </cell>
          <cell r="P13">
            <v>31325.776070240005</v>
          </cell>
          <cell r="Q13">
            <v>33975.708991644802</v>
          </cell>
          <cell r="R13">
            <v>36884.98231147771</v>
          </cell>
          <cell r="S13">
            <v>38518.957602957256</v>
          </cell>
          <cell r="T13">
            <v>40232.426182528907</v>
          </cell>
          <cell r="U13">
            <v>41060.820114464936</v>
          </cell>
          <cell r="V13">
            <v>41922.764097071369</v>
          </cell>
          <cell r="W13">
            <v>42819.782250649929</v>
          </cell>
        </row>
        <row r="14">
          <cell r="D14" t="str">
            <v>Marges</v>
          </cell>
          <cell r="G14" t="str">
            <v>USD/T</v>
          </cell>
          <cell r="I14">
            <v>365.59999999999997</v>
          </cell>
          <cell r="J14">
            <v>365.59999999999991</v>
          </cell>
          <cell r="K14">
            <v>279.49714577395889</v>
          </cell>
          <cell r="L14">
            <v>288.26537086782611</v>
          </cell>
          <cell r="M14">
            <v>294.0080885176115</v>
          </cell>
          <cell r="N14">
            <v>302.84406233898807</v>
          </cell>
          <cell r="O14">
            <v>308.91692554893979</v>
          </cell>
          <cell r="P14">
            <v>312.61371234337162</v>
          </cell>
          <cell r="Q14">
            <v>316.1149601447076</v>
          </cell>
          <cell r="R14">
            <v>319.42480909297751</v>
          </cell>
          <cell r="S14">
            <v>320.80412209444535</v>
          </cell>
          <cell r="T14">
            <v>322.14608736902022</v>
          </cell>
          <cell r="U14">
            <v>322.45723144411221</v>
          </cell>
          <cell r="V14">
            <v>322.77927844798324</v>
          </cell>
          <cell r="W14">
            <v>323.11210836141549</v>
          </cell>
        </row>
        <row r="15">
          <cell r="D15" t="str">
            <v>Coûts variables</v>
          </cell>
          <cell r="G15" t="str">
            <v>USD/T</v>
          </cell>
          <cell r="I15">
            <v>103.42666666666666</v>
          </cell>
          <cell r="J15">
            <v>104.36054571822928</v>
          </cell>
          <cell r="K15">
            <v>77.090672799571138</v>
          </cell>
          <cell r="L15">
            <v>61.127620067115778</v>
          </cell>
          <cell r="M15">
            <v>55.161679136871506</v>
          </cell>
          <cell r="N15">
            <v>47.528499752490212</v>
          </cell>
          <cell r="O15">
            <v>42.641825753131727</v>
          </cell>
          <cell r="P15">
            <v>41.985622935238837</v>
          </cell>
          <cell r="Q15">
            <v>39.253036483858068</v>
          </cell>
          <cell r="R15">
            <v>36.725797986885681</v>
          </cell>
          <cell r="S15">
            <v>35.811225117928487</v>
          </cell>
          <cell r="T15">
            <v>34.928297878517697</v>
          </cell>
          <cell r="U15">
            <v>34.890415401736909</v>
          </cell>
          <cell r="V15">
            <v>34.844966930971104</v>
          </cell>
          <cell r="W15">
            <v>34.791847413259504</v>
          </cell>
        </row>
        <row r="16">
          <cell r="D16" t="str">
            <v>Coûts fixes</v>
          </cell>
          <cell r="G16" t="str">
            <v>KUSD</v>
          </cell>
          <cell r="I16">
            <v>1721.5437154666663</v>
          </cell>
          <cell r="J16">
            <v>1761.197860930667</v>
          </cell>
          <cell r="K16">
            <v>2320.7033881585867</v>
          </cell>
          <cell r="L16">
            <v>2502.0564894083445</v>
          </cell>
          <cell r="M16">
            <v>2688.4640044965954</v>
          </cell>
          <cell r="N16">
            <v>3144.3645957566127</v>
          </cell>
          <cell r="O16">
            <v>3313.4786918105337</v>
          </cell>
          <cell r="P16">
            <v>3293.1745681407419</v>
          </cell>
          <cell r="Q16">
            <v>3533.5349482113943</v>
          </cell>
          <cell r="R16">
            <v>3572.4166746241513</v>
          </cell>
          <cell r="S16">
            <v>3671.433195871517</v>
          </cell>
          <cell r="T16">
            <v>3774.0442568491139</v>
          </cell>
          <cell r="U16">
            <v>3861.0009336743638</v>
          </cell>
          <cell r="V16">
            <v>3950.7549994008905</v>
          </cell>
          <cell r="W16">
            <v>4043.4010289421767</v>
          </cell>
        </row>
        <row r="17">
          <cell r="D17" t="str">
            <v>Revenus fixes</v>
          </cell>
          <cell r="G17" t="str">
            <v>KUSD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</row>
        <row r="18">
          <cell r="D18" t="str">
            <v>EBE monnaie constante</v>
          </cell>
          <cell r="G18" t="str">
            <v>KUSD</v>
          </cell>
          <cell r="I18">
            <v>-541.76371546666655</v>
          </cell>
          <cell r="J18">
            <v>70.743812220249538</v>
          </cell>
          <cell r="K18">
            <v>653.28022006321453</v>
          </cell>
          <cell r="L18">
            <v>1701.9296693413153</v>
          </cell>
          <cell r="M18">
            <v>2642.7144414784934</v>
          </cell>
          <cell r="N18">
            <v>3439.0405289059167</v>
          </cell>
          <cell r="O18">
            <v>4384.9892177245183</v>
          </cell>
          <cell r="P18">
            <v>5184.460358975316</v>
          </cell>
          <cell r="Q18">
            <v>5873.045200956607</v>
          </cell>
          <cell r="R18">
            <v>6854.9313494962844</v>
          </cell>
          <cell r="S18">
            <v>7306.196119910901</v>
          </cell>
          <cell r="T18">
            <v>7781.4242571366558</v>
          </cell>
          <cell r="U18">
            <v>7946.728370731038</v>
          </cell>
          <cell r="V18">
            <v>8120.2472177794689</v>
          </cell>
          <cell r="W18">
            <v>8302.4097633084293</v>
          </cell>
        </row>
        <row r="19">
          <cell r="D19" t="str">
            <v>Eléments court terme du bilan</v>
          </cell>
          <cell r="H19" t="str">
            <v/>
          </cell>
          <cell r="K19">
            <v>12</v>
          </cell>
          <cell r="L19" t="str">
            <v>BFR :</v>
          </cell>
          <cell r="M19">
            <v>352.25291666666669</v>
          </cell>
          <cell r="N19" t="str">
            <v>USD/T vendu</v>
          </cell>
          <cell r="R19" t="str">
            <v>Valeur stock :</v>
          </cell>
          <cell r="S19">
            <v>127.7376388888889</v>
          </cell>
          <cell r="T19" t="str">
            <v>USD/T vendu</v>
          </cell>
        </row>
        <row r="20">
          <cell r="B20" t="str">
            <v>B - PAS UTILISE :</v>
          </cell>
          <cell r="K20">
            <v>0</v>
          </cell>
          <cell r="L20">
            <v>22.371135525018673</v>
          </cell>
          <cell r="M20">
            <v>0</v>
          </cell>
          <cell r="N20">
            <v>0</v>
          </cell>
          <cell r="O20" t="str">
            <v>K€</v>
          </cell>
          <cell r="Q20">
            <v>0</v>
          </cell>
          <cell r="R20">
            <v>0</v>
          </cell>
          <cell r="S20">
            <v>0</v>
          </cell>
          <cell r="U20" t="str">
            <v/>
          </cell>
          <cell r="V20">
            <v>0</v>
          </cell>
          <cell r="W20">
            <v>0</v>
          </cell>
        </row>
        <row r="21">
          <cell r="B21" t="str">
            <v>C - IMMOs et AMORTs</v>
          </cell>
          <cell r="G21" t="str">
            <v>période</v>
          </cell>
          <cell r="H21" t="str">
            <v>KUSD</v>
          </cell>
          <cell r="N21" t="str">
            <v/>
          </cell>
          <cell r="P21" t="str">
            <v>Montant</v>
          </cell>
        </row>
        <row r="22">
          <cell r="C22" t="str">
            <v>Investissements initiales :</v>
          </cell>
          <cell r="G22" t="str">
            <v>amort</v>
          </cell>
          <cell r="H22">
            <v>2005</v>
          </cell>
          <cell r="I22">
            <v>2006</v>
          </cell>
          <cell r="J22">
            <v>2007</v>
          </cell>
          <cell r="K22">
            <v>2008</v>
          </cell>
          <cell r="N22" t="str">
            <v/>
          </cell>
          <cell r="P22" t="str">
            <v>Net 2002</v>
          </cell>
        </row>
        <row r="23">
          <cell r="D23" t="str">
            <v>Immos corps/incorps</v>
          </cell>
          <cell r="F23">
            <v>15</v>
          </cell>
          <cell r="G23" t="str">
            <v>ans</v>
          </cell>
          <cell r="H23">
            <v>0</v>
          </cell>
          <cell r="I23">
            <v>1881.56</v>
          </cell>
          <cell r="J23">
            <v>4771.0879999999997</v>
          </cell>
          <cell r="K23">
            <v>160</v>
          </cell>
          <cell r="L23">
            <v>0</v>
          </cell>
          <cell r="M23">
            <v>0</v>
          </cell>
          <cell r="N23">
            <v>0</v>
          </cell>
          <cell r="P23">
            <v>0</v>
          </cell>
          <cell r="Q23">
            <v>0</v>
          </cell>
        </row>
        <row r="24">
          <cell r="D24" t="str">
            <v>Autres Immos corps/incorps</v>
          </cell>
          <cell r="F24">
            <v>5</v>
          </cell>
          <cell r="G24" t="str">
            <v>ans</v>
          </cell>
          <cell r="H24">
            <v>0</v>
          </cell>
          <cell r="I24">
            <v>569.86400000000003</v>
          </cell>
          <cell r="J24">
            <v>255.755</v>
          </cell>
          <cell r="K24">
            <v>109.8</v>
          </cell>
          <cell r="P24">
            <v>0</v>
          </cell>
          <cell r="Q24" t="str">
            <v>Sauf cas de cession,ne rien mettre dans le cadre N23-N25</v>
          </cell>
        </row>
        <row r="25">
          <cell r="D25" t="str">
            <v/>
          </cell>
          <cell r="F25">
            <v>0</v>
          </cell>
          <cell r="G25" t="str">
            <v>ans</v>
          </cell>
          <cell r="L25">
            <v>0</v>
          </cell>
          <cell r="M25">
            <v>0</v>
          </cell>
          <cell r="N25">
            <v>0</v>
          </cell>
          <cell r="P25">
            <v>0</v>
          </cell>
        </row>
        <row r="26">
          <cell r="D26" t="str">
            <v>Terrains</v>
          </cell>
          <cell r="L26">
            <v>0</v>
          </cell>
          <cell r="M26">
            <v>0</v>
          </cell>
          <cell r="N26">
            <v>0</v>
          </cell>
          <cell r="P26">
            <v>0</v>
          </cell>
        </row>
        <row r="27">
          <cell r="D27" t="str">
            <v/>
          </cell>
          <cell r="F27">
            <v>0</v>
          </cell>
          <cell r="G27" t="str">
            <v>ans</v>
          </cell>
          <cell r="H27">
            <v>0</v>
          </cell>
          <cell r="P27">
            <v>0</v>
          </cell>
          <cell r="T27" t="str">
            <v/>
          </cell>
          <cell r="U27" t="b">
            <v>0</v>
          </cell>
        </row>
        <row r="28">
          <cell r="C28" t="str">
            <v>Investissements :</v>
          </cell>
        </row>
        <row r="29">
          <cell r="D29" t="str">
            <v>Maint. en état - désinvest.</v>
          </cell>
          <cell r="F29">
            <v>15</v>
          </cell>
          <cell r="G29" t="str">
            <v>ans</v>
          </cell>
          <cell r="L29">
            <v>160</v>
          </cell>
          <cell r="M29">
            <v>110</v>
          </cell>
          <cell r="N29">
            <v>110</v>
          </cell>
          <cell r="O29">
            <v>110</v>
          </cell>
          <cell r="P29">
            <v>110</v>
          </cell>
          <cell r="Q29">
            <v>110</v>
          </cell>
          <cell r="R29">
            <v>110</v>
          </cell>
          <cell r="S29">
            <v>110</v>
          </cell>
          <cell r="T29">
            <v>710</v>
          </cell>
          <cell r="U29">
            <v>110</v>
          </cell>
          <cell r="V29">
            <v>110</v>
          </cell>
          <cell r="W29">
            <v>110</v>
          </cell>
        </row>
        <row r="30">
          <cell r="D30" t="str">
            <v>Maint. en état - désinvest.</v>
          </cell>
          <cell r="F30">
            <v>5</v>
          </cell>
          <cell r="G30" t="str">
            <v>ans</v>
          </cell>
          <cell r="L30">
            <v>0</v>
          </cell>
          <cell r="M30">
            <v>0</v>
          </cell>
          <cell r="N30">
            <v>661.16399999999999</v>
          </cell>
          <cell r="O30">
            <v>255.755</v>
          </cell>
          <cell r="P30">
            <v>114.7</v>
          </cell>
          <cell r="Q30">
            <v>0</v>
          </cell>
          <cell r="R30">
            <v>0</v>
          </cell>
          <cell r="S30">
            <v>677.66399999999999</v>
          </cell>
          <cell r="T30">
            <v>255.755</v>
          </cell>
          <cell r="U30">
            <v>114.7</v>
          </cell>
          <cell r="V30">
            <v>0</v>
          </cell>
          <cell r="W30">
            <v>0</v>
          </cell>
        </row>
        <row r="31">
          <cell r="D31" t="str">
            <v>Maint. en état - désinvest.</v>
          </cell>
          <cell r="F31">
            <v>0</v>
          </cell>
          <cell r="G31" t="str">
            <v>ans</v>
          </cell>
        </row>
        <row r="32">
          <cell r="C32" t="str">
            <v>Investissements totaux</v>
          </cell>
          <cell r="H32">
            <v>0</v>
          </cell>
          <cell r="I32">
            <v>-2451.424</v>
          </cell>
          <cell r="J32">
            <v>-5026.8429999999998</v>
          </cell>
          <cell r="K32">
            <v>-269.8</v>
          </cell>
          <cell r="L32">
            <v>-160</v>
          </cell>
          <cell r="M32">
            <v>-110</v>
          </cell>
          <cell r="N32">
            <v>-771.16399999999999</v>
          </cell>
          <cell r="O32">
            <v>-365.755</v>
          </cell>
          <cell r="P32">
            <v>-224.7</v>
          </cell>
          <cell r="Q32">
            <v>-110</v>
          </cell>
          <cell r="R32">
            <v>-110</v>
          </cell>
          <cell r="S32">
            <v>-787.66399999999999</v>
          </cell>
          <cell r="T32">
            <v>-965.755</v>
          </cell>
          <cell r="U32">
            <v>-224.7</v>
          </cell>
          <cell r="V32">
            <v>-110</v>
          </cell>
          <cell r="W32">
            <v>-110</v>
          </cell>
        </row>
        <row r="33">
          <cell r="C33" t="str">
            <v>Investissements totaux</v>
          </cell>
          <cell r="F33" t="str">
            <v>inflatés</v>
          </cell>
          <cell r="H33">
            <v>0</v>
          </cell>
          <cell r="I33">
            <v>-2475.93824</v>
          </cell>
          <cell r="J33">
            <v>-5127.8825442999996</v>
          </cell>
          <cell r="K33">
            <v>-277.97520980000002</v>
          </cell>
          <cell r="L33">
            <v>-166.4966416</v>
          </cell>
          <cell r="M33">
            <v>-115.61110551099999</v>
          </cell>
          <cell r="N33">
            <v>-818.6061254180695</v>
          </cell>
          <cell r="O33">
            <v>-392.13886570989939</v>
          </cell>
          <cell r="P33">
            <v>-243.31790175462956</v>
          </cell>
          <cell r="Q33">
            <v>-120.30537999527969</v>
          </cell>
          <cell r="R33">
            <v>-121.50843379523249</v>
          </cell>
          <cell r="S33">
            <v>-878.77179260778985</v>
          </cell>
          <cell r="T33">
            <v>-1088.2369069751005</v>
          </cell>
          <cell r="U33">
            <v>-255.72956011336015</v>
          </cell>
          <cell r="V33">
            <v>-126.44216345613846</v>
          </cell>
          <cell r="W33">
            <v>-127.70658509069986</v>
          </cell>
        </row>
        <row r="34">
          <cell r="C34" t="str">
            <v>Investissements cumulés</v>
          </cell>
          <cell r="F34" t="str">
            <v>inflatés</v>
          </cell>
          <cell r="H34">
            <v>0</v>
          </cell>
          <cell r="I34">
            <v>-2475.93824</v>
          </cell>
          <cell r="J34">
            <v>-7603.8207843</v>
          </cell>
          <cell r="K34">
            <v>-7881.7959940999999</v>
          </cell>
          <cell r="L34">
            <v>-8048.2926356999997</v>
          </cell>
          <cell r="M34">
            <v>-8163.9037412109992</v>
          </cell>
          <cell r="N34">
            <v>-8982.5098666290687</v>
          </cell>
          <cell r="O34">
            <v>-9374.6487323389683</v>
          </cell>
          <cell r="P34">
            <v>-9617.9666340935983</v>
          </cell>
          <cell r="Q34">
            <v>-9738.2720140888778</v>
          </cell>
          <cell r="R34">
            <v>-9859.7804478841099</v>
          </cell>
          <cell r="S34">
            <v>-10738.552240491899</v>
          </cell>
          <cell r="T34">
            <v>-11826.789147467</v>
          </cell>
          <cell r="U34">
            <v>-12082.518707580361</v>
          </cell>
          <cell r="V34">
            <v>-12208.960871036499</v>
          </cell>
          <cell r="W34">
            <v>-12336.667456127199</v>
          </cell>
        </row>
        <row r="35">
          <cell r="D35" t="str">
            <v/>
          </cell>
          <cell r="F35" t="str">
            <v>inflaté</v>
          </cell>
          <cell r="H35">
            <v>0</v>
          </cell>
        </row>
        <row r="36">
          <cell r="C36" t="str">
            <v>Amortissements (investissements inflatés)</v>
          </cell>
          <cell r="H36" t="str">
            <v/>
          </cell>
          <cell r="J36" t="str">
            <v/>
          </cell>
        </row>
        <row r="37">
          <cell r="D37" t="str">
            <v>Immos corps/incorps</v>
          </cell>
          <cell r="F37">
            <v>15</v>
          </cell>
          <cell r="H37">
            <v>0</v>
          </cell>
          <cell r="I37">
            <v>0</v>
          </cell>
          <cell r="J37">
            <v>-125.43733333333333</v>
          </cell>
          <cell r="K37">
            <v>-443.5098666666666</v>
          </cell>
          <cell r="L37">
            <v>-454.17653333333328</v>
          </cell>
          <cell r="M37">
            <v>-454.17653333333328</v>
          </cell>
          <cell r="N37">
            <v>-454.17653333333328</v>
          </cell>
          <cell r="O37">
            <v>-454.17653333333328</v>
          </cell>
          <cell r="P37">
            <v>-454.17653333333328</v>
          </cell>
          <cell r="Q37">
            <v>-454.17653333333328</v>
          </cell>
          <cell r="R37">
            <v>-454.17653333333328</v>
          </cell>
          <cell r="S37">
            <v>-454.17653333333328</v>
          </cell>
          <cell r="T37">
            <v>-454.17653333333328</v>
          </cell>
          <cell r="U37">
            <v>-454.17653333333328</v>
          </cell>
          <cell r="V37">
            <v>-454.17653333333328</v>
          </cell>
          <cell r="W37">
            <v>-454.17653333333328</v>
          </cell>
        </row>
        <row r="38">
          <cell r="D38" t="str">
            <v>Autres Immos corps/incorps</v>
          </cell>
          <cell r="F38">
            <v>5</v>
          </cell>
          <cell r="H38">
            <v>0</v>
          </cell>
          <cell r="I38">
            <v>0</v>
          </cell>
          <cell r="J38">
            <v>-113.97280000000001</v>
          </cell>
          <cell r="K38">
            <v>-165.12380000000002</v>
          </cell>
          <cell r="L38">
            <v>-187.0838</v>
          </cell>
          <cell r="M38">
            <v>-187.0838</v>
          </cell>
          <cell r="N38">
            <v>-187.0838</v>
          </cell>
          <cell r="O38">
            <v>-73.111000000000004</v>
          </cell>
          <cell r="P38">
            <v>-21.96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</row>
        <row r="39">
          <cell r="D39" t="str">
            <v/>
          </cell>
          <cell r="F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</row>
        <row r="40">
          <cell r="D40" t="str">
            <v>Terrains</v>
          </cell>
          <cell r="F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</row>
        <row r="41">
          <cell r="D41" t="str">
            <v>Maint. en état - désinvest.</v>
          </cell>
          <cell r="F41">
            <v>15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-11.099776106666667</v>
          </cell>
          <cell r="N41">
            <v>-18.807183140733333</v>
          </cell>
          <cell r="O41">
            <v>-26.591664245140667</v>
          </cell>
          <cell r="P41">
            <v>-34.45399016059207</v>
          </cell>
          <cell r="Q41">
            <v>-42.394939335197996</v>
          </cell>
          <cell r="R41">
            <v>-50.415298001549978</v>
          </cell>
          <cell r="S41">
            <v>-58.515860254565474</v>
          </cell>
          <cell r="T41">
            <v>-66.697428130111135</v>
          </cell>
          <cell r="U41">
            <v>-120.03381288969103</v>
          </cell>
          <cell r="V41">
            <v>-128.37983027953516</v>
          </cell>
          <cell r="W41">
            <v>-136.80930784327771</v>
          </cell>
        </row>
        <row r="42">
          <cell r="D42" t="str">
            <v>Maint. en état - désinvest.</v>
          </cell>
          <cell r="F42">
            <v>5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-140.3677817703919</v>
          </cell>
          <cell r="P42">
            <v>-195.20857716601753</v>
          </cell>
          <cell r="Q42">
            <v>-220.04930999312569</v>
          </cell>
          <cell r="R42">
            <v>-220.04930999312569</v>
          </cell>
          <cell r="S42">
            <v>-220.04930999312569</v>
          </cell>
          <cell r="T42">
            <v>-230.89118311765483</v>
          </cell>
          <cell r="U42">
            <v>-233.68861483830952</v>
          </cell>
          <cell r="V42">
            <v>-234.95574186434101</v>
          </cell>
          <cell r="W42">
            <v>-234.95574186434101</v>
          </cell>
        </row>
        <row r="43">
          <cell r="D43" t="str">
            <v>Maint. en état - désinvest.</v>
          </cell>
          <cell r="F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</row>
        <row r="44">
          <cell r="C44" t="str">
            <v>Amortissements totaux</v>
          </cell>
          <cell r="H44">
            <v>0</v>
          </cell>
          <cell r="I44">
            <v>0</v>
          </cell>
          <cell r="J44">
            <v>-239.41013333333333</v>
          </cell>
          <cell r="K44">
            <v>-608.63366666666661</v>
          </cell>
          <cell r="L44">
            <v>-641.26033333333328</v>
          </cell>
          <cell r="M44">
            <v>-652.36010943999997</v>
          </cell>
          <cell r="N44">
            <v>-660.06751647406657</v>
          </cell>
          <cell r="O44">
            <v>-694.24697934886581</v>
          </cell>
          <cell r="P44">
            <v>-705.79910065994284</v>
          </cell>
          <cell r="Q44">
            <v>-716.6207826616569</v>
          </cell>
          <cell r="R44">
            <v>-724.64114132800887</v>
          </cell>
          <cell r="S44">
            <v>-732.74170358102447</v>
          </cell>
          <cell r="T44">
            <v>-751.76514458109921</v>
          </cell>
          <cell r="U44">
            <v>-807.89896106133381</v>
          </cell>
          <cell r="V44">
            <v>-817.51210547720939</v>
          </cell>
          <cell r="W44">
            <v>-825.94158304095197</v>
          </cell>
        </row>
        <row r="45">
          <cell r="C45" t="str">
            <v>Amortissements cumulés actifs corporels</v>
          </cell>
          <cell r="H45">
            <v>0</v>
          </cell>
          <cell r="I45">
            <v>0</v>
          </cell>
          <cell r="J45">
            <v>-239.41013333333333</v>
          </cell>
          <cell r="K45">
            <v>-848.04379999999992</v>
          </cell>
          <cell r="L45">
            <v>-1489.3041333333331</v>
          </cell>
          <cell r="M45">
            <v>-2141.6642427733332</v>
          </cell>
          <cell r="N45">
            <v>-2801.7317592473996</v>
          </cell>
          <cell r="O45">
            <v>-3495.9787385962654</v>
          </cell>
          <cell r="P45">
            <v>-4201.7778392562086</v>
          </cell>
          <cell r="Q45">
            <v>-4918.398621917866</v>
          </cell>
          <cell r="R45">
            <v>-5643.0397632458753</v>
          </cell>
          <cell r="S45">
            <v>-6375.7814668269002</v>
          </cell>
          <cell r="T45">
            <v>-7127.5466114079991</v>
          </cell>
          <cell r="U45">
            <v>-7935.4455724693325</v>
          </cell>
          <cell r="V45">
            <v>-8752.9576779465424</v>
          </cell>
          <cell r="W45">
            <v>-9578.8992609874949</v>
          </cell>
        </row>
        <row r="46">
          <cell r="D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</row>
        <row r="47">
          <cell r="C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</row>
        <row r="48">
          <cell r="B48" t="str">
            <v>D - VALEUR RESIDUELLE :</v>
          </cell>
          <cell r="H48" t="str">
            <v xml:space="preserve"> Valeur de référence :</v>
          </cell>
          <cell r="L48" t="str">
            <v/>
          </cell>
          <cell r="O48" t="str">
            <v>Val. rés. en % de la</v>
          </cell>
          <cell r="S48" t="str">
            <v>Valeur</v>
          </cell>
          <cell r="V48" t="str">
            <v>Valeur résiduelle:</v>
          </cell>
        </row>
        <row r="49">
          <cell r="H49" t="str">
            <v>'inflaté' ou 'comptable'</v>
          </cell>
          <cell r="L49" t="str">
            <v/>
          </cell>
          <cell r="O49" t="str">
            <v>valeur de référence:</v>
          </cell>
          <cell r="S49" t="str">
            <v>résiduelle:</v>
          </cell>
          <cell r="V49" t="str">
            <v>en monnaie const:</v>
          </cell>
        </row>
        <row r="50">
          <cell r="D50" t="str">
            <v>Actifs</v>
          </cell>
          <cell r="H50" t="str">
            <v>comptable</v>
          </cell>
          <cell r="O50">
            <v>1</v>
          </cell>
          <cell r="S50">
            <v>2757.7681951397044</v>
          </cell>
          <cell r="T50" t="str">
            <v>KUSD</v>
          </cell>
          <cell r="V50">
            <v>2375.4021865819909</v>
          </cell>
        </row>
        <row r="51">
          <cell r="D51" t="str">
            <v>Terrains</v>
          </cell>
          <cell r="H51" t="str">
            <v>inflatée</v>
          </cell>
          <cell r="O51">
            <v>1</v>
          </cell>
          <cell r="S51">
            <v>0</v>
          </cell>
          <cell r="T51" t="str">
            <v>KUSD</v>
          </cell>
          <cell r="V51">
            <v>0</v>
          </cell>
        </row>
        <row r="52">
          <cell r="D52">
            <v>0</v>
          </cell>
          <cell r="H52" t="str">
            <v/>
          </cell>
          <cell r="L52">
            <v>0</v>
          </cell>
          <cell r="M52" t="str">
            <v/>
          </cell>
          <cell r="O52">
            <v>0</v>
          </cell>
          <cell r="S52">
            <v>0</v>
          </cell>
          <cell r="T52" t="str">
            <v>KUSD</v>
          </cell>
          <cell r="U52" t="str">
            <v/>
          </cell>
          <cell r="V52">
            <v>0</v>
          </cell>
        </row>
        <row r="53">
          <cell r="D53" t="str">
            <v>Besoin en Fonds de Roulement</v>
          </cell>
          <cell r="H53" t="str">
            <v>comptable</v>
          </cell>
          <cell r="O53">
            <v>1</v>
          </cell>
          <cell r="S53">
            <v>17511.351233862795</v>
          </cell>
          <cell r="T53" t="str">
            <v>KUSD</v>
          </cell>
          <cell r="U53" t="str">
            <v/>
          </cell>
          <cell r="V53">
            <v>15083.393188823004</v>
          </cell>
        </row>
        <row r="56">
          <cell r="B56" t="str">
            <v>III - PROJECTION des COMPTES en monnaie courante</v>
          </cell>
          <cell r="U56" t="str">
            <v>TLSA</v>
          </cell>
        </row>
        <row r="58">
          <cell r="D58" t="str">
            <v>TRI : 14,0%</v>
          </cell>
          <cell r="H58">
            <v>0</v>
          </cell>
          <cell r="I58">
            <v>1</v>
          </cell>
          <cell r="J58">
            <v>2</v>
          </cell>
          <cell r="K58">
            <v>3</v>
          </cell>
          <cell r="L58">
            <v>4</v>
          </cell>
          <cell r="M58">
            <v>5</v>
          </cell>
          <cell r="N58">
            <v>6</v>
          </cell>
          <cell r="O58">
            <v>7</v>
          </cell>
          <cell r="P58">
            <v>8</v>
          </cell>
          <cell r="Q58">
            <v>9</v>
          </cell>
          <cell r="R58">
            <v>10</v>
          </cell>
          <cell r="S58">
            <v>11</v>
          </cell>
          <cell r="T58">
            <v>12</v>
          </cell>
          <cell r="U58">
            <v>13</v>
          </cell>
          <cell r="V58">
            <v>14</v>
          </cell>
          <cell r="W58">
            <v>15</v>
          </cell>
        </row>
        <row r="60">
          <cell r="B60" t="str">
            <v>A - PLAN DE FINANCEMENT :</v>
          </cell>
        </row>
        <row r="61">
          <cell r="C61" t="str">
            <v>Trésorerie au 1/1/n (1)</v>
          </cell>
          <cell r="H61">
            <v>0</v>
          </cell>
          <cell r="I61">
            <v>-792.56906249999997</v>
          </cell>
          <cell r="J61">
            <v>-3889.3414001072251</v>
          </cell>
          <cell r="K61">
            <v>-10029.929922503865</v>
          </cell>
          <cell r="L61">
            <v>-12719.247093577811</v>
          </cell>
          <cell r="M61">
            <v>-12863.087356434911</v>
          </cell>
          <cell r="N61">
            <v>-12510.752874368534</v>
          </cell>
          <cell r="O61">
            <v>-12298.051869768142</v>
          </cell>
          <cell r="P61">
            <v>-10851.99125150808</v>
          </cell>
          <cell r="Q61">
            <v>-8383.4587418764004</v>
          </cell>
          <cell r="R61">
            <v>-5330.5054021461419</v>
          </cell>
          <cell r="S61">
            <v>-1601.3043125951967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</row>
        <row r="62">
          <cell r="D62" t="str">
            <v>Investissements</v>
          </cell>
          <cell r="H62">
            <v>0</v>
          </cell>
          <cell r="I62">
            <v>-2475.93824</v>
          </cell>
          <cell r="J62">
            <v>-5127.8825442999996</v>
          </cell>
          <cell r="K62">
            <v>-277.97520980000002</v>
          </cell>
          <cell r="L62">
            <v>-166.4966416</v>
          </cell>
          <cell r="M62">
            <v>-115.61110551099999</v>
          </cell>
          <cell r="N62">
            <v>-818.6061254180695</v>
          </cell>
          <cell r="O62">
            <v>-392.13886570989939</v>
          </cell>
          <cell r="P62">
            <v>-243.31790175462956</v>
          </cell>
          <cell r="Q62">
            <v>-120.30537999527969</v>
          </cell>
          <cell r="R62">
            <v>-121.50843379523249</v>
          </cell>
          <cell r="S62">
            <v>-878.77179260778985</v>
          </cell>
          <cell r="T62">
            <v>-1088.2369069751005</v>
          </cell>
          <cell r="U62">
            <v>-255.72956011336015</v>
          </cell>
          <cell r="V62">
            <v>-126.44216345613846</v>
          </cell>
          <cell r="W62">
            <v>-127.70658509069986</v>
          </cell>
        </row>
        <row r="63">
          <cell r="D63" t="str">
            <v>Variation du BFR</v>
          </cell>
          <cell r="H63">
            <v>-1585.1381249999999</v>
          </cell>
          <cell r="I63">
            <v>-15.851381250000031</v>
          </cell>
          <cell r="J63">
            <v>-918.83456079531243</v>
          </cell>
          <cell r="K63">
            <v>-2812.7008377755374</v>
          </cell>
          <cell r="L63">
            <v>-1451.8845302518648</v>
          </cell>
          <cell r="M63">
            <v>-1479.127439097233</v>
          </cell>
          <cell r="N63">
            <v>-1378.2190628104399</v>
          </cell>
          <cell r="O63">
            <v>-1277.1207658132498</v>
          </cell>
          <cell r="P63">
            <v>-1030.0095562637234</v>
          </cell>
          <cell r="Q63">
            <v>-1140.385662433926</v>
          </cell>
          <cell r="R63">
            <v>-1262.9094869139553</v>
          </cell>
          <cell r="S63">
            <v>-785.66990292284027</v>
          </cell>
          <cell r="T63">
            <v>-831.50114727352411</v>
          </cell>
          <cell r="U63">
            <v>-491.79389953660939</v>
          </cell>
          <cell r="V63">
            <v>-513.61744716266548</v>
          </cell>
          <cell r="W63">
            <v>-536.58742856191384</v>
          </cell>
        </row>
        <row r="64">
          <cell r="D64" t="str">
            <v>EBE comptable (EBE + effet de stock)</v>
          </cell>
          <cell r="H64">
            <v>0</v>
          </cell>
          <cell r="I64">
            <v>-547.18135262133319</v>
          </cell>
          <cell r="J64">
            <v>77.971438533376514</v>
          </cell>
          <cell r="K64">
            <v>682.2129137371677</v>
          </cell>
          <cell r="L64">
            <v>1790.3721985010968</v>
          </cell>
          <cell r="M64">
            <v>2802.1217730048916</v>
          </cell>
          <cell r="N64">
            <v>3680.5769223407383</v>
          </cell>
          <cell r="O64">
            <v>4736.2659032971806</v>
          </cell>
          <cell r="P64">
            <v>5653.6228381148421</v>
          </cell>
          <cell r="Q64">
            <v>6466.5933438723605</v>
          </cell>
          <cell r="R64">
            <v>7619.5745244329401</v>
          </cell>
          <cell r="S64">
            <v>8203.3371276600774</v>
          </cell>
          <cell r="T64">
            <v>8823.1980835847444</v>
          </cell>
          <cell r="U64">
            <v>9102.0278971996286</v>
          </cell>
          <cell r="V64">
            <v>9393.7079134977175</v>
          </cell>
          <cell r="W64">
            <v>9700.3956548433453</v>
          </cell>
        </row>
        <row r="65">
          <cell r="D65" t="str">
            <v>Gains / Pertes de change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</row>
        <row r="66">
          <cell r="C66" t="str">
            <v>Trésorerie au 31/12/n (2)</v>
          </cell>
          <cell r="H66">
            <v>-1585.1381249999999</v>
          </cell>
          <cell r="I66">
            <v>-3831.5400363713334</v>
          </cell>
          <cell r="J66">
            <v>-9858.0870666691608</v>
          </cell>
          <cell r="K66">
            <v>-12438.393056342235</v>
          </cell>
          <cell r="L66">
            <v>-12547.256066928581</v>
          </cell>
          <cell r="M66">
            <v>-11655.704128038251</v>
          </cell>
          <cell r="N66">
            <v>-11027.001140256305</v>
          </cell>
          <cell r="O66">
            <v>-9231.0455979941107</v>
          </cell>
          <cell r="P66">
            <v>-6471.6958714115908</v>
          </cell>
          <cell r="Q66">
            <v>-3177.5564404332454</v>
          </cell>
          <cell r="R66">
            <v>904.65120157761066</v>
          </cell>
          <cell r="S66">
            <v>4937.5911195342505</v>
          </cell>
          <cell r="T66">
            <v>6903.46002933612</v>
          </cell>
          <cell r="U66">
            <v>8354.5044375496582</v>
          </cell>
          <cell r="V66">
            <v>8753.6483028789135</v>
          </cell>
          <cell r="W66">
            <v>9036.1016411907312</v>
          </cell>
        </row>
        <row r="67">
          <cell r="D67" t="str">
            <v>Frais financier sur moyenne (1)+(2)</v>
          </cell>
          <cell r="I67">
            <v>-57.80136373589167</v>
          </cell>
          <cell r="J67">
            <v>-171.84285583470484</v>
          </cell>
          <cell r="K67">
            <v>-280.85403723557624</v>
          </cell>
          <cell r="L67">
            <v>-315.83128950632994</v>
          </cell>
          <cell r="M67">
            <v>-306.48489355591454</v>
          </cell>
          <cell r="N67">
            <v>-294.22192518281048</v>
          </cell>
          <cell r="O67">
            <v>-269.11371834702817</v>
          </cell>
          <cell r="P67">
            <v>-216.54608903649589</v>
          </cell>
          <cell r="Q67">
            <v>-144.51268977887057</v>
          </cell>
          <cell r="R67">
            <v>-55.323177507106642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</row>
        <row r="68">
          <cell r="D68" t="str">
            <v>Impôt à imputer au projet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-548.56385277436868</v>
          </cell>
          <cell r="N68">
            <v>-976.82880432902755</v>
          </cell>
          <cell r="O68">
            <v>-1351.8319351669411</v>
          </cell>
          <cell r="P68">
            <v>-1695.2167814283139</v>
          </cell>
          <cell r="Q68">
            <v>-2008.4362719340256</v>
          </cell>
          <cell r="R68">
            <v>-2450.6323366657007</v>
          </cell>
          <cell r="S68">
            <v>-2676.7143404475246</v>
          </cell>
          <cell r="T68">
            <v>-2891.9944220450061</v>
          </cell>
          <cell r="U68">
            <v>-2971.7863978183514</v>
          </cell>
          <cell r="V68">
            <v>-3072.8509580137479</v>
          </cell>
          <cell r="W68">
            <v>-3179.7168939267972</v>
          </cell>
        </row>
        <row r="69">
          <cell r="D69" t="str">
            <v>Dividendes/apport en capital</v>
          </cell>
          <cell r="H69">
            <v>792.56906249999997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-2260.8767790867259</v>
          </cell>
          <cell r="T69">
            <v>-4011.4656072911139</v>
          </cell>
          <cell r="U69">
            <v>-5382.7180397313068</v>
          </cell>
          <cell r="V69">
            <v>-5680.7973448651655</v>
          </cell>
          <cell r="W69">
            <v>-26125.504176266433</v>
          </cell>
        </row>
        <row r="70">
          <cell r="D70" t="str">
            <v>Valeur résiduelle</v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/>
          </cell>
          <cell r="M70" t="str">
            <v/>
          </cell>
          <cell r="N70" t="str">
            <v/>
          </cell>
          <cell r="O70" t="str">
            <v/>
          </cell>
          <cell r="P70" t="str">
            <v/>
          </cell>
          <cell r="Q70" t="str">
            <v/>
          </cell>
          <cell r="R70" t="str">
            <v/>
          </cell>
          <cell r="S70" t="str">
            <v/>
          </cell>
          <cell r="T70" t="str">
            <v/>
          </cell>
          <cell r="U70" t="str">
            <v/>
          </cell>
          <cell r="V70" t="str">
            <v/>
          </cell>
          <cell r="W70">
            <v>20269.119429002501</v>
          </cell>
        </row>
        <row r="71">
          <cell r="C71" t="str">
            <v>Trésorerie au 1/1/n+1</v>
          </cell>
          <cell r="H71">
            <v>-792.56906249999997</v>
          </cell>
          <cell r="I71">
            <v>-3889.3414001072251</v>
          </cell>
          <cell r="J71">
            <v>-10029.929922503865</v>
          </cell>
          <cell r="K71">
            <v>-12719.247093577811</v>
          </cell>
          <cell r="L71">
            <v>-12863.087356434911</v>
          </cell>
          <cell r="M71">
            <v>-12510.752874368534</v>
          </cell>
          <cell r="N71">
            <v>-12298.051869768142</v>
          </cell>
          <cell r="O71">
            <v>-10851.99125150808</v>
          </cell>
          <cell r="P71">
            <v>-8383.4587418764004</v>
          </cell>
          <cell r="Q71">
            <v>-5330.5054021461419</v>
          </cell>
          <cell r="R71">
            <v>-1601.3043125951967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</row>
        <row r="73">
          <cell r="B73" t="str">
            <v>B - COMPTE DE RESULTAT :</v>
          </cell>
        </row>
        <row r="74">
          <cell r="D74" t="str">
            <v>Excédent brut d'exploitation instantané</v>
          </cell>
          <cell r="H74">
            <v>0</v>
          </cell>
          <cell r="I74">
            <v>-547.18135262133319</v>
          </cell>
          <cell r="J74">
            <v>72.165762845876557</v>
          </cell>
          <cell r="K74">
            <v>673.07526401134999</v>
          </cell>
          <cell r="L74">
            <v>1771.0348386545468</v>
          </cell>
          <cell r="M74">
            <v>2777.5194375383048</v>
          </cell>
          <cell r="N74">
            <v>3650.6108201671514</v>
          </cell>
          <cell r="O74">
            <v>4701.3019589305177</v>
          </cell>
          <cell r="P74">
            <v>5614.0276647793835</v>
          </cell>
          <cell r="Q74">
            <v>6423.2630420958039</v>
          </cell>
          <cell r="R74">
            <v>7572.1088368284818</v>
          </cell>
          <cell r="S74">
            <v>8151.2917455135457</v>
          </cell>
          <cell r="T74">
            <v>8768.3036230176531</v>
          </cell>
          <cell r="U74">
            <v>9044.1181601575772</v>
          </cell>
          <cell r="V74">
            <v>9334.0147819520462</v>
          </cell>
          <cell r="W74">
            <v>9638.8399899618653</v>
          </cell>
        </row>
        <row r="75">
          <cell r="D75" t="str">
            <v>Effet de stock</v>
          </cell>
          <cell r="I75">
            <v>0</v>
          </cell>
          <cell r="J75">
            <v>5.8056756874999564</v>
          </cell>
          <cell r="K75">
            <v>9.1376497258177096</v>
          </cell>
          <cell r="L75">
            <v>19.337359846550044</v>
          </cell>
          <cell r="M75">
            <v>24.602335466586737</v>
          </cell>
          <cell r="N75">
            <v>29.966102173586933</v>
          </cell>
          <cell r="O75">
            <v>34.963944366662872</v>
          </cell>
          <cell r="P75">
            <v>39.595173335458639</v>
          </cell>
          <cell r="Q75">
            <v>43.330301776556553</v>
          </cell>
          <cell r="R75">
            <v>47.465687604458253</v>
          </cell>
          <cell r="S75">
            <v>52.045382146531665</v>
          </cell>
          <cell r="T75">
            <v>54.894460567091301</v>
          </cell>
          <cell r="U75">
            <v>57.909737042051347</v>
          </cell>
          <cell r="V75">
            <v>59.693131545672259</v>
          </cell>
          <cell r="W75">
            <v>61.55566488147997</v>
          </cell>
        </row>
        <row r="76">
          <cell r="D76" t="str">
            <v>Amortissements fiscaux</v>
          </cell>
          <cell r="I76">
            <v>0</v>
          </cell>
          <cell r="J76">
            <v>-239.41013333333333</v>
          </cell>
          <cell r="K76">
            <v>-608.63366666666661</v>
          </cell>
          <cell r="L76">
            <v>-641.26033333333328</v>
          </cell>
          <cell r="M76">
            <v>-652.36010943999997</v>
          </cell>
          <cell r="N76">
            <v>-660.06751647406657</v>
          </cell>
          <cell r="O76">
            <v>-694.24697934886581</v>
          </cell>
          <cell r="P76">
            <v>-705.79910065994284</v>
          </cell>
          <cell r="Q76">
            <v>-716.6207826616569</v>
          </cell>
          <cell r="R76">
            <v>-724.64114132800887</v>
          </cell>
          <cell r="S76">
            <v>-732.74170358102447</v>
          </cell>
          <cell r="T76">
            <v>-751.76514458109921</v>
          </cell>
          <cell r="U76">
            <v>-807.89896106133381</v>
          </cell>
          <cell r="V76">
            <v>-817.51210547720939</v>
          </cell>
          <cell r="W76">
            <v>-825.94158304095197</v>
          </cell>
        </row>
        <row r="77">
          <cell r="D77" t="str">
            <v>Charges d'emprunt</v>
          </cell>
          <cell r="H77">
            <v>0</v>
          </cell>
          <cell r="I77">
            <v>-57.80136373589167</v>
          </cell>
          <cell r="J77">
            <v>-171.84285583470484</v>
          </cell>
          <cell r="K77">
            <v>-280.85403723557624</v>
          </cell>
          <cell r="L77">
            <v>-315.83128950632994</v>
          </cell>
          <cell r="M77">
            <v>-306.48489355591454</v>
          </cell>
          <cell r="N77">
            <v>-294.22192518281048</v>
          </cell>
          <cell r="O77">
            <v>-269.11371834702817</v>
          </cell>
          <cell r="P77">
            <v>-216.54608903649589</v>
          </cell>
          <cell r="Q77">
            <v>-144.51268977887057</v>
          </cell>
          <cell r="R77">
            <v>-55.323177507106642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</row>
        <row r="78">
          <cell r="D78" t="str">
            <v>Gains / Pertes de change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</row>
        <row r="79">
          <cell r="C79" t="str">
            <v>Résultat avant impôt</v>
          </cell>
          <cell r="H79">
            <v>0</v>
          </cell>
          <cell r="I79">
            <v>-604.98271635722483</v>
          </cell>
          <cell r="J79">
            <v>-333.28155063466164</v>
          </cell>
          <cell r="K79">
            <v>-207.27479016507516</v>
          </cell>
          <cell r="L79">
            <v>833.28057566143343</v>
          </cell>
          <cell r="M79">
            <v>1843.2767700089769</v>
          </cell>
          <cell r="N79">
            <v>2726.2874806838613</v>
          </cell>
          <cell r="O79">
            <v>3772.9052056012865</v>
          </cell>
          <cell r="P79">
            <v>4731.2776484184033</v>
          </cell>
          <cell r="Q79">
            <v>5605.4598714318327</v>
          </cell>
          <cell r="R79">
            <v>6839.6102055978254</v>
          </cell>
          <cell r="S79">
            <v>7470.5954240790525</v>
          </cell>
          <cell r="T79">
            <v>8071.4329390036455</v>
          </cell>
          <cell r="U79">
            <v>8294.1289361382951</v>
          </cell>
          <cell r="V79">
            <v>8576.1958080205077</v>
          </cell>
          <cell r="W79">
            <v>8874.4540718023927</v>
          </cell>
        </row>
        <row r="80">
          <cell r="D80" t="str">
            <v>Impôt à imputer au projet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-548.56385277436868</v>
          </cell>
          <cell r="N80">
            <v>-976.82880432902755</v>
          </cell>
          <cell r="O80">
            <v>-1351.8319351669411</v>
          </cell>
          <cell r="P80">
            <v>-1695.2167814283139</v>
          </cell>
          <cell r="Q80">
            <v>-2008.4362719340256</v>
          </cell>
          <cell r="R80">
            <v>-2450.6323366657007</v>
          </cell>
          <cell r="S80">
            <v>-2676.7143404475246</v>
          </cell>
          <cell r="T80">
            <v>-2891.9944220450061</v>
          </cell>
          <cell r="U80">
            <v>-2971.7863978183514</v>
          </cell>
          <cell r="V80">
            <v>-3072.8509580137479</v>
          </cell>
          <cell r="W80">
            <v>-3179.7168939267972</v>
          </cell>
        </row>
        <row r="81">
          <cell r="D81" t="str">
            <v>Charges d'emprunt</v>
          </cell>
          <cell r="I81" t="b">
            <v>0</v>
          </cell>
          <cell r="J81" t="b">
            <v>0</v>
          </cell>
          <cell r="K81" t="b">
            <v>0</v>
          </cell>
          <cell r="L81" t="b">
            <v>0</v>
          </cell>
          <cell r="M81" t="b">
            <v>0</v>
          </cell>
          <cell r="N81" t="b">
            <v>0</v>
          </cell>
          <cell r="O81" t="b">
            <v>0</v>
          </cell>
          <cell r="P81" t="b">
            <v>0</v>
          </cell>
          <cell r="Q81" t="b">
            <v>0</v>
          </cell>
          <cell r="R81" t="b">
            <v>0</v>
          </cell>
          <cell r="S81" t="b">
            <v>0</v>
          </cell>
          <cell r="T81" t="b">
            <v>0</v>
          </cell>
          <cell r="U81" t="b">
            <v>0</v>
          </cell>
          <cell r="V81" t="b">
            <v>0</v>
          </cell>
          <cell r="W81" t="b">
            <v>0</v>
          </cell>
        </row>
        <row r="82">
          <cell r="D82" t="str">
            <v>Gains / Pertes de change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</row>
        <row r="83">
          <cell r="C83" t="str">
            <v>Résultat après impôt</v>
          </cell>
          <cell r="H83">
            <v>0</v>
          </cell>
          <cell r="I83">
            <v>-604.98271635722483</v>
          </cell>
          <cell r="J83">
            <v>-333.28155063466164</v>
          </cell>
          <cell r="K83">
            <v>-207.27479016507516</v>
          </cell>
          <cell r="L83">
            <v>833.28057566143343</v>
          </cell>
          <cell r="M83">
            <v>1294.7129172346081</v>
          </cell>
          <cell r="N83">
            <v>1749.4586763548336</v>
          </cell>
          <cell r="O83">
            <v>2421.0732704343454</v>
          </cell>
          <cell r="P83">
            <v>3036.0608669900894</v>
          </cell>
          <cell r="Q83">
            <v>3597.023599497807</v>
          </cell>
          <cell r="R83">
            <v>4388.9778689321247</v>
          </cell>
          <cell r="S83">
            <v>4793.8810836315279</v>
          </cell>
          <cell r="T83">
            <v>5179.4385169586394</v>
          </cell>
          <cell r="U83">
            <v>5322.3425383199437</v>
          </cell>
          <cell r="V83">
            <v>5503.3448500067598</v>
          </cell>
          <cell r="W83">
            <v>5694.7371778755951</v>
          </cell>
        </row>
        <row r="85">
          <cell r="B85" t="str">
            <v>C - BILAN au 31/12/n après répartition:</v>
          </cell>
        </row>
        <row r="86">
          <cell r="B86" t="str">
            <v>ACTIF</v>
          </cell>
        </row>
        <row r="87">
          <cell r="C87" t="str">
            <v>Actif immobilisé brut</v>
          </cell>
          <cell r="H87">
            <v>0</v>
          </cell>
          <cell r="I87">
            <v>2475.93824</v>
          </cell>
          <cell r="J87">
            <v>7603.8207843</v>
          </cell>
          <cell r="K87">
            <v>7881.7959940999999</v>
          </cell>
          <cell r="L87">
            <v>8048.2926356999997</v>
          </cell>
          <cell r="M87">
            <v>8163.9037412109992</v>
          </cell>
          <cell r="N87">
            <v>8982.5098666290687</v>
          </cell>
          <cell r="O87">
            <v>9374.6487323389683</v>
          </cell>
          <cell r="P87">
            <v>9617.9666340935983</v>
          </cell>
          <cell r="Q87">
            <v>9738.2720140888778</v>
          </cell>
          <cell r="R87">
            <v>9859.7804478841099</v>
          </cell>
          <cell r="S87">
            <v>10738.552240491899</v>
          </cell>
          <cell r="T87">
            <v>11826.789147467</v>
          </cell>
          <cell r="U87">
            <v>12082.518707580361</v>
          </cell>
          <cell r="V87">
            <v>12208.960871036499</v>
          </cell>
          <cell r="W87">
            <v>12336.667456127199</v>
          </cell>
        </row>
        <row r="88">
          <cell r="D88" t="str">
            <v>Amortissements cumulés</v>
          </cell>
          <cell r="H88">
            <v>0</v>
          </cell>
          <cell r="I88">
            <v>0</v>
          </cell>
          <cell r="J88">
            <v>-239.41013333333333</v>
          </cell>
          <cell r="K88">
            <v>-848.04379999999992</v>
          </cell>
          <cell r="L88">
            <v>-1489.3041333333331</v>
          </cell>
          <cell r="M88">
            <v>-2141.6642427733332</v>
          </cell>
          <cell r="N88">
            <v>-2801.7317592473996</v>
          </cell>
          <cell r="O88">
            <v>-3495.9787385962654</v>
          </cell>
          <cell r="P88">
            <v>-4201.7778392562086</v>
          </cell>
          <cell r="Q88">
            <v>-4918.398621917866</v>
          </cell>
          <cell r="R88">
            <v>-5643.0397632458753</v>
          </cell>
          <cell r="S88">
            <v>-6375.7814668269002</v>
          </cell>
          <cell r="T88">
            <v>-7127.5466114079991</v>
          </cell>
          <cell r="U88">
            <v>-7935.4455724693325</v>
          </cell>
          <cell r="V88">
            <v>-8752.9576779465424</v>
          </cell>
          <cell r="W88">
            <v>-9578.8992609874949</v>
          </cell>
        </row>
        <row r="89">
          <cell r="C89" t="str">
            <v>Actif immobilisé net</v>
          </cell>
          <cell r="H89">
            <v>0</v>
          </cell>
          <cell r="I89">
            <v>2475.93824</v>
          </cell>
          <cell r="J89">
            <v>7364.4106509666663</v>
          </cell>
          <cell r="K89">
            <v>7033.7521940999995</v>
          </cell>
          <cell r="L89">
            <v>6558.9885023666666</v>
          </cell>
          <cell r="M89">
            <v>6022.239498437666</v>
          </cell>
          <cell r="N89">
            <v>6180.7781073816695</v>
          </cell>
          <cell r="O89">
            <v>5878.6699937427029</v>
          </cell>
          <cell r="P89">
            <v>5416.1887948373897</v>
          </cell>
          <cell r="Q89">
            <v>4819.8733921710118</v>
          </cell>
          <cell r="R89">
            <v>4216.7406846382346</v>
          </cell>
          <cell r="S89">
            <v>4362.7707736649991</v>
          </cell>
          <cell r="T89">
            <v>4699.2425360590005</v>
          </cell>
          <cell r="U89">
            <v>4147.073135111028</v>
          </cell>
          <cell r="V89">
            <v>3456.0031930899568</v>
          </cell>
          <cell r="W89">
            <v>2757.7681951397044</v>
          </cell>
        </row>
        <row r="90">
          <cell r="D90" t="str">
            <v>Variation du BFR</v>
          </cell>
          <cell r="H90">
            <v>1585.1381249999999</v>
          </cell>
          <cell r="I90">
            <v>1600.98950625</v>
          </cell>
          <cell r="J90">
            <v>2519.8240670453124</v>
          </cell>
          <cell r="K90">
            <v>5332.5249048208498</v>
          </cell>
          <cell r="L90">
            <v>6784.4094350727146</v>
          </cell>
          <cell r="M90">
            <v>8263.5368741699476</v>
          </cell>
          <cell r="N90">
            <v>9641.7559369803876</v>
          </cell>
          <cell r="O90">
            <v>10918.876702793637</v>
          </cell>
          <cell r="P90">
            <v>11948.886259057361</v>
          </cell>
          <cell r="Q90">
            <v>13089.271921491287</v>
          </cell>
          <cell r="R90">
            <v>14352.181408405242</v>
          </cell>
          <cell r="S90">
            <v>15137.851311328082</v>
          </cell>
          <cell r="T90">
            <v>15969.352458601606</v>
          </cell>
          <cell r="U90">
            <v>16461.146358138216</v>
          </cell>
          <cell r="V90">
            <v>16974.763805300881</v>
          </cell>
          <cell r="W90">
            <v>17511.351233862795</v>
          </cell>
        </row>
        <row r="91">
          <cell r="H91">
            <v>1585.1381249999999</v>
          </cell>
          <cell r="I91">
            <v>4076.9277462499999</v>
          </cell>
          <cell r="J91">
            <v>9884.2347180119796</v>
          </cell>
          <cell r="K91">
            <v>12366.277098920849</v>
          </cell>
          <cell r="L91">
            <v>13343.397937439382</v>
          </cell>
          <cell r="M91">
            <v>14285.776372607614</v>
          </cell>
          <cell r="N91">
            <v>15822.534044362057</v>
          </cell>
          <cell r="O91">
            <v>16797.546696536341</v>
          </cell>
          <cell r="P91">
            <v>17365.07505389475</v>
          </cell>
          <cell r="Q91">
            <v>17909.145313662299</v>
          </cell>
          <cell r="R91">
            <v>18568.922093043475</v>
          </cell>
          <cell r="S91">
            <v>19500.622084993083</v>
          </cell>
          <cell r="T91">
            <v>20668.594994660605</v>
          </cell>
          <cell r="U91">
            <v>20608.219493249242</v>
          </cell>
          <cell r="V91">
            <v>20430.766998390838</v>
          </cell>
          <cell r="W91">
            <v>20269.119429002501</v>
          </cell>
        </row>
        <row r="92">
          <cell r="B92" t="str">
            <v>PASSIF</v>
          </cell>
        </row>
        <row r="93">
          <cell r="C93" t="str">
            <v>Situation nette au 1/1/n</v>
          </cell>
          <cell r="H93">
            <v>0</v>
          </cell>
          <cell r="I93">
            <v>792.56906249999997</v>
          </cell>
          <cell r="J93">
            <v>187.58634614277514</v>
          </cell>
          <cell r="K93">
            <v>-145.6952044918865</v>
          </cell>
          <cell r="L93">
            <v>-352.96999465696166</v>
          </cell>
          <cell r="M93">
            <v>480.31058100447177</v>
          </cell>
          <cell r="N93">
            <v>1775.0234982390798</v>
          </cell>
          <cell r="O93">
            <v>3524.4821745939134</v>
          </cell>
          <cell r="P93">
            <v>5945.5554450282589</v>
          </cell>
          <cell r="Q93">
            <v>8981.6163120183483</v>
          </cell>
          <cell r="R93">
            <v>12578.639911516155</v>
          </cell>
          <cell r="S93">
            <v>16967.61778044828</v>
          </cell>
          <cell r="T93">
            <v>19500.622084993083</v>
          </cell>
          <cell r="U93">
            <v>20668.594994660609</v>
          </cell>
          <cell r="V93">
            <v>20608.219493249246</v>
          </cell>
          <cell r="W93">
            <v>20430.766998390842</v>
          </cell>
        </row>
        <row r="94">
          <cell r="D94" t="str">
            <v>Résultat après impôt</v>
          </cell>
          <cell r="H94">
            <v>0</v>
          </cell>
          <cell r="I94">
            <v>-604.98271635722483</v>
          </cell>
          <cell r="J94">
            <v>-333.28155063466164</v>
          </cell>
          <cell r="K94">
            <v>-207.27479016507516</v>
          </cell>
          <cell r="L94">
            <v>833.28057566143343</v>
          </cell>
          <cell r="M94">
            <v>1294.7129172346081</v>
          </cell>
          <cell r="N94">
            <v>1749.4586763548336</v>
          </cell>
          <cell r="O94">
            <v>2421.0732704343454</v>
          </cell>
          <cell r="P94">
            <v>3036.0608669900894</v>
          </cell>
          <cell r="Q94">
            <v>3597.023599497807</v>
          </cell>
          <cell r="R94">
            <v>4388.9778689321247</v>
          </cell>
          <cell r="S94">
            <v>4793.8810836315279</v>
          </cell>
          <cell r="T94">
            <v>5179.4385169586394</v>
          </cell>
          <cell r="U94">
            <v>5322.3425383199437</v>
          </cell>
          <cell r="V94">
            <v>5503.3448500067598</v>
          </cell>
          <cell r="W94">
            <v>5694.7371778755951</v>
          </cell>
        </row>
        <row r="95">
          <cell r="D95" t="str">
            <v>Dividendes/apport en capital</v>
          </cell>
          <cell r="H95">
            <v>792.56906249999997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-2260.8767790867259</v>
          </cell>
          <cell r="T95">
            <v>-4011.4656072911139</v>
          </cell>
          <cell r="U95">
            <v>-5382.7180397313068</v>
          </cell>
          <cell r="V95">
            <v>-5680.7973448651655</v>
          </cell>
          <cell r="W95">
            <v>-26125.504176266433</v>
          </cell>
        </row>
        <row r="96">
          <cell r="C96" t="str">
            <v>Situation nette au 31/12/n</v>
          </cell>
          <cell r="H96">
            <v>792.56906249999997</v>
          </cell>
          <cell r="I96">
            <v>187.58634614277514</v>
          </cell>
          <cell r="J96">
            <v>-145.6952044918865</v>
          </cell>
          <cell r="K96">
            <v>-352.96999465696166</v>
          </cell>
          <cell r="L96">
            <v>480.31058100447177</v>
          </cell>
          <cell r="M96">
            <v>1775.0234982390798</v>
          </cell>
          <cell r="N96">
            <v>3524.4821745939134</v>
          </cell>
          <cell r="O96">
            <v>5945.5554450282589</v>
          </cell>
          <cell r="P96">
            <v>8981.6163120183483</v>
          </cell>
          <cell r="Q96">
            <v>12578.639911516155</v>
          </cell>
          <cell r="R96">
            <v>16967.61778044828</v>
          </cell>
          <cell r="S96">
            <v>19500.622084993083</v>
          </cell>
          <cell r="T96">
            <v>20668.594994660609</v>
          </cell>
          <cell r="U96">
            <v>20608.219493249246</v>
          </cell>
          <cell r="V96">
            <v>20430.766998390842</v>
          </cell>
          <cell r="W96">
            <v>0</v>
          </cell>
        </row>
        <row r="97">
          <cell r="D97" t="str">
            <v>Emprunt</v>
          </cell>
          <cell r="H97">
            <v>792.56906249999997</v>
          </cell>
          <cell r="I97">
            <v>3889.3414001072247</v>
          </cell>
          <cell r="J97">
            <v>10029.929922503867</v>
          </cell>
          <cell r="K97">
            <v>12719.247093577811</v>
          </cell>
          <cell r="L97">
            <v>12863.087356434909</v>
          </cell>
          <cell r="M97">
            <v>12510.752874368534</v>
          </cell>
          <cell r="N97">
            <v>12298.051869768144</v>
          </cell>
          <cell r="O97">
            <v>10851.991251508083</v>
          </cell>
          <cell r="P97">
            <v>8383.4587418764022</v>
          </cell>
          <cell r="Q97">
            <v>5330.5054021461438</v>
          </cell>
          <cell r="R97">
            <v>1601.3043125951954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20269.119429002501</v>
          </cell>
        </row>
        <row r="98">
          <cell r="H98">
            <v>1585.1381249999999</v>
          </cell>
          <cell r="I98">
            <v>4076.9277462499999</v>
          </cell>
          <cell r="J98">
            <v>9884.2347180119796</v>
          </cell>
          <cell r="K98">
            <v>12366.277098920849</v>
          </cell>
          <cell r="L98">
            <v>13343.397937439382</v>
          </cell>
          <cell r="M98">
            <v>14285.776372607614</v>
          </cell>
          <cell r="N98">
            <v>15822.534044362057</v>
          </cell>
          <cell r="O98">
            <v>16797.546696536341</v>
          </cell>
          <cell r="P98">
            <v>17365.07505389475</v>
          </cell>
          <cell r="Q98">
            <v>17909.145313662299</v>
          </cell>
          <cell r="R98">
            <v>18568.922093043475</v>
          </cell>
          <cell r="S98">
            <v>19500.622084993083</v>
          </cell>
          <cell r="T98">
            <v>20668.594994660609</v>
          </cell>
          <cell r="U98">
            <v>20608.219493249246</v>
          </cell>
          <cell r="V98">
            <v>20430.766998390842</v>
          </cell>
          <cell r="W98">
            <v>20269.119429002501</v>
          </cell>
        </row>
        <row r="101">
          <cell r="B101" t="str">
            <v>IV - ANALYSE de la RENTABILITE</v>
          </cell>
        </row>
        <row r="102">
          <cell r="U102" t="str">
            <v>TLSA</v>
          </cell>
        </row>
        <row r="103">
          <cell r="B103" t="str">
            <v>A - RENTABILITE ECONOMIQUE</v>
          </cell>
        </row>
        <row r="105">
          <cell r="D105" t="str">
            <v>TRI : 14,0%</v>
          </cell>
          <cell r="H105">
            <v>0</v>
          </cell>
          <cell r="I105">
            <v>1</v>
          </cell>
          <cell r="J105">
            <v>2</v>
          </cell>
          <cell r="K105">
            <v>3</v>
          </cell>
          <cell r="L105">
            <v>4</v>
          </cell>
          <cell r="M105">
            <v>5</v>
          </cell>
          <cell r="N105">
            <v>6</v>
          </cell>
          <cell r="O105">
            <v>7</v>
          </cell>
          <cell r="P105">
            <v>8</v>
          </cell>
          <cell r="Q105">
            <v>9</v>
          </cell>
          <cell r="R105">
            <v>10</v>
          </cell>
          <cell r="S105">
            <v>11</v>
          </cell>
          <cell r="T105">
            <v>12</v>
          </cell>
          <cell r="U105">
            <v>13</v>
          </cell>
          <cell r="V105">
            <v>14</v>
          </cell>
          <cell r="W105">
            <v>15</v>
          </cell>
        </row>
        <row r="106">
          <cell r="B106" t="str">
            <v>TABLEAU DES FLUX DE TRESORERIE :</v>
          </cell>
        </row>
        <row r="107">
          <cell r="B107" t="str">
            <v>EMPLOIS</v>
          </cell>
        </row>
        <row r="108">
          <cell r="C108" t="str">
            <v>Investissements</v>
          </cell>
          <cell r="H108">
            <v>0</v>
          </cell>
          <cell r="I108">
            <v>-2475.93824</v>
          </cell>
          <cell r="J108">
            <v>-5127.8825442999996</v>
          </cell>
          <cell r="K108">
            <v>-277.97520980000002</v>
          </cell>
          <cell r="L108">
            <v>-166.4966416</v>
          </cell>
          <cell r="M108">
            <v>-115.61110551099999</v>
          </cell>
          <cell r="N108">
            <v>-818.6061254180695</v>
          </cell>
          <cell r="O108">
            <v>-392.13886570989939</v>
          </cell>
          <cell r="P108">
            <v>-243.31790175462956</v>
          </cell>
          <cell r="Q108">
            <v>-120.30537999527969</v>
          </cell>
          <cell r="R108">
            <v>-121.50843379523249</v>
          </cell>
          <cell r="S108">
            <v>-878.77179260778985</v>
          </cell>
          <cell r="T108">
            <v>-1088.2369069751005</v>
          </cell>
          <cell r="U108">
            <v>-255.72956011336015</v>
          </cell>
          <cell r="V108">
            <v>-126.44216345613846</v>
          </cell>
          <cell r="W108">
            <v>-127.70658509069986</v>
          </cell>
        </row>
        <row r="109">
          <cell r="C109" t="str">
            <v>Variation du BFR</v>
          </cell>
          <cell r="H109">
            <v>-1585.1381249999999</v>
          </cell>
          <cell r="I109">
            <v>-15.851381250000031</v>
          </cell>
          <cell r="J109">
            <v>-918.83456079531243</v>
          </cell>
          <cell r="K109">
            <v>-2812.7008377755374</v>
          </cell>
          <cell r="L109">
            <v>-1451.8845302518648</v>
          </cell>
          <cell r="M109">
            <v>-1479.127439097233</v>
          </cell>
          <cell r="N109">
            <v>-1378.2190628104399</v>
          </cell>
          <cell r="O109">
            <v>-1277.1207658132498</v>
          </cell>
          <cell r="P109">
            <v>-1030.0095562637234</v>
          </cell>
          <cell r="Q109">
            <v>-1140.385662433926</v>
          </cell>
          <cell r="R109">
            <v>-1262.9094869139553</v>
          </cell>
          <cell r="S109">
            <v>-785.66990292284027</v>
          </cell>
          <cell r="T109">
            <v>-831.50114727352411</v>
          </cell>
          <cell r="U109">
            <v>-491.79389953660939</v>
          </cell>
          <cell r="V109">
            <v>-513.61744716266548</v>
          </cell>
          <cell r="W109">
            <v>-536.58742856191384</v>
          </cell>
        </row>
        <row r="110">
          <cell r="C110" t="str">
            <v>Impôt à imputer au projet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-548.56385277436868</v>
          </cell>
          <cell r="N110">
            <v>-976.82880432902755</v>
          </cell>
          <cell r="O110">
            <v>-1351.8319351669411</v>
          </cell>
          <cell r="P110">
            <v>-1695.2167814283139</v>
          </cell>
          <cell r="Q110">
            <v>-2008.4362719340256</v>
          </cell>
          <cell r="R110">
            <v>-2450.6323366657007</v>
          </cell>
          <cell r="S110">
            <v>-2676.7143404475246</v>
          </cell>
          <cell r="T110">
            <v>-2891.9944220450061</v>
          </cell>
          <cell r="U110">
            <v>-2971.7863978183514</v>
          </cell>
          <cell r="V110">
            <v>-3072.8509580137479</v>
          </cell>
          <cell r="W110">
            <v>-3179.7168939267972</v>
          </cell>
        </row>
        <row r="111">
          <cell r="B111" t="str">
            <v>RESSOURCES</v>
          </cell>
        </row>
        <row r="112">
          <cell r="C112" t="str">
            <v>EBE comptable (EBE + effet de stock)</v>
          </cell>
          <cell r="H112">
            <v>0</v>
          </cell>
          <cell r="I112">
            <v>-547.18135262133319</v>
          </cell>
          <cell r="J112">
            <v>77.971438533376514</v>
          </cell>
          <cell r="K112">
            <v>682.2129137371677</v>
          </cell>
          <cell r="L112">
            <v>1790.3721985010968</v>
          </cell>
          <cell r="M112">
            <v>2802.1217730048916</v>
          </cell>
          <cell r="N112">
            <v>3680.5769223407383</v>
          </cell>
          <cell r="O112">
            <v>4736.2659032971806</v>
          </cell>
          <cell r="P112">
            <v>5653.6228381148421</v>
          </cell>
          <cell r="Q112">
            <v>6466.5933438723605</v>
          </cell>
          <cell r="R112">
            <v>7619.5745244329401</v>
          </cell>
          <cell r="S112">
            <v>8203.3371276600774</v>
          </cell>
          <cell r="T112">
            <v>8823.1980835847444</v>
          </cell>
          <cell r="U112">
            <v>9102.0278971996286</v>
          </cell>
          <cell r="V112">
            <v>9393.7079134977175</v>
          </cell>
          <cell r="W112">
            <v>9700.3956548433453</v>
          </cell>
        </row>
        <row r="113">
          <cell r="C113" t="str">
            <v>Valeur résiduelle</v>
          </cell>
          <cell r="I113" t="str">
            <v/>
          </cell>
          <cell r="J113" t="str">
            <v/>
          </cell>
          <cell r="K113" t="str">
            <v/>
          </cell>
          <cell r="L113" t="str">
            <v/>
          </cell>
          <cell r="M113" t="str">
            <v/>
          </cell>
          <cell r="N113" t="str">
            <v/>
          </cell>
          <cell r="O113" t="str">
            <v/>
          </cell>
          <cell r="P113" t="str">
            <v/>
          </cell>
          <cell r="Q113" t="str">
            <v/>
          </cell>
          <cell r="R113" t="str">
            <v/>
          </cell>
          <cell r="S113" t="str">
            <v/>
          </cell>
          <cell r="T113" t="str">
            <v/>
          </cell>
          <cell r="U113" t="str">
            <v/>
          </cell>
          <cell r="V113" t="str">
            <v/>
          </cell>
          <cell r="W113">
            <v>20269.119429002501</v>
          </cell>
        </row>
        <row r="114">
          <cell r="B114" t="str">
            <v>NET CASH APRES IMPOT</v>
          </cell>
          <cell r="H114">
            <v>-1585.1381249999999</v>
          </cell>
          <cell r="I114">
            <v>-3038.9709738713332</v>
          </cell>
          <cell r="J114">
            <v>-5968.7456665619356</v>
          </cell>
          <cell r="K114">
            <v>-2408.4631338383697</v>
          </cell>
          <cell r="L114">
            <v>171.99102664923203</v>
          </cell>
          <cell r="M114">
            <v>658.81937562228995</v>
          </cell>
          <cell r="N114">
            <v>506.9229297832012</v>
          </cell>
          <cell r="O114">
            <v>1715.1743366070905</v>
          </cell>
          <cell r="P114">
            <v>2685.0785986681753</v>
          </cell>
          <cell r="Q114">
            <v>3197.4660295091289</v>
          </cell>
          <cell r="R114">
            <v>3784.5242670580515</v>
          </cell>
          <cell r="S114">
            <v>3862.1810916819231</v>
          </cell>
          <cell r="T114">
            <v>4011.4656072911139</v>
          </cell>
          <cell r="U114">
            <v>5382.7180397313077</v>
          </cell>
          <cell r="V114">
            <v>5680.7973448651655</v>
          </cell>
          <cell r="W114">
            <v>26125.504176266437</v>
          </cell>
        </row>
        <row r="115">
          <cell r="B115" t="str">
            <v>NC APRES IMPOT en monnaie cste</v>
          </cell>
          <cell r="H115">
            <v>-1585.1381249999999</v>
          </cell>
          <cell r="I115">
            <v>-3008.8821523478546</v>
          </cell>
          <cell r="J115">
            <v>-5851.1377968453444</v>
          </cell>
          <cell r="K115">
            <v>-2337.6305893504614</v>
          </cell>
          <cell r="L115">
            <v>165.27999603733221</v>
          </cell>
          <cell r="M115">
            <v>626.84403023511106</v>
          </cell>
          <cell r="N115">
            <v>477.54433064336752</v>
          </cell>
          <cell r="O115">
            <v>1599.7740707237672</v>
          </cell>
          <cell r="P115">
            <v>2479.6250369163781</v>
          </cell>
          <cell r="Q115">
            <v>2923.57052743447</v>
          </cell>
          <cell r="R115">
            <v>3426.0804486866778</v>
          </cell>
          <cell r="S115">
            <v>3461.7645138233165</v>
          </cell>
          <cell r="T115">
            <v>3559.972045368308</v>
          </cell>
          <cell r="U115">
            <v>4729.5930239409063</v>
          </cell>
          <cell r="V115">
            <v>4942.0833277021202</v>
          </cell>
          <cell r="W115">
            <v>22503.189301853716</v>
          </cell>
        </row>
        <row r="116">
          <cell r="B116" t="str">
            <v>RENTABILITE INTRINSEQUE :</v>
          </cell>
          <cell r="N116" t="str">
            <v>Taux de rentabilité interne en monnaie constante :</v>
          </cell>
          <cell r="O116">
            <v>0.14032351471029009</v>
          </cell>
          <cell r="R116" t="str">
            <v>Payback:</v>
          </cell>
          <cell r="S116">
            <v>11</v>
          </cell>
          <cell r="T116" t="str">
            <v>ans</v>
          </cell>
        </row>
        <row r="117">
          <cell r="N117" t="str">
            <v>Valeur actualisée nette à 11,0% :</v>
          </cell>
          <cell r="O117">
            <v>3361.8917304504698</v>
          </cell>
          <cell r="P117" t="str">
            <v>KUSD</v>
          </cell>
        </row>
        <row r="118">
          <cell r="B118" t="str">
            <v>SENSIBILITE VALEUR RESIDUELLE :</v>
          </cell>
        </row>
        <row r="119">
          <cell r="B119" t="str">
            <v>i)</v>
          </cell>
          <cell r="D119" t="str">
            <v>Rente actualisée à</v>
          </cell>
          <cell r="E119">
            <v>0.11</v>
          </cell>
          <cell r="F119">
            <v>10</v>
          </cell>
          <cell r="G119" t="str">
            <v>ans</v>
          </cell>
          <cell r="H119">
            <v>-1585.1381249999999</v>
          </cell>
          <cell r="I119">
            <v>-3008.8821523478546</v>
          </cell>
          <cell r="J119">
            <v>-5851.1377968453444</v>
          </cell>
          <cell r="K119">
            <v>-2337.6305893504614</v>
          </cell>
          <cell r="L119">
            <v>165.27999603733221</v>
          </cell>
          <cell r="M119">
            <v>626.84403023511106</v>
          </cell>
          <cell r="N119">
            <v>477.54433064336752</v>
          </cell>
          <cell r="O119">
            <v>1599.7740707237672</v>
          </cell>
          <cell r="P119">
            <v>2479.6250369163781</v>
          </cell>
          <cell r="Q119">
            <v>2923.57052743447</v>
          </cell>
          <cell r="R119">
            <v>3426.0804486866778</v>
          </cell>
          <cell r="S119">
            <v>3461.7645138233165</v>
          </cell>
          <cell r="T119">
            <v>3559.972045368308</v>
          </cell>
          <cell r="U119">
            <v>4729.5930239409063</v>
          </cell>
          <cell r="V119">
            <v>4942.0833277021202</v>
          </cell>
          <cell r="W119">
            <v>34752.000114896815</v>
          </cell>
        </row>
        <row r="120">
          <cell r="D120" t="str">
            <v>Cashflow monnaie constante</v>
          </cell>
          <cell r="E120">
            <v>5044.393926448718</v>
          </cell>
          <cell r="N120" t="str">
            <v>Taux de rentabilité interne en monnaie constante :</v>
          </cell>
          <cell r="O120">
            <v>0.15728953139118568</v>
          </cell>
        </row>
        <row r="121">
          <cell r="D121" t="str">
            <v>Valeur résiduelle</v>
          </cell>
          <cell r="E121">
            <v>29707.606188448095</v>
          </cell>
          <cell r="N121" t="str">
            <v>Valeur actualisée nette à 11,0% :</v>
          </cell>
          <cell r="O121">
            <v>5921.9464316739013</v>
          </cell>
          <cell r="P121" t="str">
            <v>KUSD</v>
          </cell>
        </row>
        <row r="122">
          <cell r="B122" t="str">
            <v>ii)</v>
          </cell>
          <cell r="D122" t="str">
            <v>EBE année 15 x</v>
          </cell>
          <cell r="E122">
            <v>5</v>
          </cell>
          <cell r="H122">
            <v>-1585.1381249999999</v>
          </cell>
          <cell r="I122">
            <v>-3008.8821523478546</v>
          </cell>
          <cell r="J122">
            <v>-5851.1377968453444</v>
          </cell>
          <cell r="K122">
            <v>-2337.6305893504614</v>
          </cell>
          <cell r="L122">
            <v>165.27999603733221</v>
          </cell>
          <cell r="M122">
            <v>626.84403023511106</v>
          </cell>
          <cell r="N122">
            <v>477.54433064336752</v>
          </cell>
          <cell r="O122">
            <v>1599.7740707237672</v>
          </cell>
          <cell r="P122">
            <v>2479.6250369163781</v>
          </cell>
          <cell r="Q122">
            <v>2923.57052743447</v>
          </cell>
          <cell r="R122">
            <v>3426.0804486866778</v>
          </cell>
          <cell r="S122">
            <v>3461.7645138233165</v>
          </cell>
          <cell r="T122">
            <v>3559.972045368308</v>
          </cell>
          <cell r="U122">
            <v>4729.5930239409063</v>
          </cell>
          <cell r="V122">
            <v>4942.0833277021202</v>
          </cell>
          <cell r="W122">
            <v>46556.442742990868</v>
          </cell>
        </row>
        <row r="123">
          <cell r="D123" t="str">
            <v>EBE année 15, inflaté</v>
          </cell>
          <cell r="E123">
            <v>8302.4097633084293</v>
          </cell>
          <cell r="N123" t="str">
            <v>Taux de rentabilité interne en monnaie constante :</v>
          </cell>
          <cell r="O123">
            <v>0.17078401175199187</v>
          </cell>
        </row>
        <row r="124">
          <cell r="D124" t="str">
            <v>Valeur résiduelle</v>
          </cell>
          <cell r="E124">
            <v>41512.048816542148</v>
          </cell>
          <cell r="N124" t="str">
            <v>Valeur actualisée nette à 11,0% :</v>
          </cell>
          <cell r="O124">
            <v>8389.1262507298688</v>
          </cell>
          <cell r="P124" t="str">
            <v>KUSD</v>
          </cell>
        </row>
        <row r="126">
          <cell r="B126" t="str">
            <v>B - RENTABILITE OPERATIONNELLE</v>
          </cell>
        </row>
        <row r="128">
          <cell r="D128" t="str">
            <v>TRI : 14,0%</v>
          </cell>
          <cell r="H128">
            <v>0</v>
          </cell>
          <cell r="I128">
            <v>1</v>
          </cell>
          <cell r="J128">
            <v>2</v>
          </cell>
          <cell r="K128">
            <v>3</v>
          </cell>
          <cell r="L128">
            <v>4</v>
          </cell>
          <cell r="M128">
            <v>5</v>
          </cell>
          <cell r="N128">
            <v>6</v>
          </cell>
          <cell r="O128">
            <v>7</v>
          </cell>
          <cell r="P128">
            <v>8</v>
          </cell>
          <cell r="Q128">
            <v>9</v>
          </cell>
          <cell r="R128">
            <v>10</v>
          </cell>
          <cell r="S128">
            <v>11</v>
          </cell>
          <cell r="T128">
            <v>12</v>
          </cell>
          <cell r="U128">
            <v>13</v>
          </cell>
          <cell r="V128">
            <v>14</v>
          </cell>
          <cell r="W128">
            <v>15</v>
          </cell>
        </row>
        <row r="129">
          <cell r="F129" t="str">
            <v>pas utilisé pour la calcul fiscal</v>
          </cell>
        </row>
        <row r="130">
          <cell r="B130" t="str">
            <v xml:space="preserve">Amortissement du goodwill </v>
          </cell>
          <cell r="F130">
            <v>0</v>
          </cell>
          <cell r="G130" t="str">
            <v>ans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</row>
        <row r="131">
          <cell r="B131" t="str">
            <v>Monnaie courante</v>
          </cell>
        </row>
        <row r="132">
          <cell r="B132" t="str">
            <v>RO après Amort GW</v>
          </cell>
          <cell r="F132" t="b">
            <v>0</v>
          </cell>
          <cell r="H132">
            <v>0</v>
          </cell>
          <cell r="I132">
            <v>-547.18135262133319</v>
          </cell>
          <cell r="J132">
            <v>-161.43869479995681</v>
          </cell>
          <cell r="K132">
            <v>73.579247070501083</v>
          </cell>
          <cell r="L132">
            <v>1149.1118651677634</v>
          </cell>
          <cell r="M132">
            <v>2149.7616635648915</v>
          </cell>
          <cell r="N132">
            <v>3020.5094058666718</v>
          </cell>
          <cell r="O132">
            <v>4042.0189239483148</v>
          </cell>
          <cell r="P132">
            <v>4947.8237374548989</v>
          </cell>
          <cell r="Q132">
            <v>5749.9725612107031</v>
          </cell>
          <cell r="R132">
            <v>6894.9333831049316</v>
          </cell>
          <cell r="S132">
            <v>7470.5954240790525</v>
          </cell>
          <cell r="T132">
            <v>8071.4329390036455</v>
          </cell>
          <cell r="U132">
            <v>8294.1289361382951</v>
          </cell>
          <cell r="V132">
            <v>8576.1958080205077</v>
          </cell>
          <cell r="W132">
            <v>8874.4540718023927</v>
          </cell>
        </row>
        <row r="133">
          <cell r="B133" t="str">
            <v>RONet</v>
          </cell>
          <cell r="F133" t="b">
            <v>0</v>
          </cell>
          <cell r="H133">
            <v>0</v>
          </cell>
          <cell r="I133">
            <v>-567.8915812479031</v>
          </cell>
          <cell r="J133">
            <v>-223.00999004553157</v>
          </cell>
          <cell r="K133">
            <v>-27.050754471005916</v>
          </cell>
          <cell r="L133">
            <v>1035.9495141376453</v>
          </cell>
          <cell r="M133">
            <v>1491.3842734294385</v>
          </cell>
          <cell r="N133">
            <v>1938.260885744643</v>
          </cell>
          <cell r="O133">
            <v>2593.7635434976332</v>
          </cell>
          <cell r="P133">
            <v>3175.0184923248089</v>
          </cell>
          <cell r="Q133">
            <v>3689.7573925289084</v>
          </cell>
          <cell r="R133">
            <v>4424.4787519384354</v>
          </cell>
          <cell r="S133">
            <v>4793.8810836315279</v>
          </cell>
          <cell r="T133">
            <v>5179.4385169586394</v>
          </cell>
          <cell r="U133">
            <v>5322.3425383199437</v>
          </cell>
          <cell r="V133">
            <v>5503.3448500067598</v>
          </cell>
          <cell r="W133">
            <v>5694.7371778755951</v>
          </cell>
        </row>
        <row r="134">
          <cell r="B134" t="str">
            <v>CMOeco n-0</v>
          </cell>
          <cell r="H134">
            <v>1585.1381249999999</v>
          </cell>
          <cell r="I134">
            <v>1585.1381249999999</v>
          </cell>
          <cell r="J134">
            <v>4076.9277462499999</v>
          </cell>
          <cell r="K134">
            <v>9884.2347180119796</v>
          </cell>
          <cell r="L134">
            <v>12366.277098920849</v>
          </cell>
          <cell r="M134">
            <v>13343.397937439382</v>
          </cell>
          <cell r="N134">
            <v>14285.776372607614</v>
          </cell>
          <cell r="O134">
            <v>15822.534044362057</v>
          </cell>
          <cell r="P134">
            <v>16797.546696536341</v>
          </cell>
          <cell r="Q134">
            <v>17365.07505389475</v>
          </cell>
          <cell r="R134">
            <v>17909.145313662299</v>
          </cell>
          <cell r="S134">
            <v>18568.922093043475</v>
          </cell>
          <cell r="T134">
            <v>19500.622084993083</v>
          </cell>
          <cell r="U134">
            <v>20668.594994660605</v>
          </cell>
          <cell r="V134">
            <v>20608.219493249242</v>
          </cell>
          <cell r="W134">
            <v>20430.766998390838</v>
          </cell>
        </row>
        <row r="135">
          <cell r="B135" t="str">
            <v>RO/CMOe n-1</v>
          </cell>
          <cell r="I135">
            <v>-0.34519474611799728</v>
          </cell>
          <cell r="J135">
            <v>-3.9598125070636772E-2</v>
          </cell>
          <cell r="K135">
            <v>7.4441015586586669E-3</v>
          </cell>
          <cell r="L135">
            <v>9.2923024122437095E-2</v>
          </cell>
          <cell r="M135">
            <v>0.16111051125388484</v>
          </cell>
          <cell r="N135">
            <v>0.21143473949783884</v>
          </cell>
          <cell r="O135">
            <v>0.25545964461922466</v>
          </cell>
          <cell r="P135">
            <v>0.29455633175737156</v>
          </cell>
          <cell r="Q135">
            <v>0.3311228165363479</v>
          </cell>
          <cell r="R135">
            <v>0.38499511072954518</v>
          </cell>
          <cell r="S135">
            <v>0.40231712894513039</v>
          </cell>
          <cell r="T135">
            <v>0.41390643353963075</v>
          </cell>
          <cell r="U135">
            <v>0.40129137651983349</v>
          </cell>
          <cell r="V135">
            <v>0.41615413747072444</v>
          </cell>
          <cell r="W135">
            <v>0.43436715187938663</v>
          </cell>
        </row>
        <row r="136">
          <cell r="B136" t="str">
            <v>RO Net/CMOe n-1</v>
          </cell>
          <cell r="I136">
            <v>-0.35825999784586793</v>
          </cell>
          <cell r="J136">
            <v>-5.4700500947228815E-2</v>
          </cell>
          <cell r="K136">
            <v>-2.7367575986142353E-3</v>
          </cell>
          <cell r="L136">
            <v>8.3772141433580527E-2</v>
          </cell>
          <cell r="M136">
            <v>0.11176945186089814</v>
          </cell>
          <cell r="N136">
            <v>0.13567767233576317</v>
          </cell>
          <cell r="O136">
            <v>0.16392845395215644</v>
          </cell>
          <cell r="P136">
            <v>0.18901679808870533</v>
          </cell>
          <cell r="Q136">
            <v>0.21248151137137447</v>
          </cell>
          <cell r="R136">
            <v>0.24705136255514917</v>
          </cell>
          <cell r="S136">
            <v>0.25816690164409017</v>
          </cell>
          <cell r="T136">
            <v>0.26560375840238104</v>
          </cell>
          <cell r="U136">
            <v>0.25750867631277713</v>
          </cell>
          <cell r="V136">
            <v>0.26704611001496387</v>
          </cell>
          <cell r="W136">
            <v>0.27873340136100239</v>
          </cell>
        </row>
        <row r="137">
          <cell r="X137">
            <v>0</v>
          </cell>
        </row>
        <row r="138">
          <cell r="B138" t="str">
            <v>C - SENSIBILITES DE LA RENTABILITE INTRINSEQUE :</v>
          </cell>
        </row>
        <row r="144">
          <cell r="C144" t="str">
            <v>TRI : 14,0%</v>
          </cell>
          <cell r="H144">
            <v>0.9</v>
          </cell>
          <cell r="I144">
            <v>1</v>
          </cell>
          <cell r="J144">
            <v>1.1000000000000001</v>
          </cell>
        </row>
        <row r="145">
          <cell r="C145" t="str">
            <v>Volumes</v>
          </cell>
          <cell r="H145">
            <v>5.7844303219487754E-2</v>
          </cell>
          <cell r="I145">
            <v>6.9999999999999188E-2</v>
          </cell>
          <cell r="J145">
            <v>8.1559869463232473E-2</v>
          </cell>
        </row>
        <row r="146">
          <cell r="C146" t="str">
            <v>Marges</v>
          </cell>
          <cell r="H146">
            <v>4.2842572437355807E-2</v>
          </cell>
          <cell r="I146">
            <v>6.9999999999999188E-2</v>
          </cell>
          <cell r="J146">
            <v>9.6532653041142391E-2</v>
          </cell>
        </row>
        <row r="147">
          <cell r="C147" t="str">
            <v>Coûts</v>
          </cell>
          <cell r="H147">
            <v>8.864032736591311E-2</v>
          </cell>
          <cell r="I147">
            <v>6.9999999999999188E-2</v>
          </cell>
          <cell r="J147">
            <v>5.1055840858751811E-2</v>
          </cell>
        </row>
        <row r="148">
          <cell r="C148" t="str">
            <v>Investissements</v>
          </cell>
          <cell r="E148" t="str">
            <v>(initiaux)</v>
          </cell>
          <cell r="H148">
            <v>8.0089057003245631E-2</v>
          </cell>
          <cell r="I148">
            <v>6.9999999999999188E-2</v>
          </cell>
          <cell r="J148">
            <v>6.1044028704741377E-2</v>
          </cell>
        </row>
        <row r="150">
          <cell r="B150" t="str">
            <v>V - CALCULS DIVERS</v>
          </cell>
          <cell r="U150" t="str">
            <v>TLSA</v>
          </cell>
        </row>
        <row r="152">
          <cell r="B152" t="str">
            <v>BFR</v>
          </cell>
        </row>
        <row r="153">
          <cell r="C153" t="str">
            <v>Besoin en Fonds de Roulement</v>
          </cell>
          <cell r="H153">
            <v>1585.1381249999999</v>
          </cell>
          <cell r="I153">
            <v>1600.98950625</v>
          </cell>
          <cell r="J153">
            <v>2519.8240670453124</v>
          </cell>
          <cell r="K153">
            <v>5332.5249048208498</v>
          </cell>
          <cell r="L153">
            <v>6784.4094350727146</v>
          </cell>
          <cell r="M153">
            <v>8263.5368741699476</v>
          </cell>
          <cell r="N153">
            <v>9641.7559369803876</v>
          </cell>
          <cell r="O153">
            <v>10918.876702793637</v>
          </cell>
          <cell r="P153">
            <v>11948.886259057361</v>
          </cell>
          <cell r="Q153">
            <v>13089.271921491287</v>
          </cell>
          <cell r="R153">
            <v>14352.181408405242</v>
          </cell>
          <cell r="S153">
            <v>15137.851311328082</v>
          </cell>
          <cell r="T153">
            <v>15969.352458601606</v>
          </cell>
          <cell r="U153">
            <v>16461.146358138216</v>
          </cell>
          <cell r="V153">
            <v>16974.763805300881</v>
          </cell>
          <cell r="W153">
            <v>17511.351233862795</v>
          </cell>
        </row>
        <row r="154">
          <cell r="B154" t="str">
            <v>Effet de stock</v>
          </cell>
        </row>
        <row r="155">
          <cell r="C155" t="str">
            <v>Stock de  n  au prix de  n</v>
          </cell>
          <cell r="H155">
            <v>0</v>
          </cell>
          <cell r="I155">
            <v>580.56756874999996</v>
          </cell>
          <cell r="J155">
            <v>913.76497258177085</v>
          </cell>
          <cell r="K155">
            <v>1933.7359846549998</v>
          </cell>
          <cell r="L155">
            <v>2460.2335466586551</v>
          </cell>
          <cell r="M155">
            <v>2996.6102173587064</v>
          </cell>
          <cell r="N155">
            <v>3496.3944366662722</v>
          </cell>
          <cell r="O155">
            <v>3959.5173335458694</v>
          </cell>
          <cell r="P155">
            <v>4333.0301776556162</v>
          </cell>
          <cell r="Q155">
            <v>4746.5687604458253</v>
          </cell>
          <cell r="R155">
            <v>5204.5382146531365</v>
          </cell>
          <cell r="S155">
            <v>5489.4460567091201</v>
          </cell>
          <cell r="T155">
            <v>5790.9737042051711</v>
          </cell>
          <cell r="U155">
            <v>5969.3131545672304</v>
          </cell>
          <cell r="V155">
            <v>6155.5664881479488</v>
          </cell>
          <cell r="W155">
            <v>6350.1494367593295</v>
          </cell>
        </row>
        <row r="156">
          <cell r="C156" t="str">
            <v>Stock de  n-1  au prix de  n</v>
          </cell>
          <cell r="I156">
            <v>0</v>
          </cell>
          <cell r="J156">
            <v>586.37324443749992</v>
          </cell>
          <cell r="K156">
            <v>922.90262230758856</v>
          </cell>
          <cell r="L156">
            <v>1953.0733445015499</v>
          </cell>
          <cell r="M156">
            <v>2484.8358821252418</v>
          </cell>
          <cell r="N156">
            <v>3026.5763195322934</v>
          </cell>
          <cell r="O156">
            <v>3531.3583810329351</v>
          </cell>
          <cell r="P156">
            <v>3999.112506881328</v>
          </cell>
          <cell r="Q156">
            <v>4376.3604794321727</v>
          </cell>
          <cell r="R156">
            <v>4794.0344480502836</v>
          </cell>
          <cell r="S156">
            <v>5256.5835967996682</v>
          </cell>
          <cell r="T156">
            <v>5544.3405172762114</v>
          </cell>
          <cell r="U156">
            <v>5848.8834412472224</v>
          </cell>
          <cell r="V156">
            <v>6029.0062861129027</v>
          </cell>
          <cell r="W156">
            <v>6217.1221530294288</v>
          </cell>
        </row>
        <row r="157">
          <cell r="C157" t="str">
            <v>Effet de stock</v>
          </cell>
          <cell r="I157">
            <v>0</v>
          </cell>
          <cell r="J157">
            <v>5.8056756874999564</v>
          </cell>
          <cell r="K157">
            <v>9.1376497258177096</v>
          </cell>
          <cell r="L157">
            <v>19.337359846550044</v>
          </cell>
          <cell r="M157">
            <v>24.602335466586737</v>
          </cell>
          <cell r="N157">
            <v>29.966102173586933</v>
          </cell>
          <cell r="O157">
            <v>34.963944366662872</v>
          </cell>
          <cell r="P157">
            <v>39.595173335458639</v>
          </cell>
          <cell r="Q157">
            <v>43.330301776556553</v>
          </cell>
          <cell r="R157">
            <v>47.465687604458253</v>
          </cell>
          <cell r="S157">
            <v>52.045382146531665</v>
          </cell>
          <cell r="T157">
            <v>54.894460567091301</v>
          </cell>
          <cell r="U157">
            <v>57.909737042051347</v>
          </cell>
          <cell r="V157">
            <v>59.693131545672259</v>
          </cell>
          <cell r="W157">
            <v>61.55566488147997</v>
          </cell>
        </row>
        <row r="158">
          <cell r="B158" t="str">
            <v>Pay out time intrinsèque</v>
          </cell>
          <cell r="H158">
            <v>1</v>
          </cell>
          <cell r="I158">
            <v>1</v>
          </cell>
          <cell r="J158">
            <v>1</v>
          </cell>
          <cell r="K158">
            <v>1</v>
          </cell>
          <cell r="L158">
            <v>1</v>
          </cell>
          <cell r="M158">
            <v>1</v>
          </cell>
          <cell r="N158">
            <v>1</v>
          </cell>
          <cell r="O158">
            <v>1</v>
          </cell>
          <cell r="P158">
            <v>1</v>
          </cell>
          <cell r="Q158">
            <v>1</v>
          </cell>
          <cell r="R158">
            <v>1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</row>
        <row r="159">
          <cell r="B159" t="str">
            <v>Pertes de change</v>
          </cell>
          <cell r="H159">
            <v>0.02</v>
          </cell>
          <cell r="I159" t="str">
            <v>= inflation type</v>
          </cell>
        </row>
        <row r="160">
          <cell r="C160" t="str">
            <v>Indice delta inflation v type</v>
          </cell>
          <cell r="I160">
            <v>-0.01</v>
          </cell>
          <cell r="J160">
            <v>-0.01</v>
          </cell>
          <cell r="K160">
            <v>-0.01</v>
          </cell>
          <cell r="L160">
            <v>-0.01</v>
          </cell>
          <cell r="M160">
            <v>-0.01</v>
          </cell>
          <cell r="N160">
            <v>-0.01</v>
          </cell>
          <cell r="O160">
            <v>-0.01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-0.01</v>
          </cell>
          <cell r="U160">
            <v>-0.01</v>
          </cell>
          <cell r="V160">
            <v>-0.01</v>
          </cell>
          <cell r="W160">
            <v>-0.01</v>
          </cell>
        </row>
        <row r="161">
          <cell r="C161" t="str">
            <v>Emprunt en monnaie forte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</row>
        <row r="162">
          <cell r="C162" t="str">
            <v>Perte d'échange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</row>
        <row r="164">
          <cell r="A164" t="str">
            <v>VI - CALCUL DE L'IMPOT</v>
          </cell>
        </row>
        <row r="166">
          <cell r="H166">
            <v>0</v>
          </cell>
          <cell r="I166">
            <v>1</v>
          </cell>
          <cell r="J166">
            <v>2</v>
          </cell>
          <cell r="K166">
            <v>3</v>
          </cell>
          <cell r="L166">
            <v>4</v>
          </cell>
          <cell r="M166">
            <v>5</v>
          </cell>
          <cell r="N166">
            <v>6</v>
          </cell>
          <cell r="O166">
            <v>7</v>
          </cell>
          <cell r="P166">
            <v>8</v>
          </cell>
          <cell r="Q166">
            <v>9</v>
          </cell>
          <cell r="R166">
            <v>10</v>
          </cell>
          <cell r="S166">
            <v>11</v>
          </cell>
          <cell r="T166">
            <v>12</v>
          </cell>
          <cell r="U166">
            <v>13</v>
          </cell>
          <cell r="V166">
            <v>14</v>
          </cell>
          <cell r="W166">
            <v>15</v>
          </cell>
        </row>
        <row r="167">
          <cell r="C167" t="str">
            <v>Bénéfice taxable Monnaie Cour.</v>
          </cell>
          <cell r="H167">
            <v>0</v>
          </cell>
          <cell r="I167">
            <v>-604.98271635722483</v>
          </cell>
          <cell r="J167">
            <v>-333.28155063466164</v>
          </cell>
          <cell r="K167">
            <v>-207.27479016507516</v>
          </cell>
          <cell r="L167">
            <v>833.28057566143343</v>
          </cell>
          <cell r="M167">
            <v>1843.2767700089769</v>
          </cell>
          <cell r="N167">
            <v>2726.2874806838613</v>
          </cell>
          <cell r="O167">
            <v>3772.9052056012865</v>
          </cell>
          <cell r="P167">
            <v>4731.2776484184033</v>
          </cell>
          <cell r="Q167">
            <v>5605.4598714318327</v>
          </cell>
          <cell r="R167">
            <v>6839.6102055978254</v>
          </cell>
          <cell r="S167">
            <v>7470.5954240790525</v>
          </cell>
          <cell r="T167">
            <v>8071.4329390036455</v>
          </cell>
          <cell r="U167">
            <v>8294.1289361382951</v>
          </cell>
          <cell r="V167">
            <v>8576.1958080205077</v>
          </cell>
          <cell r="W167">
            <v>8874.4540718023927</v>
          </cell>
        </row>
        <row r="168">
          <cell r="C168" t="str">
            <v>Report fiscal possible de l'année</v>
          </cell>
          <cell r="H168">
            <v>0</v>
          </cell>
          <cell r="I168">
            <v>-604.98271635722483</v>
          </cell>
          <cell r="J168">
            <v>-333.28155063466164</v>
          </cell>
          <cell r="K168">
            <v>-207.27479016507516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</row>
        <row r="169">
          <cell r="C169" t="str">
            <v>Report pertes fiscales 5 ans max</v>
          </cell>
          <cell r="H169">
            <v>0</v>
          </cell>
          <cell r="I169">
            <v>-604.98271635722483</v>
          </cell>
          <cell r="J169">
            <v>-938.26426699188642</v>
          </cell>
          <cell r="K169">
            <v>-1145.5390571569615</v>
          </cell>
          <cell r="L169">
            <v>-1145.5390571569615</v>
          </cell>
          <cell r="M169">
            <v>-1145.5390571569615</v>
          </cell>
          <cell r="N169">
            <v>-540.55634079973674</v>
          </cell>
          <cell r="O169">
            <v>-207.27479016507516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</row>
        <row r="170">
          <cell r="C170" t="str">
            <v>(Bénéfice n)+(Somme P.Fisc. (n-1))</v>
          </cell>
          <cell r="H170">
            <v>0</v>
          </cell>
          <cell r="I170">
            <v>-604.98271635722483</v>
          </cell>
          <cell r="J170">
            <v>-938.26426699188642</v>
          </cell>
          <cell r="K170">
            <v>-1145.5390571569615</v>
          </cell>
          <cell r="L170">
            <v>-312.25848149552803</v>
          </cell>
          <cell r="M170">
            <v>1531.0182885134489</v>
          </cell>
          <cell r="N170">
            <v>2726.2874806838613</v>
          </cell>
          <cell r="O170">
            <v>3772.9052056012865</v>
          </cell>
          <cell r="P170">
            <v>4731.2776484184033</v>
          </cell>
          <cell r="Q170">
            <v>5605.4598714318327</v>
          </cell>
          <cell r="R170">
            <v>6839.6102055978254</v>
          </cell>
          <cell r="S170">
            <v>7470.5954240790525</v>
          </cell>
          <cell r="T170">
            <v>8071.4329390036455</v>
          </cell>
          <cell r="U170">
            <v>8294.1289361382951</v>
          </cell>
          <cell r="V170">
            <v>8576.1958080205077</v>
          </cell>
          <cell r="W170">
            <v>8874.4540718023927</v>
          </cell>
        </row>
        <row r="171">
          <cell r="C171" t="str">
            <v>Somme pertes fiscales reportables</v>
          </cell>
          <cell r="H171">
            <v>0</v>
          </cell>
          <cell r="I171">
            <v>-604.98271635722483</v>
          </cell>
          <cell r="J171">
            <v>-938.26426699188642</v>
          </cell>
          <cell r="K171">
            <v>-1145.5390571569615</v>
          </cell>
          <cell r="L171">
            <v>-312.25848149552803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</row>
        <row r="172">
          <cell r="C172" t="str">
            <v>Impôt à imputer au projet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-548.56385277436868</v>
          </cell>
          <cell r="N172">
            <v>-976.82880432902755</v>
          </cell>
          <cell r="O172">
            <v>-1351.8319351669411</v>
          </cell>
          <cell r="P172">
            <v>-1695.2167814283139</v>
          </cell>
          <cell r="Q172">
            <v>-2008.4362719340256</v>
          </cell>
          <cell r="R172">
            <v>-2450.6323366657007</v>
          </cell>
          <cell r="S172">
            <v>-2676.7143404475246</v>
          </cell>
          <cell r="T172">
            <v>-2891.9944220450061</v>
          </cell>
          <cell r="U172">
            <v>-2971.7863978183514</v>
          </cell>
          <cell r="V172">
            <v>-3072.8509580137479</v>
          </cell>
          <cell r="W172">
            <v>-3179.7168939267972</v>
          </cell>
        </row>
        <row r="173">
          <cell r="C173" t="str">
            <v>CALCUL DE LA LIGNE 'Report pertes .…'</v>
          </cell>
          <cell r="H173">
            <v>2</v>
          </cell>
          <cell r="I173">
            <v>3</v>
          </cell>
          <cell r="J173">
            <v>4</v>
          </cell>
          <cell r="K173">
            <v>5</v>
          </cell>
          <cell r="L173">
            <v>6</v>
          </cell>
          <cell r="M173">
            <v>7</v>
          </cell>
          <cell r="N173">
            <v>8</v>
          </cell>
          <cell r="O173">
            <v>9</v>
          </cell>
          <cell r="P173">
            <v>10</v>
          </cell>
          <cell r="Q173">
            <v>11</v>
          </cell>
          <cell r="R173">
            <v>12</v>
          </cell>
          <cell r="S173">
            <v>13</v>
          </cell>
          <cell r="T173">
            <v>14</v>
          </cell>
          <cell r="U173">
            <v>15</v>
          </cell>
          <cell r="V173">
            <v>16</v>
          </cell>
          <cell r="W173">
            <v>17</v>
          </cell>
        </row>
        <row r="174">
          <cell r="C174" t="str">
            <v>Report des pertes fiscales :</v>
          </cell>
          <cell r="G174">
            <v>0</v>
          </cell>
        </row>
        <row r="175">
          <cell r="C175" t="str">
            <v>Report des pertes fiscales :</v>
          </cell>
          <cell r="F175">
            <v>0</v>
          </cell>
          <cell r="G175">
            <v>1</v>
          </cell>
          <cell r="H175">
            <v>0</v>
          </cell>
          <cell r="I175">
            <v>-604.98271635722483</v>
          </cell>
          <cell r="J175">
            <v>-333.28155063466164</v>
          </cell>
          <cell r="K175">
            <v>-207.27479016507516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</row>
        <row r="176">
          <cell r="C176" t="str">
            <v>Report des pertes fiscales :</v>
          </cell>
          <cell r="F176">
            <v>0</v>
          </cell>
          <cell r="G176">
            <v>2</v>
          </cell>
          <cell r="H176">
            <v>0</v>
          </cell>
          <cell r="I176">
            <v>-604.98271635722483</v>
          </cell>
          <cell r="J176">
            <v>-938.26426699188642</v>
          </cell>
          <cell r="K176">
            <v>-540.55634079973674</v>
          </cell>
          <cell r="L176">
            <v>-207.27479016507516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</row>
        <row r="177">
          <cell r="C177" t="str">
            <v>Report des pertes fiscales :</v>
          </cell>
          <cell r="F177">
            <v>0</v>
          </cell>
          <cell r="G177">
            <v>3</v>
          </cell>
          <cell r="H177">
            <v>0</v>
          </cell>
          <cell r="I177">
            <v>-604.98271635722483</v>
          </cell>
          <cell r="J177">
            <v>-938.26426699188642</v>
          </cell>
          <cell r="K177">
            <v>-1145.5390571569615</v>
          </cell>
          <cell r="L177">
            <v>-540.55634079973674</v>
          </cell>
          <cell r="M177">
            <v>-207.27479016507516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</row>
        <row r="178">
          <cell r="C178" t="str">
            <v>Report des pertes fiscales :</v>
          </cell>
          <cell r="F178">
            <v>0</v>
          </cell>
          <cell r="G178">
            <v>4</v>
          </cell>
          <cell r="H178">
            <v>0</v>
          </cell>
          <cell r="I178">
            <v>-604.98271635722483</v>
          </cell>
          <cell r="J178">
            <v>-938.26426699188642</v>
          </cell>
          <cell r="K178">
            <v>-1145.5390571569615</v>
          </cell>
          <cell r="L178">
            <v>-1145.5390571569615</v>
          </cell>
          <cell r="M178">
            <v>-540.55634079973674</v>
          </cell>
          <cell r="N178">
            <v>-207.27479016507516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</row>
        <row r="179">
          <cell r="C179" t="str">
            <v>Report des pertes fiscales :</v>
          </cell>
          <cell r="F179" t="str">
            <v>===&gt;</v>
          </cell>
          <cell r="G179">
            <v>5</v>
          </cell>
          <cell r="H179">
            <v>0</v>
          </cell>
          <cell r="I179">
            <v>-604.98271635722483</v>
          </cell>
          <cell r="J179">
            <v>-938.26426699188642</v>
          </cell>
          <cell r="K179">
            <v>-1145.5390571569615</v>
          </cell>
          <cell r="L179">
            <v>-1145.5390571569615</v>
          </cell>
          <cell r="M179">
            <v>-1145.5390571569615</v>
          </cell>
          <cell r="N179">
            <v>-540.55634079973674</v>
          </cell>
          <cell r="O179">
            <v>-207.27479016507516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</row>
        <row r="180">
          <cell r="C180" t="str">
            <v>Report des pertes fiscales :</v>
          </cell>
          <cell r="F180">
            <v>0</v>
          </cell>
          <cell r="G180">
            <v>6</v>
          </cell>
          <cell r="H180">
            <v>0</v>
          </cell>
          <cell r="I180">
            <v>-604.98271635722483</v>
          </cell>
          <cell r="J180">
            <v>-938.26426699188642</v>
          </cell>
          <cell r="K180">
            <v>-1145.5390571569615</v>
          </cell>
          <cell r="L180">
            <v>-1145.5390571569615</v>
          </cell>
          <cell r="M180">
            <v>-1145.5390571569615</v>
          </cell>
          <cell r="N180">
            <v>-1145.5390571569615</v>
          </cell>
          <cell r="O180">
            <v>-540.55634079973674</v>
          </cell>
          <cell r="P180">
            <v>-207.27479016507516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</row>
        <row r="181">
          <cell r="C181" t="str">
            <v>Report des pertes fiscales :</v>
          </cell>
          <cell r="F181">
            <v>0</v>
          </cell>
          <cell r="G181">
            <v>7</v>
          </cell>
          <cell r="H181">
            <v>0</v>
          </cell>
          <cell r="I181">
            <v>-604.98271635722483</v>
          </cell>
          <cell r="J181">
            <v>-938.26426699188642</v>
          </cell>
          <cell r="K181">
            <v>-1145.5390571569615</v>
          </cell>
          <cell r="L181">
            <v>-1145.5390571569615</v>
          </cell>
          <cell r="M181">
            <v>-1145.5390571569615</v>
          </cell>
          <cell r="N181">
            <v>-1145.5390571569615</v>
          </cell>
          <cell r="O181">
            <v>-1145.5390571569615</v>
          </cell>
          <cell r="P181">
            <v>-540.55634079973674</v>
          </cell>
          <cell r="Q181">
            <v>-207.27479016507516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</row>
        <row r="182">
          <cell r="C182" t="str">
            <v>Report des pertes fiscales :</v>
          </cell>
          <cell r="F182">
            <v>0</v>
          </cell>
          <cell r="G182">
            <v>8</v>
          </cell>
          <cell r="H182">
            <v>0</v>
          </cell>
          <cell r="I182">
            <v>-604.98271635722483</v>
          </cell>
          <cell r="J182">
            <v>-938.26426699188642</v>
          </cell>
          <cell r="K182">
            <v>-1145.5390571569615</v>
          </cell>
          <cell r="L182">
            <v>-1145.5390571569615</v>
          </cell>
          <cell r="M182">
            <v>-1145.5390571569615</v>
          </cell>
          <cell r="N182">
            <v>-1145.5390571569615</v>
          </cell>
          <cell r="O182">
            <v>-1145.5390571569615</v>
          </cell>
          <cell r="P182">
            <v>-1145.5390571569615</v>
          </cell>
          <cell r="Q182">
            <v>-540.55634079973674</v>
          </cell>
          <cell r="R182">
            <v>-207.27479016507516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</row>
        <row r="183">
          <cell r="C183" t="str">
            <v>Report des pertes fiscales :</v>
          </cell>
          <cell r="F183">
            <v>0</v>
          </cell>
          <cell r="G183">
            <v>9</v>
          </cell>
          <cell r="H183">
            <v>0</v>
          </cell>
          <cell r="I183">
            <v>-604.98271635722483</v>
          </cell>
          <cell r="J183">
            <v>-938.26426699188642</v>
          </cell>
          <cell r="K183">
            <v>-1145.5390571569615</v>
          </cell>
          <cell r="L183">
            <v>-1145.5390571569615</v>
          </cell>
          <cell r="M183">
            <v>-1145.5390571569615</v>
          </cell>
          <cell r="N183">
            <v>-1145.5390571569615</v>
          </cell>
          <cell r="O183">
            <v>-1145.5390571569615</v>
          </cell>
          <cell r="P183">
            <v>-1145.5390571569615</v>
          </cell>
          <cell r="Q183">
            <v>-1145.5390571569615</v>
          </cell>
          <cell r="R183">
            <v>-540.55634079973674</v>
          </cell>
          <cell r="S183">
            <v>-207.27479016507516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C184" t="str">
            <v>Report des pertes fiscales :</v>
          </cell>
          <cell r="F184">
            <v>0</v>
          </cell>
          <cell r="G184">
            <v>10</v>
          </cell>
          <cell r="H184">
            <v>0</v>
          </cell>
          <cell r="I184">
            <v>-604.98271635722483</v>
          </cell>
          <cell r="J184">
            <v>-938.26426699188642</v>
          </cell>
          <cell r="K184">
            <v>-1145.5390571569615</v>
          </cell>
          <cell r="L184">
            <v>-1145.5390571569615</v>
          </cell>
          <cell r="M184">
            <v>-1145.5390571569615</v>
          </cell>
          <cell r="N184">
            <v>-1145.5390571569615</v>
          </cell>
          <cell r="O184">
            <v>-1145.5390571569615</v>
          </cell>
          <cell r="P184">
            <v>-1145.5390571569615</v>
          </cell>
          <cell r="Q184">
            <v>-1145.5390571569615</v>
          </cell>
          <cell r="R184">
            <v>-1145.5390571569615</v>
          </cell>
          <cell r="S184">
            <v>-540.55634079973674</v>
          </cell>
          <cell r="T184">
            <v>-207.27479016507516</v>
          </cell>
          <cell r="U184">
            <v>0</v>
          </cell>
          <cell r="V184">
            <v>0</v>
          </cell>
          <cell r="W184">
            <v>0</v>
          </cell>
        </row>
        <row r="185">
          <cell r="C185" t="str">
            <v>Report des pertes fiscales :</v>
          </cell>
          <cell r="F185">
            <v>0</v>
          </cell>
          <cell r="G185">
            <v>11</v>
          </cell>
          <cell r="H185">
            <v>0</v>
          </cell>
          <cell r="I185">
            <v>-604.98271635722483</v>
          </cell>
          <cell r="J185">
            <v>-938.26426699188642</v>
          </cell>
          <cell r="K185">
            <v>-1145.5390571569615</v>
          </cell>
          <cell r="L185">
            <v>-1145.5390571569615</v>
          </cell>
          <cell r="M185">
            <v>-1145.5390571569615</v>
          </cell>
          <cell r="N185">
            <v>-1145.5390571569615</v>
          </cell>
          <cell r="O185">
            <v>-1145.5390571569615</v>
          </cell>
          <cell r="P185">
            <v>-1145.5390571569615</v>
          </cell>
          <cell r="Q185">
            <v>-1145.5390571569615</v>
          </cell>
          <cell r="R185">
            <v>-1145.5390571569615</v>
          </cell>
          <cell r="S185">
            <v>-1145.5390571569615</v>
          </cell>
          <cell r="T185">
            <v>-540.55634079973674</v>
          </cell>
          <cell r="U185">
            <v>-207.27479016507516</v>
          </cell>
          <cell r="V185">
            <v>0</v>
          </cell>
          <cell r="W185">
            <v>0</v>
          </cell>
        </row>
        <row r="186">
          <cell r="C186" t="str">
            <v>Report des pertes fiscales :</v>
          </cell>
          <cell r="F186">
            <v>0</v>
          </cell>
          <cell r="G186">
            <v>12</v>
          </cell>
          <cell r="H186">
            <v>0</v>
          </cell>
          <cell r="I186">
            <v>-604.98271635722483</v>
          </cell>
          <cell r="J186">
            <v>-938.26426699188642</v>
          </cell>
          <cell r="K186">
            <v>-1145.5390571569615</v>
          </cell>
          <cell r="L186">
            <v>-1145.5390571569615</v>
          </cell>
          <cell r="M186">
            <v>-1145.5390571569615</v>
          </cell>
          <cell r="N186">
            <v>-1145.5390571569615</v>
          </cell>
          <cell r="O186">
            <v>-1145.5390571569615</v>
          </cell>
          <cell r="P186">
            <v>-1145.5390571569615</v>
          </cell>
          <cell r="Q186">
            <v>-1145.5390571569615</v>
          </cell>
          <cell r="R186">
            <v>-1145.5390571569615</v>
          </cell>
          <cell r="S186">
            <v>-1145.5390571569615</v>
          </cell>
          <cell r="T186">
            <v>-1145.5390571569615</v>
          </cell>
          <cell r="U186">
            <v>-540.55634079973674</v>
          </cell>
          <cell r="V186">
            <v>-207.27479016507516</v>
          </cell>
          <cell r="W186">
            <v>0</v>
          </cell>
        </row>
        <row r="187">
          <cell r="C187" t="str">
            <v>Report des pertes fiscales :</v>
          </cell>
          <cell r="F187">
            <v>0</v>
          </cell>
          <cell r="G187">
            <v>13</v>
          </cell>
          <cell r="H187">
            <v>0</v>
          </cell>
          <cell r="I187">
            <v>-604.98271635722483</v>
          </cell>
          <cell r="J187">
            <v>-938.26426699188642</v>
          </cell>
          <cell r="K187">
            <v>-1145.5390571569615</v>
          </cell>
          <cell r="L187">
            <v>-1145.5390571569615</v>
          </cell>
          <cell r="M187">
            <v>-1145.5390571569615</v>
          </cell>
          <cell r="N187">
            <v>-1145.5390571569615</v>
          </cell>
          <cell r="O187">
            <v>-1145.5390571569615</v>
          </cell>
          <cell r="P187">
            <v>-1145.5390571569615</v>
          </cell>
          <cell r="Q187">
            <v>-1145.5390571569615</v>
          </cell>
          <cell r="R187">
            <v>-1145.5390571569615</v>
          </cell>
          <cell r="S187">
            <v>-1145.5390571569615</v>
          </cell>
          <cell r="T187">
            <v>-1145.5390571569615</v>
          </cell>
          <cell r="U187">
            <v>-1145.5390571569615</v>
          </cell>
          <cell r="V187">
            <v>-540.55634079973674</v>
          </cell>
          <cell r="W187">
            <v>-207.27479016507516</v>
          </cell>
        </row>
        <row r="188">
          <cell r="C188" t="str">
            <v>Report des pertes fiscales :</v>
          </cell>
          <cell r="F188">
            <v>0</v>
          </cell>
          <cell r="G188">
            <v>14</v>
          </cell>
          <cell r="H188">
            <v>0</v>
          </cell>
          <cell r="I188">
            <v>-604.98271635722483</v>
          </cell>
          <cell r="J188">
            <v>-938.26426699188642</v>
          </cell>
          <cell r="K188">
            <v>-1145.5390571569615</v>
          </cell>
          <cell r="L188">
            <v>-1145.5390571569615</v>
          </cell>
          <cell r="M188">
            <v>-1145.5390571569615</v>
          </cell>
          <cell r="N188">
            <v>-1145.5390571569615</v>
          </cell>
          <cell r="O188">
            <v>-1145.5390571569615</v>
          </cell>
          <cell r="P188">
            <v>-1145.5390571569615</v>
          </cell>
          <cell r="Q188">
            <v>-1145.5390571569615</v>
          </cell>
          <cell r="R188">
            <v>-1145.5390571569615</v>
          </cell>
          <cell r="S188">
            <v>-1145.5390571569615</v>
          </cell>
          <cell r="T188">
            <v>-1145.5390571569615</v>
          </cell>
          <cell r="U188">
            <v>-1145.5390571569615</v>
          </cell>
          <cell r="V188">
            <v>-1145.5390571569615</v>
          </cell>
          <cell r="W188">
            <v>-540.55634079973674</v>
          </cell>
        </row>
        <row r="189">
          <cell r="C189" t="str">
            <v>Report des pertes fiscales :</v>
          </cell>
          <cell r="F189">
            <v>0</v>
          </cell>
          <cell r="G189">
            <v>15</v>
          </cell>
          <cell r="H189">
            <v>0</v>
          </cell>
          <cell r="I189">
            <v>-604.98271635722483</v>
          </cell>
          <cell r="J189">
            <v>-938.26426699188642</v>
          </cell>
          <cell r="K189">
            <v>-1145.5390571569615</v>
          </cell>
          <cell r="L189">
            <v>-1145.5390571569615</v>
          </cell>
          <cell r="M189">
            <v>-1145.5390571569615</v>
          </cell>
          <cell r="N189">
            <v>-1145.5390571569615</v>
          </cell>
          <cell r="O189">
            <v>-1145.5390571569615</v>
          </cell>
          <cell r="P189">
            <v>-1145.5390571569615</v>
          </cell>
          <cell r="Q189">
            <v>-1145.5390571569615</v>
          </cell>
          <cell r="R189">
            <v>-1145.5390571569615</v>
          </cell>
          <cell r="S189">
            <v>-1145.5390571569615</v>
          </cell>
          <cell r="T189">
            <v>-1145.5390571569615</v>
          </cell>
          <cell r="U189">
            <v>-1145.5390571569615</v>
          </cell>
          <cell r="V189">
            <v>-1145.5390571569615</v>
          </cell>
          <cell r="W189">
            <v>-1145.5390571569615</v>
          </cell>
        </row>
        <row r="191">
          <cell r="C191" t="str">
            <v>Liste des utilisateurs connus:</v>
          </cell>
        </row>
        <row r="192">
          <cell r="C192" t="str">
            <v>TRD/DSD</v>
          </cell>
        </row>
        <row r="193">
          <cell r="C193" t="str">
            <v>TZ/DSD</v>
          </cell>
        </row>
        <row r="194">
          <cell r="C194" t="str">
            <v>TOM/DSD</v>
          </cell>
        </row>
      </sheetData>
      <sheetData sheetId="3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d"/>
      <sheetName val="ovhd"/>
      <sheetName val="URA-C1"/>
      <sheetName val="Sheet1"/>
      <sheetName val="URA-R1"/>
    </sheetNames>
    <sheetDataSet>
      <sheetData sheetId="0" refreshError="1"/>
      <sheetData sheetId="1" refreshError="1"/>
      <sheetData sheetId="2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oq"/>
      <sheetName val="URA-C1"/>
      <sheetName val="URA-R1-SFDC"/>
      <sheetName val="1st anayl."/>
      <sheetName val="URA-C2"/>
      <sheetName val="R1"/>
      <sheetName val="ovhd"/>
      <sheetName val="URA-R1"/>
      <sheetName val="1st_anayl_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Sheet1"/>
      <sheetName val="BQMPALOC"/>
      <sheetName val="영업2"/>
      <sheetName val="1월"/>
      <sheetName val="Form 0"/>
      <sheetName val="COVER"/>
      <sheetName val="집계표 (25,26ဩ"/>
      <sheetName val="inter"/>
      <sheetName val="BQ_Utl_Off"/>
      <sheetName val="영업3"/>
      <sheetName val="공문"/>
      <sheetName val="연돌일위집계"/>
      <sheetName val="금액내역서"/>
      <sheetName val="??"/>
      <sheetName val="ERECIN"/>
      <sheetName val="INPUT DATA"/>
      <sheetName val="갑지"/>
      <sheetName val="세금자료"/>
      <sheetName val="수입"/>
      <sheetName val="BD集計用"/>
      <sheetName val="»ê±Ù"/>
      <sheetName val="12CGOU"/>
      <sheetName val="경영혁신본부"/>
      <sheetName val="95삼성급(본사)"/>
      <sheetName val="___"/>
      <sheetName val="__"/>
      <sheetName val="General Data"/>
      <sheetName val="Final(1)summary"/>
      <sheetName val="DESCRIPTION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DRUM"/>
      <sheetName val="LABOR &amp; 자재"/>
      <sheetName val="제작도"/>
      <sheetName val="입출재고현황 (2)"/>
      <sheetName val="SANDAN"/>
      <sheetName val="뜃맟뭁돽띿맟?-BLDG"/>
      <sheetName val="Form D-1"/>
      <sheetName val="Form B-1"/>
      <sheetName val="Form F-1"/>
      <sheetName val="Assist(B-1)"/>
      <sheetName val="Form A"/>
      <sheetName val="eq_data"/>
      <sheetName val="뜃맟뭁돽띿맟_-BLDG"/>
      <sheetName val="ESCON"/>
      <sheetName val="SALA-002"/>
      <sheetName val="DHEQSUPT"/>
      <sheetName val="기성내역"/>
      <sheetName val="INPUT_DATA"/>
      <sheetName val="General_Data"/>
      <sheetName val="집계표_(25,26ဩ"/>
      <sheetName val="Form_0"/>
      <sheetName val="한강운반비"/>
      <sheetName val="CB"/>
      <sheetName val="당진1,2호기전선관설치및접지4차공사내역서-을지"/>
      <sheetName val="TTL"/>
      <sheetName val="M-EQPT-Z"/>
      <sheetName val="Price Schedule"/>
      <sheetName val="간접비내역-1"/>
      <sheetName val="Lup2"/>
      <sheetName val="간접비 총괄"/>
      <sheetName val="노임단가표"/>
      <sheetName val="POWER"/>
      <sheetName val="주간기성"/>
      <sheetName val="BOROUGE2"/>
      <sheetName val="3.공통공사대비"/>
      <sheetName val="B"/>
      <sheetName val="PRICES"/>
      <sheetName val="INSTR"/>
      <sheetName val="Rate Analysis"/>
      <sheetName val="???(OPTION)"/>
      <sheetName val="내역서 耰&quot;_x0000__x0000_"/>
      <sheetName val="_x0008_"/>
      <sheetName val="비교검토"/>
      <sheetName val="내역서 耰&quot;??"/>
      <sheetName val="24V"/>
      <sheetName val="合成単価作成表-BLDG"/>
      <sheetName val="내역ࠜĀ_x0000_M4)"/>
      <sheetName val="F4-F7"/>
      <sheetName val="h-013211-2"/>
      <sheetName val="EQUIP"/>
      <sheetName val="EQUIPMENT -2"/>
      <sheetName val="Q&amp;pl-V"/>
      <sheetName val="????¢ç¢®¡¿????"/>
      <sheetName val="??????????¢ç??????"/>
      <sheetName val="???¡§????"/>
      <sheetName val="???????¢ç¢®¢¯????"/>
      <sheetName val="IN"/>
      <sheetName val="???????®¡¿????"/>
      <sheetName val="??????????????????"/>
      <sheetName val="EQT-ESTN"/>
      <sheetName val="CTEMCOST"/>
      <sheetName val="CAL."/>
      <sheetName val="표지"/>
      <sheetName val="WE'T"/>
      <sheetName val="Cash2"/>
      <sheetName val="Z"/>
      <sheetName val="LEGEND"/>
      <sheetName val="내역ࠜĀ_x005f_x0000_M4)"/>
      <sheetName val="Static Equip"/>
      <sheetName val="CAT_5"/>
      <sheetName val="3.Breakdown Direct Paint"/>
      <sheetName val="찍기"/>
      <sheetName val="실행"/>
      <sheetName val="물량"/>
      <sheetName val="WEIGHT LIST"/>
      <sheetName val="산#2-1 (2)"/>
      <sheetName val="POL6차-PIPING"/>
      <sheetName val="산#3-1"/>
      <sheetName val="BEND LOSS"/>
      <sheetName val="공사비 내역 (가)"/>
      <sheetName val="내역"/>
      <sheetName val="단면 (2)"/>
      <sheetName val="Spl"/>
      <sheetName val="내역ࠜĀ"/>
      <sheetName val="PROCURE"/>
      <sheetName val="내역서 耰&quot;_x005f_x0000__x005f_x0000_"/>
      <sheetName val="_x005f_x0008_"/>
      <sheetName val="BID"/>
      <sheetName val="6PILE  (돌출)"/>
      <sheetName val="내역ࠜĀM4)"/>
      <sheetName val="jobhist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기계내역서"/>
      <sheetName val="OPTION_21"/>
      <sheetName val="OPTION_31"/>
      <sheetName val="KUWATI(Total)_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D-1"/>
      <sheetName val="Form_B-1"/>
      <sheetName val="Form_F-1"/>
      <sheetName val="Form_A"/>
      <sheetName val="Form_01"/>
      <sheetName val="입출재고현황_(2)"/>
      <sheetName val="General_Data1"/>
      <sheetName val="LABOR_&amp;_자재"/>
      <sheetName val="간접비_총괄"/>
      <sheetName val="Price_Schedule"/>
      <sheetName val="3_공통공사대비"/>
      <sheetName val="내역서_耰&quot;"/>
      <sheetName val=""/>
      <sheetName val="EQUIPMENT_-2"/>
      <sheetName val="CAL_"/>
      <sheetName val="Rate_Analysis"/>
      <sheetName val="내역서_耰&quot;??"/>
      <sheetName val="A"/>
      <sheetName val="Form A "/>
      <sheetName val="Monthly Load"/>
      <sheetName val="Weekly Load"/>
      <sheetName val="갑지1"/>
      <sheetName val="Quantity"/>
      <sheetName val="___(OPTION)"/>
      <sheetName val="____¢ç¢®¡¿____"/>
      <sheetName val="__________¢ç______"/>
      <sheetName val="___¡§____"/>
      <sheetName val="_______¢ç¢®¢¯____"/>
      <sheetName val="_______®¡¿____"/>
      <sheetName val="__________________"/>
      <sheetName val="내역서 耰&quot;__"/>
      <sheetName val="Summary Sheets"/>
      <sheetName val="DATA"/>
      <sheetName val="당초내역서"/>
      <sheetName val="SOURCE"/>
      <sheetName val="Sheet6"/>
      <sheetName val="갑지(추정)"/>
      <sheetName val="ELEC_DCI"/>
      <sheetName val="INST_DCI"/>
      <sheetName val="PBS"/>
      <sheetName val="내역ࠜĀ?M4)"/>
      <sheetName val="Compare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국내"/>
      <sheetName val="electrical"/>
      <sheetName val="내역ࠜĀ_x005f_x005f_x005f_x0000_M4)"/>
      <sheetName val="Z- GENERAL PRICE SUMMARY"/>
      <sheetName val=" Estimate  "/>
      <sheetName val="KUWATI(Total)_2"/>
      <sheetName val="OPTION_22"/>
      <sheetName val="OPTION_3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2002년_현장공사비_국내_실적2"/>
      <sheetName val="2003년국내현장공사비_실적2"/>
      <sheetName val="VC2_10_992"/>
      <sheetName val="Form_02"/>
      <sheetName val="집계표_(25,26ဩ2"/>
      <sheetName val="INPUT_DATA2"/>
      <sheetName val="General_Data2"/>
      <sheetName val="LABOR_&amp;_자재1"/>
      <sheetName val="입출재고현황_(2)1"/>
      <sheetName val="Form_D-11"/>
      <sheetName val="Form_B-11"/>
      <sheetName val="Form_F-11"/>
      <sheetName val="Form_A1"/>
      <sheetName val="Price_Schedule1"/>
      <sheetName val="간접비_총괄1"/>
      <sheetName val="3_공통공사대비1"/>
      <sheetName val="Rate_Analysis1"/>
      <sheetName val="내역서_耰&quot;??1"/>
      <sheetName val="EQUIPMENT_-21"/>
      <sheetName val="CAL_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Form_A_"/>
      <sheetName val="Monthly_Load"/>
      <sheetName val="Weekly_Load"/>
      <sheetName val="내역서_耰&quot;__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Z-_GENERAL_PRICE_SUMMARY"/>
      <sheetName val="_Estimate__"/>
      <sheetName val="내역서 耰&quot;"/>
      <sheetName val="EQUIPOS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경영혁신본뷀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직재"/>
      <sheetName val="I一般比"/>
      <sheetName val="내역서 耰&quot;_x005f_x005f_x005f_x0000__x005f_x005f_x0000"/>
      <sheetName val="_x005f_x005f_x005f_x0008_"/>
      <sheetName val="2.2 STAFF Scedule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내역ࠜĀ_M4)"/>
      <sheetName val="7. 월별투입내역서"/>
      <sheetName val="Sheet1 (2)"/>
      <sheetName val="수로보호공"/>
      <sheetName val="입력시트"/>
      <sheetName val="데이타"/>
      <sheetName val="식재인부"/>
      <sheetName val="9906"/>
      <sheetName val="견적"/>
      <sheetName val="계측 내역서"/>
      <sheetName val="고압수량(철거)"/>
      <sheetName val="인부신상자료"/>
      <sheetName val="CIVIL"/>
      <sheetName val="ERECT"/>
      <sheetName val="PROSUM"/>
      <sheetName val="cable-data"/>
      <sheetName val="T 3"/>
      <sheetName val="PI"/>
      <sheetName val="EQUIP LIST"/>
      <sheetName val="HORI. VESSEL"/>
      <sheetName val="Sheet4"/>
      <sheetName val="Form B"/>
      <sheetName val="cable"/>
      <sheetName val="SummaryC"/>
      <sheetName val="Detail"/>
      <sheetName val="배관내역"/>
      <sheetName val="내역서"/>
      <sheetName val="MP MOB"/>
      <sheetName val="Insts"/>
      <sheetName val="Vind - BtB"/>
      <sheetName val="LV induction motors"/>
      <sheetName val="인원계획"/>
      <sheetName val="BSD (2)"/>
      <sheetName val="BCPAB"/>
      <sheetName val="_x0002_"/>
      <sheetName val="BM DATA SHEET"/>
      <sheetName val="입찰품의서"/>
      <sheetName val="BATCH"/>
      <sheetName val="Material Selections"/>
      <sheetName val="Lstsub"/>
      <sheetName val="[SANDAN.XLS??"/>
      <sheetName val="Hot"/>
      <sheetName val="Piping BQ for one turbine"/>
      <sheetName val="Q-7100-001"/>
      <sheetName val="수주추정"/>
      <sheetName val="Piping_물량_정리_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변경집계표"/>
      <sheetName val="내역ࠜĀ_x005f_x005f_x005f_x005f_x005f_x005f_x005f_x005f_x0"/>
      <sheetName val="내역서 耰&quot;_x005f_x005f_x005f_x005f_x005f_x005f_x005f_x005f_"/>
      <sheetName val="Basic_Rate"/>
      <sheetName val="appendix_2_5_final_accounts"/>
      <sheetName val="Format"/>
      <sheetName val="Labour"/>
      <sheetName val="Material"/>
      <sheetName val="Sheet1_(2)"/>
      <sheetName val="97 사업추정(WEKI)"/>
      <sheetName val="trf(36%)"/>
      <sheetName val="All_2"/>
      <sheetName val="DCS"/>
      <sheetName val="FWBS7000,8000"/>
      <sheetName val="ANALYSER"/>
      <sheetName val="Eq. Mobilization"/>
      <sheetName val="출금실적"/>
      <sheetName val="M_DB"/>
      <sheetName val="_x005f_x005f_x005f_x005f_x005f_x005f_x005f_x005f_x005f_x005f_"/>
      <sheetName val="DB@Acess"/>
      <sheetName val="집계표"/>
      <sheetName val="sum"/>
      <sheetName val="Summary"/>
      <sheetName val="수량집계"/>
      <sheetName val="총괄집계표"/>
      <sheetName val="내역서 (∮ἀ嘆ɶ"/>
      <sheetName val="당초_xd8b4_∸ἀ"/>
      <sheetName val="Direct"/>
      <sheetName val="FORM-12"/>
      <sheetName val="Cal"/>
      <sheetName val="총괄표"/>
      <sheetName val="금융"/>
      <sheetName val="TDTKP"/>
      <sheetName val="DK-KH"/>
      <sheetName val="실행집계"/>
      <sheetName val="breakdown of wage rate"/>
      <sheetName val="Indirect Cost"/>
      <sheetName val="Unit"/>
      <sheetName val="일일총괄"/>
      <sheetName val="경영현황"/>
      <sheetName val="RFP002"/>
      <sheetName val="내역서_耰&quot;__1"/>
      <sheetName val="criteria"/>
      <sheetName val="General"/>
      <sheetName val="Menus"/>
      <sheetName val="_x0004_"/>
      <sheetName val="_x000a_"/>
      <sheetName val="BREAKDOWN(철거설치)"/>
      <sheetName val="BREAKDOWN(신규설치)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Resource table"/>
      <sheetName val="D-623D"/>
      <sheetName val="1350-A"/>
      <sheetName val="도"/>
      <sheetName val="COVER-P"/>
      <sheetName val="HP-Steamdrum"/>
      <sheetName val="목표세부명세"/>
      <sheetName val="중기일위대가"/>
      <sheetName val="w't table"/>
      <sheetName val="Heavy Equipments"/>
      <sheetName val="TOTAL"/>
      <sheetName val="중기"/>
      <sheetName val="원가"/>
      <sheetName val="BM-Elec"/>
      <sheetName val="BM-Inst"/>
      <sheetName val="97"/>
      <sheetName val="MANP"/>
      <sheetName val="C"/>
      <sheetName val="Equipment List"/>
      <sheetName val="info"/>
      <sheetName val="TP"/>
      <sheetName val="Form1.SQP"/>
      <sheetName val="Resource"/>
      <sheetName val="공정계획(내부계획25%,내부w.f)"/>
      <sheetName val="_x0002_?뻘N??_x0001_ࠀ역서"/>
      <sheetName val="Utility and Fire flange"/>
      <sheetName val="AG Pipe Qty Analysis"/>
      <sheetName val="품셈"/>
      <sheetName val="결과조달"/>
      <sheetName val="SS2"/>
      <sheetName val="Proposal"/>
      <sheetName val="단가 (2)"/>
      <sheetName val="4-3LEVEL-5 epic.4"/>
      <sheetName val="부대비율"/>
      <sheetName val="SFN ORIG"/>
      <sheetName val="SFN"/>
      <sheetName val="R2564AHDTS"/>
      <sheetName val="CPS"/>
      <sheetName val="_SANDAN.XLS__"/>
      <sheetName val="7422CW00"/>
      <sheetName val="입찰내역 발주처 양식"/>
      <sheetName val="BOQ-B.DOWN"/>
      <sheetName val="SCHEDD TAMBAHAN"/>
      <sheetName val="Preliminaries"/>
      <sheetName val="piping"/>
      <sheetName val="Mech"/>
      <sheetName val="Fire Protection"/>
      <sheetName val="Buildings"/>
      <sheetName val="Instrument"/>
      <sheetName val="LOB"/>
      <sheetName val="Dir Manpower Other Exp."/>
      <sheetName val="사급자재집계표"/>
      <sheetName val="HVAC(사급자재)"/>
      <sheetName val="U-W"/>
      <sheetName val="수량산출서"/>
      <sheetName val="mto-rev0B"/>
      <sheetName val="상반기손익차2총괄"/>
      <sheetName val="breakdown_of_wage_rate"/>
      <sheetName val="Indirect_Cost"/>
      <sheetName val="생산계획"/>
      <sheetName val="VLOOKUP"/>
      <sheetName val="cal-foamglass"/>
      <sheetName val="연습"/>
      <sheetName val="운반"/>
      <sheetName val="실행예산 MM"/>
      <sheetName val="강재"/>
      <sheetName val="OD5000"/>
      <sheetName val="VIZ4"/>
      <sheetName val="VIZ7"/>
      <sheetName val="UZ"/>
      <sheetName val="실행내역"/>
      <sheetName val="FWBS 1530"/>
      <sheetName val="K_SURFACES"/>
      <sheetName val="Administrative_Prices"/>
      <sheetName val="WBS_44"/>
      <sheetName val="WBS_41"/>
      <sheetName val="Precios_por_Administración"/>
      <sheetName val="Precios_Unitarios"/>
      <sheetName val="Subcon_A"/>
      <sheetName val="KUWATI(Total)_4"/>
      <sheetName val="OPTION_24"/>
      <sheetName val="OPTION_3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2002년_현장공사비_국내_실적4"/>
      <sheetName val="2003년국내현장공사비_실적4"/>
      <sheetName val="VC2_10_994"/>
      <sheetName val="INPUT_DATA3"/>
      <sheetName val="집계표_(25,26ဩ3"/>
      <sheetName val="Form_D-12"/>
      <sheetName val="Form_B-12"/>
      <sheetName val="Form_F-12"/>
      <sheetName val="Form_A2"/>
      <sheetName val="Form_03"/>
      <sheetName val="General_Data3"/>
      <sheetName val="LABOR_&amp;_자재2"/>
      <sheetName val="입출재고현황_(2)2"/>
      <sheetName val="Price_Schedule2"/>
      <sheetName val="간접비_총괄2"/>
      <sheetName val="3_공통공사대비2"/>
      <sheetName val="Rate_Analysis2"/>
      <sheetName val="EQUIPMENT_-22"/>
      <sheetName val="CAL_2"/>
      <sheetName val="내역서_耰&quot;_x005f_x0000__x005f_x0000_1"/>
      <sheetName val="Static_Equip1"/>
      <sheetName val="WEIGHT_LIST1"/>
      <sheetName val="산#2-1_(2)1"/>
      <sheetName val="BEND_LOSS1"/>
      <sheetName val="공사비_내역_(가)1"/>
      <sheetName val="6PILE__(돌출)1"/>
      <sheetName val="내역서_耰&quot;??2"/>
      <sheetName val="단면_(2)1"/>
      <sheetName val="Form_A_1"/>
      <sheetName val="3_Breakdown_Direct_Paint1"/>
      <sheetName val="Man_Hole"/>
      <sheetName val="Civil_11"/>
      <sheetName val="Civil_21"/>
      <sheetName val="Civil_31"/>
      <sheetName val="Site_11"/>
      <sheetName val="Site_21"/>
      <sheetName val="Site_31"/>
      <sheetName val="Site_Faci1"/>
      <sheetName val="내역서_耰&quot;__2"/>
      <sheetName val="Summary_Sheets1"/>
      <sheetName val="Sheet1_(2)1"/>
      <sheetName val="내역서_耰&quot;_x005f_x005f_x005f_x0000__x005f_x005f_x0000"/>
      <sheetName val="계측_내역서"/>
      <sheetName val="2_2_STAFF_Scedule"/>
      <sheetName val="7__월별투입내역서"/>
      <sheetName val="내역서_耰&quot;_x005f_x005f_x005f_x005f_x005f_x005f_x005f_x0000_"/>
      <sheetName val="T_3"/>
      <sheetName val="HORI__VESSEL"/>
      <sheetName val="내역서_耰&quot;_x005f_x005f_x005f_x005f_x005f_x005f_x005f_x005f_"/>
      <sheetName val="Vind_-_BtB"/>
      <sheetName val="LV_induction_motors"/>
      <sheetName val="BSD_(2)"/>
      <sheetName val="EQUIP_LIST"/>
      <sheetName val="MP_MOB"/>
      <sheetName val="Form_B"/>
      <sheetName val="Material_Selections"/>
      <sheetName val="97_사업추정(WEKI)"/>
      <sheetName val="내역서_(∮ἀ嘆ɶ᠀㬁"/>
      <sheetName val="[SANDAN_XLS??"/>
      <sheetName val="Piping_BQ_for_one_turbine"/>
      <sheetName val="Eq__Mobilization"/>
      <sheetName val="Utility_and_Fire_flange"/>
      <sheetName val="Heavy_Equipments"/>
      <sheetName val="AG_Pipe_Qty_Analysis"/>
      <sheetName val="Unit Price "/>
      <sheetName val="ITB COST"/>
      <sheetName val="MODULE CONFIRM"/>
      <sheetName val="BM_DATA_SHEET1"/>
      <sheetName val="Resource_table"/>
      <sheetName val="_x000a__x000a_"/>
      <sheetName val="Equipment_List"/>
      <sheetName val="Form1_SQP"/>
      <sheetName val="공정계획(내부계획25%,내부w_f)"/>
      <sheetName val="분전반계산서(석관)"/>
      <sheetName val="이자율"/>
      <sheetName val="CHANNEL"/>
      <sheetName val="PROTECTION "/>
      <sheetName val="CIBATU5OO"/>
      <sheetName val="Costo-MO"/>
      <sheetName val="내역서_耰&quot;1"/>
      <sheetName val="SFN_ORIG"/>
      <sheetName val="?뻘N??ࠀ역서"/>
      <sheetName val="_SANDAN_XLS__"/>
      <sheetName val="WIND"/>
      <sheetName val="PROGRESS"/>
      <sheetName val="Cash In-Cash Out Actual"/>
      <sheetName val="CÓDIGOS"/>
      <sheetName val="Database"/>
      <sheetName val="노임9월"/>
      <sheetName val="Labor"/>
      <sheetName val="INPUT"/>
      <sheetName val="SCHEDD_TAMBAHAN"/>
      <sheetName val="Dir_Manpower_Other_Exp_"/>
      <sheetName val="w't_table"/>
      <sheetName val="Fire_Protection"/>
      <sheetName val="입찰내역_발주처_양식"/>
      <sheetName val="MTP"/>
      <sheetName val="SILICATE"/>
      <sheetName val="FWBS"/>
      <sheetName val="설계명세1-1"/>
      <sheetName val="실행(ALT1)"/>
      <sheetName val="내역서1999.8최종"/>
      <sheetName val="실행철강하도"/>
      <sheetName val="전기"/>
      <sheetName val="dc1"/>
      <sheetName val="REDUCER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FWBS_1530"/>
      <sheetName val="DESIGN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배수내역"/>
      <sheetName val="판가반영"/>
      <sheetName val="공사내역"/>
      <sheetName val="견적대비표"/>
      <sheetName val="일위대가(계측기설치)"/>
      <sheetName val="EP0618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Rekapitulasi"/>
      <sheetName val="BAG-2"/>
      <sheetName val="Overall"/>
      <sheetName val="salary"/>
      <sheetName val="CUADRO DE PRECIOS"/>
      <sheetName val="첨부1-집행내역(요약)"/>
      <sheetName val="Closeout Control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경제지표"/>
      <sheetName val="1100-1200-1300-1910-2140-LEV 2"/>
      <sheetName val="Hoja2"/>
      <sheetName val="CONFIG"/>
      <sheetName val="Datos"/>
      <sheetName val="Material Price"/>
      <sheetName val="7422CW_x0013_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BOQ"/>
      <sheetName val="SEX"/>
      <sheetName val="Currency Rate"/>
      <sheetName val="Personnel"/>
      <sheetName val="ANALISA"/>
      <sheetName val="PNT"/>
      <sheetName val="D7(1)"/>
      <sheetName val="5-ALAT(1)"/>
      <sheetName val="4-Basic Price"/>
      <sheetName val="Rekap"/>
      <sheetName val="AHS"/>
      <sheetName val="Evaluasi Penw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Direct PMS"/>
      <sheetName val="Site Findings Status Sheet"/>
      <sheetName val="Sum (Case-3)"/>
      <sheetName val="예산-내부"/>
      <sheetName val="영업소실적"/>
      <sheetName val="PROJECT BRIEF"/>
      <sheetName val="tggwan(mac)"/>
      <sheetName val="DB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ANX3A11"/>
      <sheetName val="5.) Time Delays"/>
      <sheetName val="KP_List"/>
      <sheetName val="경비실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OPT_x0012_"/>
      <sheetName val="SCH"/>
      <sheetName val=" "/>
      <sheetName val="할증 "/>
      <sheetName val="Codes.Pers"/>
      <sheetName val="Weekl_x0004_"/>
      <sheetName val="AUX"/>
      <sheetName val="Aux."/>
      <sheetName val="RAB AR&amp;STR"/>
      <sheetName val="I-KAMAR"/>
      <sheetName val="UP MINOR"/>
      <sheetName val="골조시행"/>
      <sheetName val="Library"/>
      <sheetName val="내역서_(N _x000e__x000e__x000e_  _x0012__x0010__x000a_"/>
      <sheetName val="ഀࠀကЀЀԀЀԀ̀ᤀഀ؀Ѐༀ"/>
      <sheetName val="_x0002__뻘N___x0001_ࠀ역서"/>
      <sheetName val="내역서_耰&quot;_x005f_x0000__x0000"/>
      <sheetName val="??-BLDG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Equipment_List1"/>
      <sheetName val="Form1_SQP1"/>
      <sheetName val="공정계획(내부계획25%,내부w_f)1"/>
      <sheetName val="Heavy_Equipments1"/>
      <sheetName val="AG_Pipe_Qty_Analysis1"/>
      <sheetName val="SFN_ORIG1"/>
      <sheetName val="w't_table1"/>
      <sheetName val="SCHEDD_TAMBAHAN1"/>
      <sheetName val="Fire_Protection1"/>
      <sheetName val="입찰내역_발주처_양식1"/>
      <sheetName val="Dir_Manpower_Other_Exp_1"/>
      <sheetName val="PROTECTION_"/>
      <sheetName val="ITB_COST1"/>
      <sheetName val="CUADRO_DE_PRECIOS"/>
      <sheetName val="Cash_In-Cash_Out_Actual"/>
      <sheetName val="Equipment_List2"/>
      <sheetName val="Form1_SQP2"/>
      <sheetName val="공정계획(내부계획25%,내부w_f)2"/>
      <sheetName val="Heavy_Equipments2"/>
      <sheetName val="AG_Pipe_Qty_Analysis2"/>
      <sheetName val="SFN_ORIG2"/>
      <sheetName val="w't_table2"/>
      <sheetName val="SCHEDD_TAMBAHAN2"/>
      <sheetName val="Fire_Protection2"/>
      <sheetName val="입찰내역_발주처_양식2"/>
      <sheetName val="Dir_Manpower_Other_Exp_2"/>
      <sheetName val="FWBS_15301"/>
      <sheetName val="내역서_(∮ἀ嘆ɶ1"/>
      <sheetName val="4-3LEVEL-5_epic_41"/>
      <sheetName val="단가_(2)1"/>
      <sheetName val="실행예산_MM1"/>
      <sheetName val="MODULE_CONFIRM1"/>
      <sheetName val="PROTECTION_1"/>
      <sheetName val="BOQ-B_DOWN1"/>
      <sheetName val="ITB_COST2"/>
      <sheetName val="CUADRO_DE_PRECIOS1"/>
      <sheetName val="Cash_In-Cash_Out_Actual1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입출재고현황_(2)5"/>
      <sheetName val="Form_06"/>
      <sheetName val="Form_D-15"/>
      <sheetName val="Form_B-15"/>
      <sheetName val="Form_F-15"/>
      <sheetName val="Form_A5"/>
      <sheetName val="General_Data6"/>
      <sheetName val="LABOR_&amp;_자재5"/>
      <sheetName val="Price_Schedule5"/>
      <sheetName val="간접비_총괄5"/>
      <sheetName val="3_공통공사대비5"/>
      <sheetName val="Rate_Analysis5"/>
      <sheetName val="CAL_5"/>
      <sheetName val="WEIGHT_LIST4"/>
      <sheetName val="산#2-1_(2)4"/>
      <sheetName val="BEND_LOSS4"/>
      <sheetName val="공사비_내역_(가)4"/>
      <sheetName val="내역서_耰&quot;??5"/>
      <sheetName val="EQUIPMENT_-25"/>
      <sheetName val="6PILE__(돌출)4"/>
      <sheetName val="Static_Equip4"/>
      <sheetName val="단면_(2)4"/>
      <sheetName val="Form_A_4"/>
      <sheetName val="내역서_耰&quot;_x005f_x0000__x005f_x0000_4"/>
      <sheetName val="3_Breakdown_Direct_Paint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Administrative_Prices3"/>
      <sheetName val="WBS_443"/>
      <sheetName val="WBS_413"/>
      <sheetName val="Precios_por_Administración3"/>
      <sheetName val="Precios_Unitarios3"/>
      <sheetName val="Subcon_A3"/>
      <sheetName val="BM_DATA_SHEET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EQUIP_LIST3"/>
      <sheetName val="Z-_GENERAL_PRICE_SUMMARY3"/>
      <sheetName val="_Estimate__3"/>
      <sheetName val="2_2_STAFF_Scedule3"/>
      <sheetName val="내역서_耰&quot;_x005f_x005f_x005f_x0000__x005f_x005f_x0003"/>
      <sheetName val="계측_내역서3"/>
      <sheetName val="Man_Hole3"/>
      <sheetName val="Sheet1_(2)4"/>
      <sheetName val="내역서_耰&quot;_x005f_x005f_x005f_x005f_x005f_x005f_x00003"/>
      <sheetName val="7__월별투입내역서3"/>
      <sheetName val="T_33"/>
      <sheetName val="HORI__VESSEL3"/>
      <sheetName val="Vind_-_BtB3"/>
      <sheetName val="LV_induction_motors3"/>
      <sheetName val="BSD_(2)3"/>
      <sheetName val="Monthly_Load3"/>
      <sheetName val="Weekly_Load3"/>
      <sheetName val="MP_MOB3"/>
      <sheetName val="Form_B3"/>
      <sheetName val="Material_Selections3"/>
      <sheetName val="내역서_耰&quot;_x005f_x005f_x005f_x005f_x005f_x005f_x005f3"/>
      <sheetName val="97_사업추정(WEKI)3"/>
      <sheetName val="breakdown_of_wage_rate3"/>
      <sheetName val="Indirect_Cost3"/>
      <sheetName val="[SANDAN_XLS??3"/>
      <sheetName val="Eq__Mobilization3"/>
      <sheetName val="Resource_table3"/>
      <sheetName val="Piping_BQ_for_one_turbine3"/>
      <sheetName val="Utility_and_Fire_flange3"/>
      <sheetName val="Equipment_List3"/>
      <sheetName val="Form1_SQP3"/>
      <sheetName val="공정계획(내부계획25%,내부w_f)3"/>
      <sheetName val="Heavy_Equipments3"/>
      <sheetName val="AG_Pipe_Qty_Analysis3"/>
      <sheetName val="_SANDAN_XLS__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입출재고현황_(2)6"/>
      <sheetName val="Form_07"/>
      <sheetName val="Form_D-16"/>
      <sheetName val="Form_B-16"/>
      <sheetName val="Form_F-16"/>
      <sheetName val="Form_A6"/>
      <sheetName val="General_Data7"/>
      <sheetName val="LABOR_&amp;_자재6"/>
      <sheetName val="Price_Schedule6"/>
      <sheetName val="간접비_총괄6"/>
      <sheetName val="3_공통공사대비6"/>
      <sheetName val="Rate_Analysis6"/>
      <sheetName val="CAL_6"/>
      <sheetName val="WEIGHT_LIST5"/>
      <sheetName val="산#2-1_(2)5"/>
      <sheetName val="BEND_LOSS5"/>
      <sheetName val="공사비_내역_(가)5"/>
      <sheetName val="내역서_耰&quot;??6"/>
      <sheetName val="EQUIPMENT_-26"/>
      <sheetName val="6PILE__(돌출)5"/>
      <sheetName val="Static_Equip5"/>
      <sheetName val="단면_(2)5"/>
      <sheetName val="Form_A_5"/>
      <sheetName val="내역서_耰&quot;_x005f_x0000__x005f_x0000_5"/>
      <sheetName val="3_Breakdown_Direct_Paint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Administrative_Prices4"/>
      <sheetName val="WBS_444"/>
      <sheetName val="WBS_414"/>
      <sheetName val="Precios_por_Administración4"/>
      <sheetName val="Precios_Unitarios4"/>
      <sheetName val="Subcon_A4"/>
      <sheetName val="BM_DATA_SHEET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EQUIP_LIST4"/>
      <sheetName val="Z-_GENERAL_PRICE_SUMMARY4"/>
      <sheetName val="_Estimate__4"/>
      <sheetName val="2_2_STAFF_Scedule4"/>
      <sheetName val="내역서_耰&quot;_x005f_x005f_x005f_x0000__x005f_x005f_x0004"/>
      <sheetName val="계측_내역서4"/>
      <sheetName val="Man_Hole4"/>
      <sheetName val="Sheet1_(2)5"/>
      <sheetName val="내역서_耰&quot;_x005f_x005f_x005f_x005f_x005f_x005f_x00004"/>
      <sheetName val="7__월별투입내역서4"/>
      <sheetName val="T_34"/>
      <sheetName val="HORI__VESSEL4"/>
      <sheetName val="Vind_-_BtB4"/>
      <sheetName val="LV_induction_motors4"/>
      <sheetName val="BSD_(2)4"/>
      <sheetName val="Monthly_Load4"/>
      <sheetName val="Weekly_Load4"/>
      <sheetName val="MP_MOB4"/>
      <sheetName val="Form_B4"/>
      <sheetName val="Material_Selections4"/>
      <sheetName val="내역서_耰&quot;_x005f_x005f_x005f_x005f_x005f_x005f_x005f4"/>
      <sheetName val="97_사업추정(WEKI)4"/>
      <sheetName val="breakdown_of_wage_rate4"/>
      <sheetName val="Indirect_Cost4"/>
      <sheetName val="[SANDAN_XLS??4"/>
      <sheetName val="Eq__Mobilization4"/>
      <sheetName val="Resource_table4"/>
      <sheetName val="Piping_BQ_for_one_turbine4"/>
      <sheetName val="Utility_and_Fire_flange4"/>
      <sheetName val="Equipment_List4"/>
      <sheetName val="Form1_SQP4"/>
      <sheetName val="공정계획(내부계획25%,내부w_f)4"/>
      <sheetName val="Heavy_Equipments4"/>
      <sheetName val="AG_Pipe_Qty_Analysis4"/>
      <sheetName val="_SANDAN_XLS__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내역서_(∮ἀ嘆ɶ"/>
      <sheetName val="99. FWBS(Ref)"/>
      <sheetName val="99. Change Rate"/>
      <sheetName val="Discounted Cash Flow"/>
      <sheetName val="Ocean Transporation Charge"/>
      <sheetName val="HVAC"/>
      <sheetName val="경상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예가표"/>
      <sheetName val="Cash Flow bulanan"/>
      <sheetName val="schalt"/>
      <sheetName val="schtng"/>
      <sheetName val="schbhn"/>
      <sheetName val="H.Satuan"/>
      <sheetName val="I_KAMAR"/>
      <sheetName val="Pengesahan "/>
      <sheetName val="BILL"/>
      <sheetName val="내역서_耰&quot;5"/>
      <sheetName val="내역서_耰&quot;4"/>
      <sheetName val="배수공"/>
      <sheetName val="장산"/>
      <sheetName val="시행분석"/>
      <sheetName val="OCT.FDN"/>
      <sheetName val="D-3109"/>
      <sheetName val="검측서"/>
      <sheetName val="노임이"/>
      <sheetName val="Item code"/>
      <sheetName val="업체코드"/>
      <sheetName val="  "/>
      <sheetName val="breakdown of wage ra`f"/>
      <sheetName val="breakdown of wage ra"/>
      <sheetName val="breakdown of wage rað-"/>
      <sheetName val="BD"/>
      <sheetName val="00-Summary Information-ABB"/>
      <sheetName val="내역서1999_8최종"/>
      <sheetName val="plan&amp;section_of_foundation1"/>
      <sheetName val="working_load_at_the_btm_ft_1"/>
      <sheetName val="stability_check1"/>
      <sheetName val="design_load1"/>
      <sheetName val="Updating_Form-Oct_2011"/>
      <sheetName val="Weld_Consumable"/>
      <sheetName val="NDE_Cost-Summary"/>
      <sheetName val="9July_Above_Ground_Pipe"/>
      <sheetName val="M_11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PROJECT_BRIEF"/>
      <sheetName val="Unit_Price_"/>
      <sheetName val="Site_Findings_Status_Sheet"/>
      <sheetName val="Direct_PMS"/>
      <sheetName val="Sum_(Case-3)"/>
      <sheetName val="Man_Power_&amp;_Comp"/>
      <sheetName val="Data_List"/>
      <sheetName val="4-Basic_Price"/>
      <sheetName val="Evaluasi_Penw"/>
      <sheetName val="Currency_Rate"/>
      <sheetName val="1100-1200-1300-1910-2140-LEV_2"/>
      <sheetName val="Material_Price"/>
      <sheetName val="7422CW"/>
      <sheetName val="내역서_耰&quot;_x005f_x005f_x005f_x0000_"/>
      <sheetName val="내역서_耰&quot;_x005f_x005f_x005f_x005f_"/>
      <sheetName val="5_)_Time_Delays"/>
      <sheetName val="Tools_&amp;_Settings"/>
      <sheetName val="Data_Summary"/>
      <sheetName val="Crew_Costs"/>
      <sheetName val="Spread_Costs"/>
      <sheetName val="Unique_List_Misc"/>
      <sheetName val="In-House_Summary"/>
      <sheetName val="OPT_x000a_"/>
      <sheetName val="Weekl_x000a_"/>
      <sheetName val="Aux_"/>
      <sheetName val="2. 현장 자금투입 집계표"/>
      <sheetName val="_도면 및 도서 제출목록 및 일정_170202.xlsx"/>
      <sheetName val="2.Overall Summary "/>
      <sheetName val="General Notes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예산실적전체당월"/>
      <sheetName val="Raw data"/>
      <sheetName val="Exchange Rate"/>
      <sheetName val="Chart_Cable"/>
      <sheetName val="내역ࠜĀ_x005f_x0000_M4"/>
      <sheetName val="내역서 耰&quot;_x005f_x0000_"/>
      <sheetName val="내역ࠜĀ_x005f_x005f_x0"/>
      <sheetName val="내역서 耰&quot;_x005f_x005f_"/>
      <sheetName val="_x005f_x005f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ill rekap"/>
      <sheetName val="Harga Satuan"/>
      <sheetName val="LISTRIK"/>
      <sheetName val="F ALARM"/>
      <sheetName val="수량산출"/>
      <sheetName val="물량표"/>
      <sheetName val="PABS,Site info"/>
      <sheetName val="0. Resource　Code"/>
      <sheetName val="손익차9월2"/>
      <sheetName val="_"/>
      <sheetName val="_뻘N__ࠀ역서"/>
      <sheetName val="차트 (2)"/>
      <sheetName val="design_criteria1"/>
      <sheetName val="Codes_Pers"/>
      <sheetName val="Material code"/>
      <sheetName val="9_1차이내역"/>
      <sheetName val="pipeline-1"/>
      <sheetName val="BQMP"/>
      <sheetName val="MD"/>
      <sheetName val="Process Data (2)"/>
      <sheetName val="Rates &amp; Legend"/>
      <sheetName val="breakdown of wage rap"/>
      <sheetName val="PWA"/>
      <sheetName val="Sheet5"/>
      <sheetName val="EE-PROP"/>
      <sheetName val="DATA MENTAH"/>
      <sheetName val="도면자료제출일정"/>
      <sheetName val="DROP DOWN"/>
      <sheetName val="Action Item"/>
      <sheetName val="Rating"/>
      <sheetName val="유림골조"/>
      <sheetName val="ID.CD"/>
      <sheetName val="Equipment Spec List"/>
      <sheetName val="개시대사 (2)"/>
      <sheetName val="TYPE"/>
      <sheetName val="CAL1"/>
      <sheetName val="BQ_IMPORT"/>
      <sheetName val="용접품"/>
      <sheetName val="절단품"/>
      <sheetName val="대운산출"/>
      <sheetName val="Header"/>
      <sheetName val="HO_Site Rates-2011"/>
      <sheetName val="Process_Data_(2)"/>
      <sheetName val="실행집_x0005_"/>
      <sheetName val="실행집聈"/>
      <sheetName val="LEGENDA"/>
      <sheetName val="Distribution Table"/>
      <sheetName val="BA1047集約"/>
      <sheetName val="Others"/>
      <sheetName val="DISCIPLINE"/>
      <sheetName val="Données"/>
      <sheetName val="GraphData"/>
      <sheetName val="BHANDUP"/>
      <sheetName val="Register"/>
      <sheetName val="INPUT DATA OF SCHEDULE"/>
      <sheetName val="Pipe-Hot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"/>
      <sheetName val="내역서 耰&quot;_"/>
      <sheetName val="내역서_耰&quot;_x00001"/>
      <sheetName val="내역서_耰&quot;_x005f1"/>
      <sheetName val="내역서_耰&quot;_x00002"/>
      <sheetName val="내역서_耰&quot;_x005f2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Rates_&amp;_Legend"/>
      <sheetName val="OCT_FDN"/>
      <sheetName val="General_Notes"/>
      <sheetName val="2003상반기노임기준"/>
      <sheetName val="Analysis"/>
      <sheetName val="EVA-004-MEC"/>
      <sheetName val="Linelist LNGC Process"/>
      <sheetName val="당초?∸ἀ"/>
      <sheetName val="2_Overall_Summary_"/>
      <sheetName val="SPEC LIST(EQUP, SYS)"/>
      <sheetName val="drg"/>
      <sheetName val="BM"/>
      <sheetName val="구분"/>
      <sheetName val="백분율"/>
      <sheetName val="공사비SUM"/>
      <sheetName val="내역(한신APT)"/>
      <sheetName val="뻘Nࠀ역서"/>
      <sheetName val="breakdown of wage ra"/>
      <sheetName val="뻘N_"/>
      <sheetName val="_x0002__x0000_뻘N_x0000__x0000__x0001_ࠀ역서"/>
      <sheetName val="내역서 (∮ἀ嘆ɶ_x0000_᠀㬁_x0000_"/>
      <sheetName val="_x0004__x0000__x000d__x0000__x0003__x0000__x0004__x0000__x0016__x0000__x000d__x0000__x0004_"/>
      <sheetName val="_x000a__x0000__x001b__x0000__x0006__x0000__x0006__x0000__x0008__x0000__x000a__x0000__x0000_"/>
      <sheetName val="7422CW_x0013__x0000_"/>
      <sheetName val="OPT_x0012__x0000__x0010__x0000__x000a__x0000_"/>
      <sheetName val="_x0000__x0013__x0000__x0014_"/>
      <sheetName val=" _x0000__x001b__x0000__x0006__x0000__x0006__x0000__x0008__x0000_ _x0000__x0000_"/>
      <sheetName val="Weekl_x0004__x0000__x0016__x0000__x000d__x0000_"/>
      <sheetName val="_x0000__x000e__x0000__x0005_"/>
      <sheetName val="_x0002__x0000_뻘N_x0000__x0000__"/>
      <sheetName val="_x0004__x0000__x000d__x0000__x0"/>
      <sheetName val="_x000a__x0000__x001b__x0000__x0"/>
      <sheetName val="내역서 耰&quot;_x0000__x0000"/>
      <sheetName val="내역서_耰&quot;_x0000__x0000"/>
      <sheetName val="__x0000__x001b__x0000__x0006__x"/>
      <sheetName val="내역서_耰&quot;_x0000__x0000_6"/>
      <sheetName val="내역ࠜĀ_x0000_M4"/>
      <sheetName val="내역서_耰&quot;_x0000__x0001"/>
      <sheetName val="내역서_耰&quot;_x0000__x0002"/>
      <sheetName val="내역서_(N_x0009__x000e__x000e__x000e__x0009__x0009__x0012__x0010__x000a_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/>
      <sheetData sheetId="812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/>
      <sheetData sheetId="1104" refreshError="1"/>
      <sheetData sheetId="1105" refreshError="1"/>
      <sheetData sheetId="1106" refreshError="1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/>
      <sheetData sheetId="1136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/>
      <sheetData sheetId="1165"/>
      <sheetData sheetId="1166"/>
      <sheetData sheetId="1167"/>
      <sheetData sheetId="1168"/>
      <sheetData sheetId="1169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/>
      <sheetData sheetId="1189" refreshError="1"/>
      <sheetData sheetId="1190" refreshError="1"/>
      <sheetData sheetId="1191"/>
      <sheetData sheetId="1192" refreshError="1"/>
      <sheetData sheetId="1193"/>
      <sheetData sheetId="1194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 refreshError="1"/>
      <sheetData sheetId="1376" refreshError="1"/>
      <sheetData sheetId="1377" refreshError="1"/>
      <sheetData sheetId="1378"/>
      <sheetData sheetId="1379" refreshError="1"/>
      <sheetData sheetId="1380" refreshError="1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/>
      <sheetData sheetId="1806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/>
      <sheetData sheetId="1817"/>
      <sheetData sheetId="1818"/>
      <sheetData sheetId="1819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/>
      <sheetData sheetId="1908"/>
      <sheetData sheetId="1909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 refreshError="1"/>
      <sheetData sheetId="2093"/>
      <sheetData sheetId="2094"/>
      <sheetData sheetId="2095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"/>
      <sheetName val="CIVIL (2)"/>
      <sheetName val="R.A"/>
      <sheetName val="MAT-R"/>
      <sheetName val="Results"/>
      <sheetName val="CIVIL"/>
      <sheetName val="BOQ (2)"/>
      <sheetName val="BOQ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Contents"/>
      <sheetName val="Summary"/>
      <sheetName val="HQBuilding"/>
      <sheetName val="FitOutHQBldg"/>
      <sheetName val="Security"/>
      <sheetName val="AutoMessengerSystem"/>
      <sheetName val="PASystem"/>
      <sheetName val="TelephoneSystem"/>
      <sheetName val="HQSpecialSystems"/>
      <sheetName val="WaterFeatures"/>
      <sheetName val="DealerRoom"/>
      <sheetName val="Services"/>
      <sheetName val="ACtoStairs"/>
      <sheetName val="GoodsDelivery"/>
      <sheetName val="ToiletPods"/>
      <sheetName val="HQBldgExtCladding"/>
      <sheetName val="GlazedSouthWall"/>
      <sheetName val="HQFFandE"/>
      <sheetName val="ConferenceCentre"/>
      <sheetName val="FitOutConfCentre"/>
      <sheetName val="ConfCentreSpecialSystems"/>
      <sheetName val="ConfCentreExtCladding"/>
      <sheetName val="ConfFFandE"/>
      <sheetName val="CarPark"/>
      <sheetName val="StatutoryCharges"/>
      <sheetName val="Drawingscover"/>
      <sheetName val="Drawings"/>
      <sheetName val="GFA HQ Building"/>
      <sheetName val="GFA Conference"/>
      <sheetName val="GeneralSummary"/>
      <sheetName val="ElementalSummary"/>
      <sheetName val="SHOPLIST"/>
      <sheetName val="BQ"/>
      <sheetName val="BQ External"/>
      <sheetName val="Notes"/>
      <sheetName val="Basis"/>
      <sheetName val="TAS"/>
      <sheetName val="D-623D"/>
      <sheetName val="#REF"/>
      <sheetName val="StattCo yCharges"/>
      <sheetName val="GFA_HQ_Building"/>
      <sheetName val="GFA_Conference"/>
      <sheetName val="icmal"/>
      <sheetName val="SubmitCal"/>
      <sheetName val="Graph Data (DO NOT PRINT)"/>
      <sheetName val="Penthouse Apartment"/>
      <sheetName val="Option"/>
      <sheetName val="Chiet tinh dz22"/>
      <sheetName val="Chiet tinh dz35"/>
      <sheetName val="_______"/>
      <sheetName val="核算项目余额表"/>
      <sheetName val="Criteria"/>
      <sheetName val="Assumptions"/>
      <sheetName val="@risk rents and incentives"/>
      <sheetName val="Car park lease"/>
      <sheetName val="Net rent analysis"/>
      <sheetName val="Poz-1 "/>
      <sheetName val="차액보증"/>
      <sheetName val="Su}}ary"/>
      <sheetName val="budget summary (2)"/>
      <sheetName val="Budget Analysis Summary"/>
      <sheetName val="Cash2"/>
      <sheetName val="Z"/>
      <sheetName val="CT Thang Mo"/>
      <sheetName val="Raw Data"/>
      <sheetName val="1"/>
      <sheetName val="LABOUR HISTOGRAM"/>
      <sheetName val="Lab Cum Hist"/>
      <sheetName val="ancillary"/>
      <sheetName val="Sheet2"/>
      <sheetName val="Sheet1"/>
      <sheetName val="COC"/>
      <sheetName val="BOQ"/>
      <sheetName val="Bill No. 2"/>
      <sheetName val="BQ_External"/>
      <sheetName val="CT  PL"/>
      <sheetName val="改加胶玻璃、室外栏杆"/>
      <sheetName val=""/>
      <sheetName val="GFA_HQ_Building1"/>
      <sheetName val="Data"/>
      <sheetName val="Tender Summary"/>
      <sheetName val="Insurance Ext"/>
      <sheetName val="Prelims"/>
      <sheetName val="Customize Your Invoice"/>
      <sheetName val="B"/>
      <sheetName val="HVAC BoQ"/>
      <sheetName val="PriceSummary"/>
      <sheetName val="FOL - Bar"/>
      <sheetName val="LEVEL SHEET"/>
      <sheetName val="SPT vs PHI"/>
      <sheetName val="CASHFLOWS"/>
      <sheetName val="Bill_1"/>
      <sheetName val="Bill_2"/>
      <sheetName val="Bill_3"/>
      <sheetName val="Bill_4"/>
      <sheetName val="Bill_5"/>
      <sheetName val="Bill_6"/>
      <sheetName val="Bill_7"/>
      <sheetName val="Projet, methodes &amp; couts"/>
      <sheetName val="Macro1"/>
      <sheetName val="Planning"/>
      <sheetName val="TAHRIR"/>
      <sheetName val="Bases"/>
      <sheetName val="Risques majeurs &amp; Frais Ind."/>
      <sheetName val="Bouclage"/>
      <sheetName val="AREG_05"/>
      <sheetName val="企业表一"/>
      <sheetName val="M-5C"/>
      <sheetName val="M-5A"/>
      <sheetName val="ANNEXURE-A"/>
      <sheetName val="Body Sheet"/>
      <sheetName val="1.0 Executive Summary"/>
      <sheetName val="intr stool brkup"/>
      <sheetName val="2 Div 14 "/>
      <sheetName val="HQ-TO"/>
      <sheetName val="SHOPLIST.xls"/>
      <sheetName val="ConferenceCentre_x0000_옰ʒ䄂ʒ鵠ʐ䄂ʒ閐̐䄂ʒ蕈̐"/>
      <sheetName val="Budget"/>
      <sheetName val="LABOUR_HISTOGRAM"/>
      <sheetName val="JAS"/>
      <sheetName val="Rate analysis"/>
      <sheetName val="Top sheet"/>
      <sheetName val="GFA_Conference1"/>
      <sheetName val="BQ_External1"/>
      <sheetName val="Penthouse_Apartment"/>
      <sheetName val="StattCo_yCharges"/>
      <sheetName val="Raw_Data"/>
      <sheetName val="@risk_rents_and_incentives"/>
      <sheetName val="Car_park_lease"/>
      <sheetName val="Net_rent_analysis"/>
      <sheetName val="Poz-1_"/>
      <sheetName val="Chiet_tinh_dz22"/>
      <sheetName val="Chiet_tinh_dz35"/>
      <sheetName val="Lab_Cum_Hist"/>
      <sheetName val="Graph_Data_(DO_NOT_PRINT)"/>
      <sheetName val="Projet,_methodes_&amp;_couts"/>
      <sheetName val="Risques_majeurs_&amp;_Frais_Ind_"/>
      <sheetName val="CT_Thang_Mo"/>
      <sheetName val="Bill_No__2"/>
      <sheetName val="SPT_vs_PHI"/>
      <sheetName val="budget_summary_(2)"/>
      <sheetName val="Budget_Analysis_Summary"/>
      <sheetName val="CT__PL"/>
      <sheetName val="LEVEL_SHEET"/>
      <sheetName val="FOL_-_Bar"/>
      <sheetName val="Inputs"/>
      <sheetName val="Ap A"/>
      <sheetName val="Geneí¬_x0008_i_x0000__x0000__x0014__x0000_0."/>
      <sheetName val="70_x0000_,/0_x0000_s«_x0008_i_x0000_Æø_x0003_í¬_x0008_i_x0000_"/>
      <sheetName val="List"/>
      <sheetName val="Currencies"/>
      <sheetName val="LABOUR_HISTOGRAM1"/>
      <sheetName val="Bill 2"/>
      <sheetName val="POWER"/>
      <sheetName val="MTP"/>
      <sheetName val="기계내역서"/>
      <sheetName val="DATAS"/>
      <sheetName val="concrete"/>
      <sheetName val="beam-reinft-IIInd floor"/>
      <sheetName val="PROJECT BRIEF"/>
      <sheetName val="C (3)"/>
      <sheetName val="Bill 1"/>
      <sheetName val="Bill 3"/>
      <sheetName val="Bill 4"/>
      <sheetName val="Bill 5"/>
      <sheetName val="Bill 6"/>
      <sheetName val="Bill 7"/>
      <sheetName val="_x0000__x0000__x0000__x0000__x0000__x0000__x0000__x0000_"/>
      <sheetName val="POWER ASSUMPTIONS"/>
      <sheetName val="Dubai golf"/>
      <sheetName val="Data_Summary"/>
      <sheetName val="Rate_Analysis"/>
      <sheetName val="ACT_SPS"/>
      <sheetName val="SPSF"/>
      <sheetName val="Invoice Summary"/>
      <sheetName val="Sheet3"/>
      <sheetName val="Tender_Summary"/>
      <sheetName val="Insurance_Ext"/>
      <sheetName val="Customize_Your_Invoice"/>
      <sheetName val="HVAC_BoQ"/>
      <sheetName val="sal"/>
      <sheetName val="SAP"/>
      <sheetName val="공종별_집계금액"/>
      <sheetName val="Wall"/>
      <sheetName val="beam-reinft-machine rm"/>
      <sheetName val="girder"/>
      <sheetName val="Rocker"/>
      <sheetName val="98Price"/>
      <sheetName val="GFA_HQ_Building3"/>
      <sheetName val="GFA_Conference3"/>
      <sheetName val="StattCo_yCharges2"/>
      <sheetName val="BQ_External3"/>
      <sheetName val="Penthouse_Apartment2"/>
      <sheetName val="LABOUR_HISTOGRAM3"/>
      <sheetName val="Chiet_tinh_dz222"/>
      <sheetName val="Chiet_tinh_dz352"/>
      <sheetName val="CT_Thang_Mo2"/>
      <sheetName val="Raw_Data2"/>
      <sheetName val="@risk_rents_and_incentives2"/>
      <sheetName val="Car_park_lease2"/>
      <sheetName val="Net_rent_analysis2"/>
      <sheetName val="Poz-1_2"/>
      <sheetName val="Lab_Cum_Hist2"/>
      <sheetName val="Graph_Data_(DO_NOT_PRINT)2"/>
      <sheetName val="LEVEL_SHEET2"/>
      <sheetName val="Bill_No__22"/>
      <sheetName val="Tender_Summary2"/>
      <sheetName val="Insurance_Ext2"/>
      <sheetName val="FOL_-_Bar2"/>
      <sheetName val="SPT_vs_PHI2"/>
      <sheetName val="Customize_Your_Invoice2"/>
      <sheetName val="HVAC_BoQ2"/>
      <sheetName val="budget_summary_(2)1"/>
      <sheetName val="Budget_Analysis_Summary1"/>
      <sheetName val="Body_Sheet1"/>
      <sheetName val="1_0_Executive_Summary1"/>
      <sheetName val="Projet,_methodes_&amp;_couts1"/>
      <sheetName val="Risques_majeurs_&amp;_Frais_Ind_1"/>
      <sheetName val="CT__PL1"/>
      <sheetName val="Top_sheet1"/>
      <sheetName val="intr_stool_brkup1"/>
      <sheetName val="Rate_analysis1"/>
      <sheetName val="GFA_HQ_Building2"/>
      <sheetName val="GFA_Conference2"/>
      <sheetName val="StattCo_yCharges1"/>
      <sheetName val="BQ_External2"/>
      <sheetName val="Penthouse_Apartment1"/>
      <sheetName val="LABOUR_HISTOGRAM2"/>
      <sheetName val="Chiet_tinh_dz221"/>
      <sheetName val="Chiet_tinh_dz351"/>
      <sheetName val="CT_Thang_Mo1"/>
      <sheetName val="Raw_Data1"/>
      <sheetName val="@risk_rents_and_incentives1"/>
      <sheetName val="Car_park_lease1"/>
      <sheetName val="Net_rent_analysis1"/>
      <sheetName val="Poz-1_1"/>
      <sheetName val="Lab_Cum_Hist1"/>
      <sheetName val="Graph_Data_(DO_NOT_PRINT)1"/>
      <sheetName val="LEVEL_SHEET1"/>
      <sheetName val="Bill_No__21"/>
      <sheetName val="Tender_Summary1"/>
      <sheetName val="Insurance_Ext1"/>
      <sheetName val="FOL_-_Bar1"/>
      <sheetName val="SPT_vs_PHI1"/>
      <sheetName val="Customize_Your_Invoice1"/>
      <sheetName val="HVAC_BoQ1"/>
      <sheetName val="Body_Sheet"/>
      <sheetName val="1_0_Executive_Summary"/>
      <sheetName val="Top_sheet"/>
      <sheetName val="intr_stool_brkup"/>
      <sheetName val="MOS"/>
      <sheetName val="GFA_HQ_Building4"/>
      <sheetName val="GFA_Conference4"/>
      <sheetName val="StattCo_yCharges3"/>
      <sheetName val="BQ_External4"/>
      <sheetName val="Penthouse_Apartment3"/>
      <sheetName val="LABOUR_HISTOGRAM4"/>
      <sheetName val="Chiet_tinh_dz223"/>
      <sheetName val="Chiet_tinh_dz353"/>
      <sheetName val="CT_Thang_Mo3"/>
      <sheetName val="Raw_Data3"/>
      <sheetName val="@risk_rents_and_incentives3"/>
      <sheetName val="Car_park_lease3"/>
      <sheetName val="Net_rent_analysis3"/>
      <sheetName val="Poz-1_3"/>
      <sheetName val="Lab_Cum_Hist3"/>
      <sheetName val="Graph_Data_(DO_NOT_PRINT)3"/>
      <sheetName val="LEVEL_SHEET3"/>
      <sheetName val="Bill_No__23"/>
      <sheetName val="Tender_Summary3"/>
      <sheetName val="Insurance_Ext3"/>
      <sheetName val="FOL_-_Bar3"/>
      <sheetName val="SPT_vs_PHI3"/>
      <sheetName val="Customize_Your_Invoice3"/>
      <sheetName val="HVAC_BoQ3"/>
      <sheetName val="budget_summary_(2)2"/>
      <sheetName val="Budget_Analysis_Summary2"/>
      <sheetName val="Body_Sheet2"/>
      <sheetName val="1_0_Executive_Summary2"/>
      <sheetName val="Projet,_methodes_&amp;_couts2"/>
      <sheetName val="Risques_majeurs_&amp;_Frais_Ind_2"/>
      <sheetName val="CT__PL2"/>
      <sheetName val="Top_sheet2"/>
      <sheetName val="intr_stool_brkup2"/>
      <sheetName val="Rate_analysis2"/>
      <sheetName val="GFA_HQ_Building5"/>
      <sheetName val="GFA_Conference5"/>
      <sheetName val="StattCo_yCharges4"/>
      <sheetName val="BQ_External5"/>
      <sheetName val="Penthouse_Apartment4"/>
      <sheetName val="LABOUR_HISTOGRAM5"/>
      <sheetName val="Chiet_tinh_dz224"/>
      <sheetName val="Chiet_tinh_dz354"/>
      <sheetName val="CT_Thang_Mo4"/>
      <sheetName val="Raw_Data4"/>
      <sheetName val="@risk_rents_and_incentives4"/>
      <sheetName val="Car_park_lease4"/>
      <sheetName val="Net_rent_analysis4"/>
      <sheetName val="Poz-1_4"/>
      <sheetName val="Lab_Cum_Hist4"/>
      <sheetName val="Graph_Data_(DO_NOT_PRINT)4"/>
      <sheetName val="LEVEL_SHEET4"/>
      <sheetName val="Bill_No__24"/>
      <sheetName val="Tender_Summary4"/>
      <sheetName val="Insurance_Ext4"/>
      <sheetName val="FOL_-_Bar4"/>
      <sheetName val="SPT_vs_PHI4"/>
      <sheetName val="Customize_Your_Invoice4"/>
      <sheetName val="HVAC_BoQ4"/>
      <sheetName val="budget_summary_(2)3"/>
      <sheetName val="Budget_Analysis_Summary3"/>
      <sheetName val="Body_Sheet3"/>
      <sheetName val="1_0_Executive_Summary3"/>
      <sheetName val="Projet,_methodes_&amp;_couts3"/>
      <sheetName val="Risques_majeurs_&amp;_Frais_Ind_3"/>
      <sheetName val="CT__PL3"/>
      <sheetName val="Top_sheet3"/>
      <sheetName val="intr_stool_brkup3"/>
      <sheetName val="Rate_analysis3"/>
      <sheetName val="마산월령동골조물량변경"/>
      <sheetName val="Civil Boq"/>
      <sheetName val="WITHOUT C&amp;I PROFIT (3)"/>
      <sheetName val="PROJECT_BRIEF1"/>
      <sheetName val="Geneí¬i0_"/>
      <sheetName val="70,/0s«iÆøí¬i"/>
      <sheetName val="Bill_22"/>
      <sheetName val="C_(3)1"/>
      <sheetName val="Ap_A1"/>
      <sheetName val="2_Div_14_1"/>
      <sheetName val="Bill_11"/>
      <sheetName val="Bill_31"/>
      <sheetName val="Bill_41"/>
      <sheetName val="Bill_51"/>
      <sheetName val="Bill_61"/>
      <sheetName val="Bill_71"/>
      <sheetName val="SHOPLIST_xls"/>
      <sheetName val="Dubai_golf"/>
      <sheetName val="beam-reinft-IIInd_floor"/>
      <sheetName val="Invoice_Summary"/>
      <sheetName val="POWER_ASSUMPTIONS"/>
      <sheetName val="beam-reinft-machine_rm"/>
      <sheetName val="PROJECT_BRIEF"/>
      <sheetName val="Bill_21"/>
      <sheetName val="C_(3)"/>
      <sheetName val="Ap_A"/>
      <sheetName val="2_Div_14_"/>
      <sheetName val="Geneí¬_x0008_i"/>
      <sheetName val="70"/>
      <sheetName val="Activity List"/>
      <sheetName val="GFA_HQ_Building6"/>
      <sheetName val="Softscape Buildup"/>
      <sheetName val="Mat'l Rate"/>
      <sheetName val="BILL COV"/>
      <sheetName val="Ra  stair"/>
      <sheetName val="CODE"/>
      <sheetName val="HIRED LABOUR CODE"/>
      <sheetName val="PA- Consutant "/>
      <sheetName val="Design"/>
      <sheetName val="upa"/>
      <sheetName val="foot-slab reinft"/>
      <sheetName val="CERTIFICATE"/>
      <sheetName val="250mm"/>
      <sheetName val="200mm"/>
      <sheetName val="160mm"/>
      <sheetName val="FITTINGS"/>
      <sheetName val="VALVE CHAMBERS"/>
      <sheetName val="Fire Hydrants"/>
      <sheetName val="B.GATE VALVE"/>
      <sheetName val="Sub G1 Fire"/>
      <sheetName val="Sub G12 Fire"/>
      <sheetName val="Materials Cost(PCC)"/>
      <sheetName val="India F&amp;S Template"/>
      <sheetName val="Annex"/>
      <sheetName val="factors"/>
      <sheetName val="P4-B"/>
      <sheetName val="Break_Up"/>
      <sheetName val="RESULT"/>
      <sheetName val="IO LIST"/>
      <sheetName val="Formulas"/>
      <sheetName val="Material "/>
      <sheetName val="Quote Sheet"/>
      <sheetName val="ABSTRACT"/>
      <sheetName val="DETAILED  BOQ"/>
      <sheetName val="M-Book for Conc"/>
      <sheetName val="M-Book for FW"/>
      <sheetName val="Vehicles"/>
      <sheetName val="Toolbox"/>
      <sheetName val="[SHOPLIST.xls]70,/0s«iÆøí¬i"/>
      <sheetName val="JAN 1"/>
      <sheetName val="[SHOPLIST.xls]70___0_s__i_____2"/>
      <sheetName val="[SHOPLIST.xls][SHOPLIST.xls]7_2"/>
      <sheetName val="B03"/>
      <sheetName val="B09.1"/>
      <sheetName val="Working for RCC"/>
      <sheetName val="ConferenceCentre?옰ʒ䄂ʒ鵠ʐ䄂ʒ閐̐䄂ʒ蕈̐"/>
      <sheetName val="Chiet t"/>
      <sheetName val="Staffing and Rates IA"/>
      <sheetName val="GFA_Conference6"/>
      <sheetName val="BQ_External6"/>
      <sheetName val="Raw_Data5"/>
      <sheetName val="Penthouse_Apartment5"/>
      <sheetName val="StattCo_yCharges5"/>
      <sheetName val="@risk_rents_and_incentives5"/>
      <sheetName val="Car_park_lease5"/>
      <sheetName val="Net_rent_analysis5"/>
      <sheetName val="Poz-1_5"/>
      <sheetName val="Chiet_tinh_dz225"/>
      <sheetName val="Chiet_tinh_dz355"/>
      <sheetName val="LEVEL_SHEET5"/>
      <sheetName val="LABOUR_HISTOGRAM6"/>
      <sheetName val="Lab_Cum_Hist5"/>
      <sheetName val="Graph_Data_(DO_NOT_PRINT)5"/>
      <sheetName val="Body_Sheet4"/>
      <sheetName val="1_0_Executive_Summary4"/>
      <sheetName val="CT_Thang_Mo5"/>
      <sheetName val="Customize_Your_Invoice5"/>
      <sheetName val="HVAC_BoQ5"/>
      <sheetName val="Bill_No__25"/>
      <sheetName val="budget_summary_(2)4"/>
      <sheetName val="Budget_Analysis_Summary4"/>
      <sheetName val="Projet,_methodes_&amp;_couts4"/>
      <sheetName val="Risques_majeurs_&amp;_Frais_Ind_4"/>
      <sheetName val="SPT_vs_PHI5"/>
      <sheetName val="CT__PL4"/>
      <sheetName val="FOL_-_Bar5"/>
      <sheetName val="Tender_Summary5"/>
      <sheetName val="Insurance_Ext5"/>
      <sheetName val="Top_sheet4"/>
      <sheetName val="intr_stool_brkup4"/>
      <sheetName val="2_Div_14_2"/>
      <sheetName val="SHOPLIST_xls1"/>
      <sheetName val="Bill_23"/>
      <sheetName val="Ap_A2"/>
      <sheetName val="Bill_12"/>
      <sheetName val="Bill_32"/>
      <sheetName val="Bill_42"/>
      <sheetName val="Bill_52"/>
      <sheetName val="Bill_62"/>
      <sheetName val="Bill_72"/>
      <sheetName val="Invoice_Summary1"/>
      <sheetName val="beam-reinft-IIInd_floor1"/>
      <sheetName val="beam-reinft-machine_rm1"/>
      <sheetName val="PROJECT_BRIEF2"/>
      <sheetName val="C_(3)2"/>
      <sheetName val="POWER_ASSUMPTIONS1"/>
      <sheetName val="Dubai_golf1"/>
      <sheetName val="WITHOUT_C&amp;I_PROFIT_(3)"/>
      <sheetName val="Geneí¬i"/>
      <sheetName val="Civil_Boq"/>
      <sheetName val="DETAILED__BOQ"/>
      <sheetName val="M-Book_for_Conc"/>
      <sheetName val="M-Book_for_FW"/>
      <sheetName val="Activity_List"/>
      <sheetName val="HIRED_LABOUR_CODE"/>
      <sheetName val="PA-_Consutant_"/>
      <sheetName val="foot-slab_reinft"/>
      <sheetName val="Рабочий лист"/>
      <sheetName val="ФМ"/>
      <sheetName val="Сравнение"/>
      <sheetName val="Day work"/>
      <sheetName val="INSTR"/>
      <sheetName val="GFA_HQ_Building8"/>
      <sheetName val="GFA_Conference7"/>
      <sheetName val="BQ_External7"/>
      <sheetName val="Graph_Data_(DO_NOT_PRINT)6"/>
      <sheetName val="Penthouse_Apartment6"/>
      <sheetName val="Chiet_tinh_dz226"/>
      <sheetName val="Chiet_tinh_dz356"/>
      <sheetName val="StattCo_yCharges6"/>
      <sheetName val="Raw_Data6"/>
      <sheetName val="LABOUR_HISTOGRAM7"/>
      <sheetName val="@risk_rents_and_incentives6"/>
      <sheetName val="Car_park_lease6"/>
      <sheetName val="Net_rent_analysis6"/>
      <sheetName val="Poz-1_6"/>
      <sheetName val="CT_Thang_Mo6"/>
      <sheetName val="Lab_Cum_Hist6"/>
      <sheetName val="LEVEL_SHEET6"/>
      <sheetName val="Bill_No__26"/>
      <sheetName val="Tender_Summary6"/>
      <sheetName val="Insurance_Ext6"/>
      <sheetName val="FOL_-_Bar6"/>
      <sheetName val="SPT_vs_PHI6"/>
      <sheetName val="Customize_Your_Invoice6"/>
      <sheetName val="HVAC_BoQ6"/>
      <sheetName val="budget_summary_(2)5"/>
      <sheetName val="Budget_Analysis_Summary5"/>
      <sheetName val="Body_Sheet5"/>
      <sheetName val="1_0_Executive_Summary5"/>
      <sheetName val="Projet,_methodes_&amp;_couts5"/>
      <sheetName val="Risques_majeurs_&amp;_Frais_Ind_5"/>
      <sheetName val="Top_sheet5"/>
      <sheetName val="CT__PL5"/>
      <sheetName val="intr_stool_brkup5"/>
      <sheetName val="Rate_analysis5"/>
      <sheetName val="GFA_HQ_Building7"/>
      <sheetName val="Rate_analysis4"/>
      <sheetName val="Div. 02"/>
      <sheetName val="Div. 03"/>
      <sheetName val="Div. 04"/>
      <sheetName val="Div. 05"/>
      <sheetName val="Div. 06"/>
      <sheetName val="Div. 07"/>
      <sheetName val="Div. 08"/>
      <sheetName val="Div. 09"/>
      <sheetName val="Div. 10"/>
      <sheetName val="Div. 11"/>
      <sheetName val="Div. 12"/>
      <sheetName val="Div.13"/>
      <sheetName val="EXTERNAL WORKS"/>
      <sheetName val="PARAMETER"/>
      <sheetName val="PRODUCTIVITY RATE"/>
      <sheetName val="U.R.A - MASONRY"/>
      <sheetName val="U.R.A - PLASTERING"/>
      <sheetName val="U.R.A - TILING"/>
      <sheetName val="U.R.A - GRANITE"/>
      <sheetName val="V.C 2 - EARTHWORK"/>
      <sheetName val="V.C 9 - CERAMIC"/>
      <sheetName val="V.C 9 - FINISHES"/>
      <sheetName val="Eq. Mobilization"/>
      <sheetName val="RA-markate"/>
      <sheetName val="BOQ_Direct_selling cost"/>
      <sheetName val="Softscape_Buildup"/>
      <sheetName val="Mat'l_Rate"/>
      <sheetName val="Ap_A3"/>
      <sheetName val="2_Div_14_3"/>
      <sheetName val="SHOPLIST_xls2"/>
      <sheetName val="PROJECT_BRIEF3"/>
      <sheetName val="Bill_24"/>
      <sheetName val="C_(3)3"/>
      <sheetName val="Bill_13"/>
      <sheetName val="Bill_33"/>
      <sheetName val="Bill_43"/>
      <sheetName val="Bill_53"/>
      <sheetName val="Bill_63"/>
      <sheetName val="Bill_73"/>
      <sheetName val="Dubai_golf2"/>
      <sheetName val="beam-reinft-IIInd_floor2"/>
      <sheetName val="Invoice_Summary2"/>
      <sheetName val="POWER_ASSUMPTIONS2"/>
      <sheetName val="beam-reinft-machine_rm2"/>
      <sheetName val="Civil_Boq1"/>
      <sheetName val="WITHOUT_C&amp;I_PROFIT_(3)1"/>
      <sheetName val="Activity_List1"/>
      <sheetName val="Softscape_Buildup1"/>
      <sheetName val="Mat'l_Rate1"/>
      <sheetName val="GFA_HQ_Building9"/>
      <sheetName val="GFA_Conference8"/>
      <sheetName val="StattCo_yCharges7"/>
      <sheetName val="BQ_External8"/>
      <sheetName val="Penthouse_Apartment7"/>
      <sheetName val="LABOUR_HISTOGRAM8"/>
      <sheetName val="Chiet_tinh_dz227"/>
      <sheetName val="Chiet_tinh_dz357"/>
      <sheetName val="CT_Thang_Mo7"/>
      <sheetName val="Raw_Data7"/>
      <sheetName val="@risk_rents_and_incentives7"/>
      <sheetName val="Car_park_lease7"/>
      <sheetName val="Net_rent_analysis7"/>
      <sheetName val="Poz-1_7"/>
      <sheetName val="Lab_Cum_Hist7"/>
      <sheetName val="Graph_Data_(DO_NOT_PRINT)7"/>
      <sheetName val="LEVEL_SHEET7"/>
      <sheetName val="SPT_vs_PHI7"/>
      <sheetName val="Bill_No__27"/>
      <sheetName val="Tender_Summary7"/>
      <sheetName val="Insurance_Ext7"/>
      <sheetName val="FOL_-_Bar7"/>
      <sheetName val="Customize_Your_Invoice7"/>
      <sheetName val="HVAC_BoQ7"/>
      <sheetName val="budget_summary_(2)6"/>
      <sheetName val="Budget_Analysis_Summary6"/>
      <sheetName val="Projet,_methodes_&amp;_couts6"/>
      <sheetName val="Risques_majeurs_&amp;_Frais_Ind_6"/>
      <sheetName val="Body_Sheet6"/>
      <sheetName val="1_0_Executive_Summary6"/>
      <sheetName val="Top_sheet6"/>
      <sheetName val="Rate_analysis6"/>
      <sheetName val="intr_stool_brkup6"/>
      <sheetName val="CT__PL6"/>
      <sheetName val="Ap_A4"/>
      <sheetName val="2_Div_14_4"/>
      <sheetName val="SHOPLIST_xls3"/>
      <sheetName val="PROJECT_BRIEF4"/>
      <sheetName val="Bill_25"/>
      <sheetName val="C_(3)4"/>
      <sheetName val="Bill_14"/>
      <sheetName val="Bill_34"/>
      <sheetName val="Bill_44"/>
      <sheetName val="Bill_54"/>
      <sheetName val="Bill_64"/>
      <sheetName val="Bill_74"/>
      <sheetName val="Dubai_golf3"/>
      <sheetName val="beam-reinft-IIInd_floor3"/>
      <sheetName val="Invoice_Summary3"/>
      <sheetName val="POWER_ASSUMPTIONS3"/>
      <sheetName val="beam-reinft-machine_rm3"/>
      <sheetName val="Civil_Boq2"/>
      <sheetName val="WITHOUT_C&amp;I_PROFIT_(3)2"/>
      <sheetName val="Activity_List2"/>
      <sheetName val="Softscape_Buildup2"/>
      <sheetName val="Mat'l_Rate2"/>
      <sheetName val="BILL_COV"/>
      <sheetName val="Ra__stair"/>
      <sheetName val="COLUMN"/>
      <sheetName val="w't table"/>
      <sheetName val="cp-e1"/>
      <sheetName val="갑지"/>
      <sheetName val="15-MECH"/>
      <sheetName val="bill nb2-Plumbing &amp; Drainag"/>
      <sheetName val="Pl &amp; Dr B"/>
      <sheetName val="Pl &amp; Dr G"/>
      <sheetName val="Pl &amp; Dr M"/>
      <sheetName val="Pl &amp; Dr 1"/>
      <sheetName val="Pl &amp; Dr 2"/>
      <sheetName val="Pl &amp; Dr 3"/>
      <sheetName val="Pl &amp; Dr 4"/>
      <sheetName val="Pl &amp; Dr 5"/>
      <sheetName val="Pl &amp; Dr 6"/>
      <sheetName val="Pl &amp; Dr 7"/>
      <sheetName val="Pl &amp; Dr 8"/>
      <sheetName val="Pl &amp; Dr R"/>
      <sheetName val="FF B"/>
      <sheetName val="FF G"/>
      <sheetName val="FF M"/>
      <sheetName val="FF 1"/>
      <sheetName val="FF 2 "/>
      <sheetName val="FF 3"/>
      <sheetName val="FF 4"/>
      <sheetName val="FF 5"/>
      <sheetName val="FF 6 "/>
      <sheetName val="FF 7"/>
      <sheetName val="FF 8"/>
      <sheetName val="FF R"/>
      <sheetName val="bill nb3-FF"/>
      <sheetName val="HVAC B"/>
      <sheetName val="HVAC G"/>
      <sheetName val="HVAC M"/>
      <sheetName val="HVAC 1"/>
      <sheetName val="HVAC 2"/>
      <sheetName val="HVAC 3"/>
      <sheetName val="HVAC 4"/>
      <sheetName val="HVAC 5"/>
      <sheetName val="HVAC 6"/>
      <sheetName val="HVAC 7"/>
      <sheetName val="HVAC 8"/>
      <sheetName val="HVAC R"/>
      <sheetName val="bill nb4-HVAC"/>
      <sheetName val="Pre"/>
      <sheetName val="SC B"/>
      <sheetName val="SC G"/>
      <sheetName val="SC M"/>
      <sheetName val="SC 1"/>
      <sheetName val="SC 2"/>
      <sheetName val="SC 3"/>
      <sheetName val="SC 4"/>
      <sheetName val="SC 5"/>
      <sheetName val="SC 6"/>
      <sheetName val="SC 7"/>
      <sheetName val="SC 8"/>
      <sheetName val="SC R"/>
      <sheetName val="6-SC"/>
      <sheetName val="AV B"/>
      <sheetName val="AV G"/>
      <sheetName val="AV M"/>
      <sheetName val="AV 1"/>
      <sheetName val="AV 2"/>
      <sheetName val="AV 3"/>
      <sheetName val="AV 4"/>
      <sheetName val="AV 5"/>
      <sheetName val="AV 6"/>
      <sheetName val="AV 7"/>
      <sheetName val="AV 8"/>
      <sheetName val="7-AV"/>
      <sheetName val="EL B"/>
      <sheetName val="ELG"/>
      <sheetName val="EL M"/>
      <sheetName val="EL 1"/>
      <sheetName val="EL 2"/>
      <sheetName val="EL 3"/>
      <sheetName val="EL 4"/>
      <sheetName val="EL 5"/>
      <sheetName val="EL 6"/>
      <sheetName val="EL 7"/>
      <sheetName val="EL 8"/>
      <sheetName val="EL R"/>
      <sheetName val="EL TR"/>
      <sheetName val="8- EL"/>
      <sheetName val="FA B"/>
      <sheetName val="FA G"/>
      <sheetName val="FA M"/>
      <sheetName val="FA 1"/>
      <sheetName val="FA 2"/>
      <sheetName val="FA 3"/>
      <sheetName val="FA 4"/>
      <sheetName val="FA 5"/>
      <sheetName val="FA 6"/>
      <sheetName val="FA 7"/>
      <sheetName val="FA 8"/>
      <sheetName val="FA R"/>
      <sheetName val="9- FA"/>
      <sheetName val="Dropdown"/>
      <sheetName val="Elemental Buildup"/>
      <sheetName val="77S(O)"/>
      <sheetName val="PointNo.5"/>
      <sheetName val="11-hsd"/>
      <sheetName val="13-septic"/>
      <sheetName val="7-ug"/>
      <sheetName val="2-utility"/>
      <sheetName val="18-misc"/>
      <sheetName val="5-pipe"/>
      <sheetName val="VALVE_CHAMBERS"/>
      <sheetName val="Fire_Hydrants"/>
      <sheetName val="B_GATE_VALVE"/>
      <sheetName val="Sub_G1_Fire"/>
      <sheetName val="Sub_G12_Fire"/>
      <sheetName val="DETAILED__BOQ1"/>
      <sheetName val="M-Book_for_Conc1"/>
      <sheetName val="M-Book_for_FW1"/>
      <sheetName val="HIRED_LABOUR_CODE1"/>
      <sheetName val="PA-_Consutant_1"/>
      <sheetName val="foot-slab_reinft1"/>
      <sheetName val="VALVE_CHAMBERS1"/>
      <sheetName val="Fire_Hydrants1"/>
      <sheetName val="B_GATE_VALVE1"/>
      <sheetName val="Sub_G1_Fire1"/>
      <sheetName val="Sub_G12_Fire1"/>
      <sheetName val="DETAILED__BOQ2"/>
      <sheetName val="M-Book_for_Conc2"/>
      <sheetName val="M-Book_for_FW2"/>
      <sheetName val="Ra__stair1"/>
      <sheetName val="HIRED_LABOUR_CODE2"/>
      <sheetName val="PA-_Consutant_2"/>
      <sheetName val="foot-slab_reinft2"/>
      <sheetName val="BILL_COV1"/>
      <sheetName val="B185-B-2"/>
      <sheetName val="B185-B-3"/>
      <sheetName val="B185-B-4"/>
      <sheetName val="B185-B-5"/>
      <sheetName val="B185-B-6"/>
      <sheetName val="B185-B-7"/>
      <sheetName val="B185-B-8"/>
      <sheetName val="B185-B-9.1"/>
      <sheetName val="B185-B-9.2"/>
      <sheetName val="Materials_Cost(PCC)"/>
      <sheetName val="India_F&amp;S_Template"/>
      <sheetName val="IO_LIST"/>
      <sheetName val="Material_"/>
      <sheetName val="Quote_Sheet"/>
      <sheetName val="Day_work"/>
      <sheetName val="PMWeb data"/>
      <sheetName val="GFA_HQ_Building10"/>
      <sheetName val="GFA_Conference9"/>
      <sheetName val="StattCo_yCharges8"/>
      <sheetName val="BQ_External9"/>
      <sheetName val="Penthouse_Apartment8"/>
      <sheetName val="LABOUR_HISTOGRAM9"/>
      <sheetName val="Chiet_tinh_dz228"/>
      <sheetName val="Chiet_tinh_dz358"/>
      <sheetName val="CT_Thang_Mo8"/>
      <sheetName val="Raw_Data8"/>
      <sheetName val="@risk_rents_and_incentives8"/>
      <sheetName val="Car_park_lease8"/>
      <sheetName val="Net_rent_analysis8"/>
      <sheetName val="Poz-1_8"/>
      <sheetName val="Lab_Cum_Hist8"/>
      <sheetName val="Graph_Data_(DO_NOT_PRINT)8"/>
      <sheetName val="LEVEL_SHEET8"/>
      <sheetName val="SPT_vs_PHI8"/>
      <sheetName val="Bill_No__28"/>
      <sheetName val="Tender_Summary8"/>
      <sheetName val="Insurance_Ext8"/>
      <sheetName val="FOL_-_Bar8"/>
      <sheetName val="Customize_Your_Invoice8"/>
      <sheetName val="HVAC_BoQ8"/>
      <sheetName val="budget_summary_(2)7"/>
      <sheetName val="Budget_Analysis_Summary7"/>
      <sheetName val="Projet,_methodes_&amp;_couts7"/>
      <sheetName val="Risques_majeurs_&amp;_Frais_Ind_7"/>
      <sheetName val="Body_Sheet7"/>
      <sheetName val="1_0_Executive_Summary7"/>
      <sheetName val="Top_sheet7"/>
      <sheetName val="Rate_analysis7"/>
      <sheetName val="intr_stool_brkup7"/>
      <sheetName val="CT__PL7"/>
      <sheetName val="Ap_A5"/>
      <sheetName val="2_Div_14_5"/>
      <sheetName val="SHOPLIST_xls4"/>
      <sheetName val="PROJECT_BRIEF5"/>
      <sheetName val="Bill_26"/>
      <sheetName val="C_(3)5"/>
      <sheetName val="Bill_15"/>
      <sheetName val="Bill_35"/>
      <sheetName val="Bill_45"/>
      <sheetName val="Bill_55"/>
      <sheetName val="Bill_65"/>
      <sheetName val="Bill_75"/>
      <sheetName val="Dubai_golf4"/>
      <sheetName val="beam-reinft-IIInd_floor4"/>
      <sheetName val="Invoice_Summary4"/>
      <sheetName val="POWER_ASSUMPTIONS4"/>
      <sheetName val="beam-reinft-machine_rm4"/>
      <sheetName val="Civil_Boq3"/>
      <sheetName val="WITHOUT_C&amp;I_PROFIT_(3)3"/>
      <sheetName val="Activity_List3"/>
      <sheetName val="Softscape_Buildup3"/>
      <sheetName val="Mat'l_Rate3"/>
      <sheetName val="ConferenceCentre_x005f_x0000_옰ʒ䄂ʒ鵠ʐ䄂ʒ"/>
      <sheetName val="Geneí¬_x005f_x0008_i_x005f_x0000__x005f_x0000__x0"/>
      <sheetName val="70_x005f_x0000_,/0_x005f_x0000_s«_x005f_x0008_i_x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 refreshError="1"/>
      <sheetData sheetId="245" refreshError="1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 refreshError="1"/>
      <sheetData sheetId="390" refreshError="1"/>
      <sheetData sheetId="39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 refreshError="1"/>
      <sheetData sheetId="441" refreshError="1"/>
      <sheetData sheetId="442" refreshError="1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/>
      <sheetData sheetId="450"/>
      <sheetData sheetId="451"/>
      <sheetData sheetId="452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 refreshError="1"/>
      <sheetData sheetId="809" refreshError="1"/>
      <sheetData sheetId="81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rontsheet"/>
      <sheetName val="prelims"/>
      <sheetName val="SITE REV-1"/>
      <sheetName val="Townhouses"/>
      <sheetName val="PSUMS"/>
      <sheetName val="summary"/>
      <sheetName val="Prelim"/>
      <sheetName val="MOS"/>
      <sheetName val="SITE_REV-1"/>
      <sheetName val="FitOutConfCentre"/>
      <sheetName val="SUM"/>
      <sheetName val="ura-c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18 TOWNHOUSES FOR SHEIKH MOHAMMED BIN HASHER AL MAKTOUM</v>
          </cell>
        </row>
        <row r="6">
          <cell r="G6" t="str">
            <v>AMOUNT</v>
          </cell>
        </row>
        <row r="8">
          <cell r="C8" t="str">
            <v>ANC MATERIALS ON SITE</v>
          </cell>
        </row>
        <row r="9">
          <cell r="C9" t="str">
            <v>H.T. STEEL 8mm</v>
          </cell>
          <cell r="D9">
            <v>9</v>
          </cell>
          <cell r="E9" t="str">
            <v>TON</v>
          </cell>
          <cell r="F9">
            <v>1020</v>
          </cell>
          <cell r="G9">
            <v>9180</v>
          </cell>
        </row>
        <row r="10">
          <cell r="C10" t="str">
            <v>H.T. STEEL 10mm</v>
          </cell>
          <cell r="D10">
            <v>18</v>
          </cell>
          <cell r="E10" t="str">
            <v>TON</v>
          </cell>
          <cell r="F10">
            <v>1020</v>
          </cell>
          <cell r="G10">
            <v>18360</v>
          </cell>
        </row>
        <row r="11">
          <cell r="C11" t="str">
            <v>H.T. STEEL 12mm</v>
          </cell>
          <cell r="D11">
            <v>19</v>
          </cell>
          <cell r="E11" t="str">
            <v>TON</v>
          </cell>
          <cell r="F11">
            <v>1020</v>
          </cell>
          <cell r="G11">
            <v>19380</v>
          </cell>
        </row>
        <row r="12">
          <cell r="C12" t="str">
            <v>H.T. STEEL 16mm</v>
          </cell>
          <cell r="D12">
            <v>5</v>
          </cell>
          <cell r="E12" t="str">
            <v>TON</v>
          </cell>
          <cell r="F12">
            <v>1020</v>
          </cell>
          <cell r="G12">
            <v>5100</v>
          </cell>
        </row>
        <row r="13">
          <cell r="C13" t="str">
            <v>H.T. STEEL 20mm</v>
          </cell>
          <cell r="E13" t="str">
            <v>TON</v>
          </cell>
          <cell r="G13">
            <v>0</v>
          </cell>
        </row>
        <row r="14">
          <cell r="C14" t="str">
            <v>H.T. STEEL 25mm</v>
          </cell>
          <cell r="D14">
            <v>2</v>
          </cell>
          <cell r="E14" t="str">
            <v>TON</v>
          </cell>
          <cell r="F14">
            <v>1020</v>
          </cell>
          <cell r="G14">
            <v>2040</v>
          </cell>
        </row>
        <row r="15">
          <cell r="C15" t="str">
            <v>H.T. STEEL 32mm</v>
          </cell>
          <cell r="E15" t="str">
            <v>TON</v>
          </cell>
          <cell r="G15">
            <v>0</v>
          </cell>
        </row>
      </sheetData>
      <sheetData sheetId="8"/>
      <sheetData sheetId="9" refreshError="1"/>
      <sheetData sheetId="10" refreshError="1"/>
      <sheetData sheetId="1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Qty"/>
      <sheetName val="FORM5"/>
      <sheetName val="Sum"/>
      <sheetName val="FORM14"/>
    </sheetNames>
    <sheetDataSet>
      <sheetData sheetId="0"/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ction 26 05 00"/>
      <sheetName val="Section 26 05 26"/>
      <sheetName val="Section 26 10 00"/>
      <sheetName val="Section 26 25 01"/>
      <sheetName val="Section 26 27 13"/>
      <sheetName val="Section 26 28 00 "/>
      <sheetName val="Section 26 32 13"/>
      <sheetName val="Section 26 33 53"/>
      <sheetName val="Section 26 41 00"/>
      <sheetName val="Section 26 51 00 "/>
      <sheetName val="Section 26 52 00"/>
      <sheetName val="Section 26 56 00"/>
      <sheetName val="Section 27 10 10"/>
      <sheetName val="Section 27 10 20"/>
      <sheetName val="Section 27 10 21"/>
      <sheetName val="Section 27 31 13"/>
      <sheetName val="Section 27 51 19"/>
      <sheetName val="Section 28 23 00"/>
      <sheetName val="Section 28 31 00"/>
      <sheetName val="Summary Page"/>
      <sheetName val="Sheet1"/>
      <sheetName val="Section_26_05_00"/>
      <sheetName val="Section_26_05_26"/>
      <sheetName val="Section_26_10_00"/>
      <sheetName val="Section_26_25_01"/>
      <sheetName val="Section_26_27_13"/>
      <sheetName val="Section_26_28_00_"/>
      <sheetName val="Section_26_32_13"/>
      <sheetName val="Section_26_33_53"/>
      <sheetName val="Section_26_41_00"/>
      <sheetName val="Section_26_51_00_"/>
      <sheetName val="Section_26_52_00"/>
      <sheetName val="Section_26_56_00"/>
      <sheetName val="Section_27_10_10"/>
      <sheetName val="Section_27_10_20"/>
      <sheetName val="Section_27_10_21"/>
      <sheetName val="Section_27_31_13"/>
      <sheetName val="Section_27_51_19"/>
      <sheetName val="Section_28_23_00"/>
      <sheetName val="Section_28_31_00"/>
      <sheetName val="Summary_Pag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산근"/>
      <sheetName val="갑지"/>
      <sheetName val="PROCURE"/>
      <sheetName val="URA"/>
      <sheetName val="제출계산서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rmal Basis"/>
      <sheetName val="MONTHLY BASIS-2008"/>
      <sheetName val="CLINT ADDRESSES"/>
      <sheetName val="LIST OF JOBS"/>
      <sheetName val="OASIS GOLF &amp; COUNTRY CLUB"/>
      <sheetName val="SENT BILLS"/>
      <sheetName val="CLIENT ADDRESS DATA BASE"/>
      <sheetName val="갑지"/>
      <sheetName val="PROCURE"/>
    </sheetNames>
    <sheetDataSet>
      <sheetData sheetId="0">
        <row r="33">
          <cell r="A33">
            <v>894</v>
          </cell>
          <cell r="B33">
            <v>0</v>
          </cell>
          <cell r="C33">
            <v>39714</v>
          </cell>
          <cell r="D33" t="str">
            <v>IBA - SUKKUR</v>
          </cell>
          <cell r="E33" t="str">
            <v>Mr.BASHIR MEMON</v>
          </cell>
          <cell r="F33" t="str">
            <v>BASHIR MEMON</v>
          </cell>
          <cell r="O33" t="str">
            <v>M.R.A. /  A.D.N</v>
          </cell>
          <cell r="P33">
            <v>39760</v>
          </cell>
        </row>
        <row r="41">
          <cell r="A41">
            <v>886</v>
          </cell>
          <cell r="B41">
            <v>0</v>
          </cell>
          <cell r="C41">
            <v>39588</v>
          </cell>
          <cell r="D41" t="str">
            <v>JICA (FIRE SPRINKLER)</v>
          </cell>
          <cell r="E41" t="str">
            <v>Majid Mr.</v>
          </cell>
          <cell r="F41" t="str">
            <v>Shuja Rahim</v>
          </cell>
          <cell r="G41">
            <v>72000</v>
          </cell>
          <cell r="H41">
            <v>25200</v>
          </cell>
          <cell r="I41">
            <v>50000</v>
          </cell>
          <cell r="O41" t="str">
            <v>ALI</v>
          </cell>
          <cell r="P41">
            <v>39590</v>
          </cell>
        </row>
        <row r="42">
          <cell r="A42">
            <v>887</v>
          </cell>
          <cell r="B42">
            <v>3</v>
          </cell>
          <cell r="C42">
            <v>39605</v>
          </cell>
          <cell r="D42" t="str">
            <v>PROPOSED BEACON HOUSE CAMPUS SURVERY SHEET NO. 35/P/I, BLOCK-6, P.E.C.H.S IMAM AHMED ROAD</v>
          </cell>
          <cell r="E42" t="str">
            <v>Mr. Tariq Qaiser</v>
          </cell>
          <cell r="F42" t="str">
            <v>TAQ, ASSOCIATES   ( PVT.)   LIMITED,ARCHITECTURE  AND  INTERIOR  DESIGN,7-G BLOCK 6 PECHS KARACHI 2905 PAKISTANTEL: 4543442  4541510  FAX: 4520785</v>
          </cell>
          <cell r="G42">
            <v>900000</v>
          </cell>
          <cell r="H42">
            <v>225000</v>
          </cell>
          <cell r="I42">
            <v>450000</v>
          </cell>
          <cell r="J42">
            <v>225000</v>
          </cell>
          <cell r="O42" t="str">
            <v>MAQ</v>
          </cell>
          <cell r="P42">
            <v>39542</v>
          </cell>
        </row>
        <row r="51">
          <cell r="A51">
            <v>910</v>
          </cell>
          <cell r="B51">
            <v>0</v>
          </cell>
          <cell r="C51">
            <v>39878</v>
          </cell>
          <cell r="D51" t="str">
            <v>Fatima Jinnah Post Graduate College (Muzafferabad)</v>
          </cell>
          <cell r="E51" t="str">
            <v>Mr. Babar</v>
          </cell>
          <cell r="F51" t="str">
            <v>TAQ, ASSOCIATES   ( PVT.)   LIMITED,ARCHITECTURE  AND  INTERIOR  DESIGN,7-G BLOCK 6 PECHS KARACHI 2905 PAKISTANTEL: 4543442  4541510  FAX: 4520785</v>
          </cell>
          <cell r="G51">
            <v>25000</v>
          </cell>
          <cell r="H51">
            <v>12500</v>
          </cell>
          <cell r="I51">
            <v>6250</v>
          </cell>
          <cell r="J51">
            <v>6250</v>
          </cell>
          <cell r="O51" t="str">
            <v>A.D.N</v>
          </cell>
          <cell r="P51">
            <v>39731</v>
          </cell>
          <cell r="Q51" t="str">
            <v>Fire 04/09/2008</v>
          </cell>
        </row>
        <row r="53">
          <cell r="A53" t="str">
            <v>876R</v>
          </cell>
          <cell r="B53">
            <v>0</v>
          </cell>
          <cell r="C53">
            <v>39506</v>
          </cell>
          <cell r="D53" t="str">
            <v xml:space="preserve"> King Abdullah University, RAWALAKOT</v>
          </cell>
          <cell r="E53" t="str">
            <v>Tariq Hassan</v>
          </cell>
          <cell r="F53" t="str">
            <v>The Architect12-A, Hasan Homes, BL-5, Clifton, Karachi - PakistanPh:    021-574538/579071/5868896,Fax:  021-5870729, E-Mail: thearchs@cyber.net.pk</v>
          </cell>
          <cell r="G53">
            <v>20000</v>
          </cell>
          <cell r="H53">
            <v>10000</v>
          </cell>
          <cell r="I53">
            <v>10000</v>
          </cell>
          <cell r="O53" t="str">
            <v>A.D.N</v>
          </cell>
        </row>
        <row r="57">
          <cell r="A57">
            <v>872</v>
          </cell>
          <cell r="B57">
            <v>2</v>
          </cell>
          <cell r="C57">
            <v>39505</v>
          </cell>
          <cell r="D57" t="str">
            <v>PROPOSED COMMERCIAL BUILDING ON PLOT NO. 14-C/I COMM. LANE NO. 3 PH. VI DHA KARACHI  FOR MR. IFTIKHAR SOOMRO</v>
          </cell>
          <cell r="E57" t="str">
            <v>Mr. Ahsan Najmi</v>
          </cell>
          <cell r="F57" t="str">
            <v>Najmi Bilgrami CollaborativeRawal Masjid Annexe Block 6 Hillpark Karachi-Pakistan</v>
          </cell>
          <cell r="G57">
            <v>32000</v>
          </cell>
          <cell r="H57">
            <v>16000</v>
          </cell>
          <cell r="I57">
            <v>18000</v>
          </cell>
          <cell r="J57">
            <v>26000</v>
          </cell>
          <cell r="O57" t="str">
            <v>A.D.N</v>
          </cell>
        </row>
        <row r="58">
          <cell r="A58">
            <v>873</v>
          </cell>
          <cell r="B58">
            <v>2</v>
          </cell>
          <cell r="C58">
            <v>39505</v>
          </cell>
          <cell r="D58" t="str">
            <v>PROPOSED BUNGALOW ON PLOT NO.156/II D.H.A. PH. VIII.19TH STREET FOR MR ADNAN ABIDIN</v>
          </cell>
          <cell r="E58" t="str">
            <v>Mr. Ahsan Najmi</v>
          </cell>
          <cell r="F58" t="str">
            <v>Najmi Bilgrami CollaborativeRawal Masjid Annexe Block 6 Hillpark Karachi-Pakistan</v>
          </cell>
          <cell r="G58">
            <v>31400</v>
          </cell>
          <cell r="H58">
            <v>10990</v>
          </cell>
          <cell r="I58">
            <v>21400</v>
          </cell>
          <cell r="J58">
            <v>26000</v>
          </cell>
          <cell r="O58" t="str">
            <v>M.A.Q</v>
          </cell>
          <cell r="P58">
            <v>39542</v>
          </cell>
        </row>
        <row r="59">
          <cell r="A59">
            <v>872</v>
          </cell>
          <cell r="B59">
            <v>2</v>
          </cell>
          <cell r="C59">
            <v>39505</v>
          </cell>
          <cell r="D59" t="str">
            <v>PROPOSED COMMERCIAL BUILDING ON PLOT NO. 14-C/I COMM. LANE NO. 3 PH. VI DHA KARACHI  FOR MR. IFTIKHAR SOOMRO</v>
          </cell>
          <cell r="E59" t="str">
            <v>Mr. Ahsan Najmi</v>
          </cell>
          <cell r="F59" t="str">
            <v>Najmi Bilgrami CollaborativeRawal Masjid Annexe Block 6 Hillpark Karachi-Pakistan</v>
          </cell>
          <cell r="G59">
            <v>32000</v>
          </cell>
          <cell r="H59">
            <v>16000</v>
          </cell>
          <cell r="I59">
            <v>18000</v>
          </cell>
          <cell r="J59">
            <v>7000</v>
          </cell>
          <cell r="O59" t="str">
            <v>A.D.N</v>
          </cell>
        </row>
        <row r="76">
          <cell r="A76">
            <v>754</v>
          </cell>
          <cell r="B76">
            <v>4</v>
          </cell>
          <cell r="C76">
            <v>39443</v>
          </cell>
          <cell r="D76" t="str">
            <v>Lahore Jamat Khana</v>
          </cell>
          <cell r="E76" t="str">
            <v>Hafiz Sher Ali</v>
          </cell>
          <cell r="F76" t="str">
            <v>Collaborative Design,Planning Architecture and Interior Design Group,301-302 &amp; 306 Marine Pride, Block-7, Khyaban-e-Iqbal, Clifton, Karachi-75600</v>
          </cell>
          <cell r="G76">
            <v>174000</v>
          </cell>
          <cell r="H76">
            <v>20000</v>
          </cell>
          <cell r="I76">
            <v>10000</v>
          </cell>
          <cell r="J76">
            <v>100000</v>
          </cell>
          <cell r="K76">
            <v>44000</v>
          </cell>
          <cell r="L76">
            <v>4</v>
          </cell>
          <cell r="M76">
            <v>5</v>
          </cell>
          <cell r="O76" t="str">
            <v>M.R.A</v>
          </cell>
          <cell r="P76">
            <v>39636</v>
          </cell>
          <cell r="Q76">
            <v>433000</v>
          </cell>
        </row>
        <row r="133">
          <cell r="A133">
            <v>707</v>
          </cell>
          <cell r="B133">
            <v>1</v>
          </cell>
          <cell r="C133">
            <v>38769</v>
          </cell>
          <cell r="D133" t="str">
            <v>S.O.S Jamshoro Village</v>
          </cell>
          <cell r="E133" t="str">
            <v>Tariq Hassan</v>
          </cell>
          <cell r="F133" t="str">
            <v>The Architect12-A, Hasan Homes, BL-5, Clifton, Karachi - PakistanPh:    021-574538/579071/5868896,Fax:  021-5870729, E-Mail: thearchs@cyber.net.pk</v>
          </cell>
          <cell r="G133">
            <v>160000</v>
          </cell>
          <cell r="H133">
            <v>50000</v>
          </cell>
          <cell r="I133">
            <v>60000</v>
          </cell>
          <cell r="O133" t="str">
            <v>M.R.A</v>
          </cell>
          <cell r="P133">
            <v>39034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ction 26 05 00"/>
      <sheetName val="Section 26 09 33"/>
      <sheetName val="26 27 13"/>
      <sheetName val="Section 26 27 27 "/>
      <sheetName val="Section 26 28 00 "/>
      <sheetName val="Section 26 33 53"/>
      <sheetName val="Section 26 51 00"/>
      <sheetName val="Section 26 52 00"/>
      <sheetName val="Section 27 10 10"/>
      <sheetName val="Section 27 10 20"/>
      <sheetName val="Section 27 51 32"/>
      <sheetName val="Section 28 31 00"/>
      <sheetName val="Section 29 10 10"/>
      <sheetName val="Summary Page"/>
      <sheetName val="Sheet1"/>
      <sheetName val="PROJECT COST COMPARISON"/>
      <sheetName val="PROJECT COST COMPARISON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oq-civil"/>
      <sheetName val="Item Rate Analysis"/>
      <sheetName val="Sheet1"/>
      <sheetName val="Ext.Boq139"/>
      <sheetName val="MATave I&amp;II MODEL"/>
      <sheetName val="Services"/>
      <sheetName val="B.O.Q"/>
      <sheetName val="MixBed"/>
      <sheetName val="elec.rate analysis"/>
      <sheetName val="CondPol"/>
    </sheetNames>
    <sheetDataSet>
      <sheetData sheetId="0">
        <row r="1">
          <cell r="K1">
            <v>100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lock - A"/>
    </sheetNames>
    <sheetDataSet>
      <sheetData sheetId="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CC PIPES ANALYSIS"/>
      <sheetName val="INSURANCE-NICL"/>
      <sheetName val="Masonry Works"/>
      <sheetName val="KACHHI MATERIALS"/>
      <sheetName val="Rent of Machine"/>
      <sheetName val="EARTH WORK &amp; ROAD BPASS"/>
      <sheetName val="MS- G.I PiPEs"/>
      <sheetName val="BOQ KACHHI"/>
      <sheetName val="In-direct cost"/>
      <sheetName val="Sheet1"/>
      <sheetName val="PROCESS"/>
      <sheetName val="RCC_PIPES_ANALYSIS"/>
      <sheetName val="Masonry_Works"/>
      <sheetName val="KACHHI_MATERIALS"/>
      <sheetName val="Rent_of_Machine"/>
      <sheetName val="EARTH_WORK_&amp;_ROAD_BPASS"/>
      <sheetName val="MS-_G_I_PiPEs"/>
      <sheetName val="BOQ_KACHHI"/>
      <sheetName val="In-direct_cost"/>
      <sheetName val="RCC_PIPES_ANALYSIS1"/>
      <sheetName val="Masonry_Works1"/>
      <sheetName val="KACHHI_MATERIALS1"/>
      <sheetName val="Rent_of_Machine1"/>
      <sheetName val="EARTH_WORK_&amp;_ROAD_BPASS1"/>
      <sheetName val="MS-_G_I_PiPEs1"/>
      <sheetName val="BOQ_KACHHI1"/>
      <sheetName val="In-direct_cost1"/>
      <sheetName val="RCC_PIPES_ANALYSIS2"/>
      <sheetName val="Masonry_Works2"/>
      <sheetName val="KACHHI_MATERIALS2"/>
      <sheetName val="Rent_of_Machine2"/>
      <sheetName val="EARTH_WORK_&amp;_ROAD_BPASS2"/>
      <sheetName val="MS-_G_I_PiPEs2"/>
      <sheetName val="BOQ_KACHHI2"/>
      <sheetName val="In-direct_cost2"/>
      <sheetName val="RCC_PIPES_ANALYSIS3"/>
      <sheetName val="Masonry_Works3"/>
      <sheetName val="KACHHI_MATERIALS3"/>
      <sheetName val="Rent_of_Machine3"/>
      <sheetName val="EARTH_WORK_&amp;_ROAD_BPASS3"/>
      <sheetName val="MS-_G_I_PiPEs3"/>
      <sheetName val="BOQ_KACHHI3"/>
      <sheetName val="In-direct_cost3"/>
      <sheetName val="Rate List"/>
      <sheetName val="SIZING"/>
      <sheetName val="Ext.Boq"/>
      <sheetName val="Ist r.bill"/>
      <sheetName val="KACHHI CANAL KC-4-FIR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4">
          <cell r="H4">
            <v>0.1751352251774892</v>
          </cell>
        </row>
      </sheetData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 refreshError="1"/>
      <sheetData sheetId="18"/>
      <sheetData sheetId="19" refreshError="1"/>
      <sheetData sheetId="20"/>
      <sheetData sheetId="21"/>
      <sheetData sheetId="22"/>
      <sheetData sheetId="23"/>
      <sheetData sheetId="24"/>
      <sheetData sheetId="25">
        <row r="4">
          <cell r="H4">
            <v>0.1751352251774892</v>
          </cell>
        </row>
      </sheetData>
      <sheetData sheetId="26">
        <row r="4">
          <cell r="H4">
            <v>0.1751352251774892</v>
          </cell>
        </row>
      </sheetData>
      <sheetData sheetId="27"/>
      <sheetData sheetId="28"/>
      <sheetData sheetId="29"/>
      <sheetData sheetId="30"/>
      <sheetData sheetId="31">
        <row r="4">
          <cell r="H4">
            <v>0.1751352251774892</v>
          </cell>
        </row>
      </sheetData>
      <sheetData sheetId="32"/>
      <sheetData sheetId="33">
        <row r="4">
          <cell r="H4">
            <v>0.1751352251774892</v>
          </cell>
        </row>
      </sheetData>
      <sheetData sheetId="34">
        <row r="4">
          <cell r="H4">
            <v>0.1751352251774892</v>
          </cell>
        </row>
      </sheetData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LLING PRICE ANALYSIS"/>
      <sheetName val="PriceComp"/>
      <sheetName val="Composite Summary"/>
      <sheetName val="GR 01 00 Gen"/>
      <sheetName val="Constant"/>
      <sheetName val="SWU 02 00 Site"/>
      <sheetName val="Panels"/>
      <sheetName val="Prices"/>
      <sheetName val="FB 03 00 Factory Bldg"/>
      <sheetName val="OB 04 00 Office Bldg"/>
      <sheetName val="FGW 05 00 Finish Good Warehouse"/>
      <sheetName val="RMC 06 00 Raw Material Bldg"/>
      <sheetName val="GPS 07 00 Grinding Plant"/>
      <sheetName val="MB 08 00 Mosque"/>
      <sheetName val="SSB 09 00 SS Bldg"/>
      <sheetName val="FPH 10 00 00 Fire Pump House"/>
      <sheetName val="GHB 03 00 Guardhouse"/>
    </sheetNames>
    <sheetDataSet>
      <sheetData sheetId="0"/>
      <sheetData sheetId="1"/>
      <sheetData sheetId="2">
        <row r="1">
          <cell r="E1" t="str">
            <v>DESIGN OF GLASS FIBER PLANT</v>
          </cell>
        </row>
        <row r="3">
          <cell r="E3" t="str">
            <v>FIBER GLASS OASIS LTD. CO.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RA"/>
      <sheetName val="BID"/>
      <sheetName val="Tables"/>
      <sheetName val="BBS"/>
      <sheetName val="제출계산서"/>
      <sheetName val="Normal Basis"/>
      <sheetName val="SIZING"/>
      <sheetName val="Ttl-data"/>
      <sheetName val="Titel"/>
      <sheetName val="Mst"/>
      <sheetName val="RFP003D"/>
      <sheetName val="B.O.Q"/>
      <sheetName val="BQ Working"/>
      <sheetName val="TALIBWAL"/>
      <sheetName val="External boq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BOQ.Tax (R)"/>
      <sheetName val="Elect. Jr."/>
      <sheetName val="Elect. Sr."/>
      <sheetName val="Plumbing"/>
      <sheetName val="Summary Rev"/>
      <sheetName val="BOQ.Tax Rev"/>
      <sheetName val="Elect. Jr. Rev"/>
      <sheetName val="Elect. Sr Rev"/>
      <sheetName val="Plumbing Rev"/>
      <sheetName val="Secured Advance"/>
      <sheetName val="Secured Detail"/>
      <sheetName val="Columns G.F"/>
      <sheetName val="G.F Beam"/>
      <sheetName val="Plinth Beams"/>
      <sheetName val="PCC for PB"/>
      <sheetName val="Exc for PB"/>
      <sheetName val="Termite"/>
      <sheetName val="BW"/>
      <sheetName val="Canteen"/>
      <sheetName val="Analysis"/>
      <sheetName val="Star Rates (2)"/>
      <sheetName val="Steel"/>
      <sheetName val="Door"/>
      <sheetName val="Window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 DRYWALL-Villa B"/>
      <sheetName val="K DRYWALL-Villa A"/>
      <sheetName val="K - Drywall-Corrd"/>
      <sheetName val="K - Drywall-Excut"/>
      <sheetName val="K - Drywall-Presd"/>
    </sheetNames>
    <sheetDataSet>
      <sheetData sheetId="0" refreshError="1"/>
      <sheetData sheetId="1" refreshError="1"/>
      <sheetData sheetId="2" refreshError="1"/>
      <sheetData sheetId="3" refreshError="1"/>
      <sheetData sheetId="4">
        <row r="7">
          <cell r="B7" t="str">
            <v>K LININGS/ SHEATHING/DRY PARTITIONING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OQ (2)"/>
      <sheetName val="STND-MATERIAL COST "/>
      <sheetName val="MATERIALS - RATES  (2)"/>
      <sheetName val="MATERIALS - RATES "/>
      <sheetName val="BOQ"/>
      <sheetName val="EARTH WORK &amp; ROAD"/>
      <sheetName val="BOQ_(2)"/>
      <sheetName val="STND-MATERIAL_COST_"/>
      <sheetName val="MATERIALS_-_RATES__(2)"/>
      <sheetName val="MATERIALS_-_RATES_"/>
      <sheetName val="EARTH_WORK_&amp;_ROAD"/>
      <sheetName val="BOQ_(2)1"/>
      <sheetName val="STND-MATERIAL_COST_1"/>
      <sheetName val="MATERIALS_-_RATES__(2)1"/>
      <sheetName val="MATERIALS_-_RATES_1"/>
      <sheetName val="EARTH_WORK_&amp;_ROAD1"/>
      <sheetName val="RFP003D"/>
      <sheetName val="예산계획"/>
      <sheetName val="Code"/>
      <sheetName val="Civil Boq"/>
      <sheetName val="당초"/>
      <sheetName val="Services"/>
      <sheetName val="Tabl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ction 16010"/>
      <sheetName val="Section 16010-b"/>
      <sheetName val="Section 16050"/>
      <sheetName val="Section 16110 "/>
      <sheetName val="Section 16170"/>
      <sheetName val="Section 16300"/>
      <sheetName val="Section 16400"/>
      <sheetName val="Section 16500"/>
      <sheetName val="Section 16530"/>
      <sheetName val="Section 16535"/>
      <sheetName val="Section 16620 "/>
      <sheetName val="Section 16670"/>
      <sheetName val="Section 16720-(a)"/>
      <sheetName val="Section 16720-(b)"/>
      <sheetName val="Section 16722-(a)"/>
      <sheetName val="Section 16722 (b)"/>
      <sheetName val="Section 16723"/>
      <sheetName val="Section 16724"/>
      <sheetName val="Section 16731"/>
      <sheetName val="Section 16740"/>
      <sheetName val="Section 16740-b"/>
      <sheetName val="Section 16741"/>
      <sheetName val="Section 16745"/>
      <sheetName val="Section 16770 (a)"/>
      <sheetName val="Section 16770 (b)"/>
      <sheetName val="Section 16782"/>
      <sheetName val="Section 16890"/>
      <sheetName val="Summary Page"/>
      <sheetName val="Table of Content"/>
      <sheetName val="DI-ESTI"/>
      <sheetName val="Section_16010"/>
      <sheetName val="Section_16010-b"/>
      <sheetName val="Section_16050"/>
      <sheetName val="Section_16110_"/>
      <sheetName val="Section_16170"/>
      <sheetName val="Section_16300"/>
      <sheetName val="Section_16400"/>
      <sheetName val="Section_16500"/>
      <sheetName val="Section_16530"/>
      <sheetName val="Section_16535"/>
      <sheetName val="Section_16620_"/>
      <sheetName val="Section_16670"/>
      <sheetName val="Section_16720-(a)"/>
      <sheetName val="Section_16720-(b)"/>
      <sheetName val="Section_16722-(a)"/>
      <sheetName val="Section_16722_(b)"/>
      <sheetName val="Section_16723"/>
      <sheetName val="Section_16724"/>
      <sheetName val="Section_16731"/>
      <sheetName val="Section_16740"/>
      <sheetName val="Section_16740-b"/>
      <sheetName val="Section_16741"/>
      <sheetName val="Section_16745"/>
      <sheetName val="Section_16770_(a)"/>
      <sheetName val="Section_16770_(b)"/>
      <sheetName val="Section_16782"/>
      <sheetName val="Section_16890"/>
      <sheetName val="Summary_Page"/>
      <sheetName val="Table_of_Content"/>
      <sheetName val="Tools"/>
      <sheetName val="HEAT EXCHR SOW CALCTR"/>
      <sheetName val="HEAT_EXCHR_SOW_CALCTR"/>
      <sheetName val="Section_160501"/>
      <sheetName val="Section_160101"/>
      <sheetName val="Section_16010-b1"/>
      <sheetName val="Section_16110_1"/>
      <sheetName val="Section_161701"/>
      <sheetName val="Section_163001"/>
      <sheetName val="Section_164001"/>
      <sheetName val="Section_165001"/>
      <sheetName val="Section_165301"/>
      <sheetName val="Section_165351"/>
      <sheetName val="Section_16620_1"/>
      <sheetName val="Section_166701"/>
      <sheetName val="Section_16720-(a)1"/>
      <sheetName val="Section_16720-(b)1"/>
      <sheetName val="Section_16722-(a)1"/>
      <sheetName val="Section_16722_(b)1"/>
      <sheetName val="Section_167231"/>
      <sheetName val="Section_167241"/>
      <sheetName val="Section_167311"/>
      <sheetName val="Section_167401"/>
      <sheetName val="Section_16740-b1"/>
      <sheetName val="Section_167411"/>
      <sheetName val="Section_167451"/>
      <sheetName val="Section_16770_(a)1"/>
      <sheetName val="Section_16770_(b)1"/>
      <sheetName val="Section_167821"/>
      <sheetName val="Section_168901"/>
      <sheetName val="Summary_Page1"/>
      <sheetName val="Table_of_Content1"/>
      <sheetName val="HEAT_EXCHR_SOW_CALCTR1"/>
      <sheetName val="Section_160502"/>
      <sheetName val="Section_160102"/>
      <sheetName val="Section_16010-b2"/>
      <sheetName val="Section_16110_2"/>
      <sheetName val="Section_161702"/>
      <sheetName val="Section_163002"/>
      <sheetName val="Section_164002"/>
      <sheetName val="Section_165002"/>
      <sheetName val="Section_165302"/>
      <sheetName val="Section_165352"/>
      <sheetName val="Section_16620_2"/>
      <sheetName val="Section_166702"/>
      <sheetName val="Section_16720-(a)2"/>
      <sheetName val="Section_16720-(b)2"/>
      <sheetName val="Section_16722-(a)2"/>
      <sheetName val="Section_16722_(b)2"/>
      <sheetName val="Section_167232"/>
      <sheetName val="Section_167242"/>
      <sheetName val="Section_167312"/>
      <sheetName val="Section_167402"/>
      <sheetName val="Section_16740-b2"/>
      <sheetName val="Section_167412"/>
      <sheetName val="Section_167452"/>
      <sheetName val="Section_16770_(a)2"/>
      <sheetName val="Section_16770_(b)2"/>
      <sheetName val="Section_167822"/>
      <sheetName val="Section_168902"/>
      <sheetName val="Summary_Page2"/>
      <sheetName val="Table_of_Content2"/>
      <sheetName val="HEAT_EXCHR_SOW_CALCTR2"/>
      <sheetName val="Pipe Dia"/>
      <sheetName val="Section_160503"/>
      <sheetName val="Section_160103"/>
      <sheetName val="Section_16010-b3"/>
      <sheetName val="Section_16110_3"/>
      <sheetName val="Section_161703"/>
      <sheetName val="Section_163003"/>
      <sheetName val="Section_164003"/>
      <sheetName val="Section_165003"/>
      <sheetName val="Section_165303"/>
      <sheetName val="Section_165353"/>
      <sheetName val="Section_16620_3"/>
      <sheetName val="Section_166703"/>
      <sheetName val="Section_16720-(a)3"/>
      <sheetName val="Section_16720-(b)3"/>
      <sheetName val="Section_16722-(a)3"/>
      <sheetName val="Section_16722_(b)3"/>
      <sheetName val="Section_167233"/>
      <sheetName val="Section_167243"/>
      <sheetName val="Section_167313"/>
      <sheetName val="Section_167403"/>
      <sheetName val="Section_16740-b3"/>
      <sheetName val="Section_167413"/>
      <sheetName val="Section_167453"/>
      <sheetName val="Section_16770_(a)3"/>
      <sheetName val="Section_16770_(b)3"/>
      <sheetName val="Section_167823"/>
      <sheetName val="Section_168903"/>
      <sheetName val="Summary_Page3"/>
      <sheetName val="Table_of_Content3"/>
      <sheetName val="HEAT_EXCHR_SOW_CALCTR3"/>
      <sheetName val="Section_160504"/>
      <sheetName val="Section_160104"/>
      <sheetName val="Section_16010-b4"/>
      <sheetName val="Section_16110_4"/>
      <sheetName val="Section_161704"/>
      <sheetName val="Section_163004"/>
      <sheetName val="Section_164004"/>
      <sheetName val="Section_165004"/>
      <sheetName val="Section_165304"/>
      <sheetName val="Section_165354"/>
      <sheetName val="Section_16620_4"/>
      <sheetName val="Section_166704"/>
      <sheetName val="Section_16720-(a)4"/>
      <sheetName val="Section_16720-(b)4"/>
      <sheetName val="Section_16722-(a)4"/>
      <sheetName val="Section_16722_(b)4"/>
      <sheetName val="Section_167234"/>
      <sheetName val="Section_167244"/>
      <sheetName val="Section_167314"/>
      <sheetName val="Section_167404"/>
      <sheetName val="Section_16740-b4"/>
      <sheetName val="Section_167414"/>
      <sheetName val="Section_167454"/>
      <sheetName val="Section_16770_(a)4"/>
      <sheetName val="Section_16770_(b)4"/>
      <sheetName val="Section_167824"/>
      <sheetName val="Section_168904"/>
      <sheetName val="Summary_Page4"/>
      <sheetName val="Table_of_Content4"/>
      <sheetName val="HEAT_EXCHR_SOW_CALCTR4"/>
      <sheetName val="1910"/>
      <sheetName val="MTO"/>
      <sheetName val="B.O.Q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 refreshError="1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 refreshError="1"/>
      <sheetData sheetId="184" refreshError="1"/>
      <sheetData sheetId="185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산근"/>
      <sheetName val="FOOTING"/>
      <sheetName val="Services"/>
      <sheetName val="MATERIALS - RATES 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ble 1"/>
    </sheetNames>
    <sheetDataSet>
      <sheetData sheetId="0">
        <row r="110">
          <cell r="J110">
            <v>109.50049999999999</v>
          </cell>
        </row>
        <row r="124">
          <cell r="J124">
            <v>15.834800000000001</v>
          </cell>
        </row>
        <row r="159">
          <cell r="J159">
            <v>20.151499999999999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</sheetNames>
    <sheetDataSet>
      <sheetData sheetId="0">
        <row r="13">
          <cell r="E13">
            <v>1473194.19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6"/>
  <sheetViews>
    <sheetView showGridLines="0" tabSelected="1" zoomScaleNormal="100" zoomScaleSheetLayoutView="75" workbookViewId="0">
      <selection activeCell="E14" sqref="E14"/>
    </sheetView>
  </sheetViews>
  <sheetFormatPr defaultRowHeight="15"/>
  <cols>
    <col min="1" max="1" width="7.42578125" style="2" customWidth="1"/>
    <col min="2" max="2" width="64.5703125" style="1" customWidth="1"/>
    <col min="3" max="3" width="9.140625" style="1" hidden="1" customWidth="1"/>
    <col min="4" max="4" width="8.85546875" style="1" hidden="1" customWidth="1"/>
    <col min="5" max="5" width="20.28515625" style="6" customWidth="1"/>
    <col min="6" max="6" width="2.85546875" style="6" customWidth="1"/>
    <col min="7" max="7" width="10.7109375" style="1" bestFit="1" customWidth="1"/>
    <col min="8" max="8" width="9.7109375" style="1" bestFit="1" customWidth="1"/>
    <col min="9" max="10" width="10.7109375" style="1" bestFit="1" customWidth="1"/>
    <col min="11" max="11" width="1.28515625" style="1" customWidth="1"/>
    <col min="12" max="12" width="15.42578125" style="1" bestFit="1" customWidth="1"/>
    <col min="13" max="16384" width="9.140625" style="1"/>
  </cols>
  <sheetData>
    <row r="1" spans="1:12" ht="20.25">
      <c r="A1" s="465" t="s">
        <v>75</v>
      </c>
      <c r="B1" s="465"/>
      <c r="C1" s="465"/>
      <c r="D1" s="465"/>
      <c r="E1" s="465"/>
      <c r="F1" s="271"/>
      <c r="H1" s="275"/>
    </row>
    <row r="2" spans="1:12" ht="9.75" customHeight="1">
      <c r="A2" s="271"/>
      <c r="B2" s="271"/>
      <c r="C2" s="271"/>
      <c r="D2" s="271"/>
      <c r="E2" s="271"/>
      <c r="F2" s="271"/>
      <c r="H2" s="275"/>
    </row>
    <row r="3" spans="1:12" ht="15.75">
      <c r="A3" s="466" t="s">
        <v>284</v>
      </c>
      <c r="B3" s="466"/>
      <c r="C3" s="466"/>
      <c r="D3" s="466"/>
      <c r="E3" s="466"/>
      <c r="F3" s="252"/>
    </row>
    <row r="4" spans="1:12" ht="19.5" customHeight="1">
      <c r="A4" s="463"/>
      <c r="B4" s="464"/>
      <c r="C4" s="259"/>
      <c r="D4" s="259"/>
      <c r="E4" s="253" t="s">
        <v>285</v>
      </c>
      <c r="F4" s="253"/>
    </row>
    <row r="5" spans="1:12" ht="27.75" customHeight="1">
      <c r="A5" s="282" t="s">
        <v>261</v>
      </c>
      <c r="B5" s="283" t="s">
        <v>274</v>
      </c>
      <c r="C5" s="284" t="s">
        <v>265</v>
      </c>
      <c r="D5" s="284" t="s">
        <v>266</v>
      </c>
      <c r="E5" s="284" t="s">
        <v>5</v>
      </c>
      <c r="F5" s="272"/>
    </row>
    <row r="6" spans="1:12">
      <c r="A6" s="254"/>
      <c r="B6" s="255"/>
      <c r="C6" s="255"/>
      <c r="D6" s="255"/>
      <c r="E6" s="256"/>
      <c r="F6" s="269"/>
    </row>
    <row r="7" spans="1:12">
      <c r="A7" s="249">
        <v>1</v>
      </c>
      <c r="B7" s="257" t="s">
        <v>262</v>
      </c>
      <c r="C7" s="260"/>
      <c r="D7" s="260"/>
      <c r="E7" s="377">
        <f>HVAC!M87</f>
        <v>3135636</v>
      </c>
      <c r="F7" s="270"/>
    </row>
    <row r="8" spans="1:12">
      <c r="A8" s="248"/>
      <c r="B8" s="258"/>
      <c r="C8" s="258"/>
      <c r="D8" s="258"/>
      <c r="E8" s="250"/>
      <c r="F8" s="269"/>
    </row>
    <row r="9" spans="1:12">
      <c r="A9" s="249">
        <v>2</v>
      </c>
      <c r="B9" s="257" t="s">
        <v>263</v>
      </c>
      <c r="C9" s="261"/>
      <c r="D9" s="261"/>
      <c r="E9" s="377">
        <f>Fire!K89</f>
        <v>877959</v>
      </c>
      <c r="F9" s="270"/>
    </row>
    <row r="10" spans="1:12">
      <c r="A10" s="248"/>
      <c r="B10" s="258"/>
      <c r="C10" s="258"/>
      <c r="D10" s="258"/>
      <c r="E10" s="251"/>
      <c r="F10" s="270"/>
    </row>
    <row r="11" spans="1:12">
      <c r="A11" s="249">
        <v>3</v>
      </c>
      <c r="B11" s="257" t="s">
        <v>264</v>
      </c>
      <c r="C11" s="261"/>
      <c r="D11" s="261"/>
      <c r="E11" s="377">
        <f>Plumbing!L96</f>
        <v>1374349</v>
      </c>
      <c r="F11" s="270"/>
    </row>
    <row r="12" spans="1:12">
      <c r="A12" s="249"/>
      <c r="B12" s="257"/>
      <c r="C12" s="261"/>
      <c r="D12" s="261"/>
      <c r="E12" s="251"/>
      <c r="F12" s="270"/>
    </row>
    <row r="13" spans="1:12">
      <c r="A13" s="249">
        <v>4</v>
      </c>
      <c r="B13" s="257" t="s">
        <v>279</v>
      </c>
      <c r="C13" s="261"/>
      <c r="D13" s="261"/>
      <c r="E13" s="377">
        <f>[24]SUMMARY!$E$13</f>
        <v>1473194.19</v>
      </c>
      <c r="F13" s="270"/>
      <c r="G13" s="461">
        <v>203111</v>
      </c>
      <c r="H13" s="461">
        <v>68815</v>
      </c>
      <c r="I13" s="461">
        <v>205248</v>
      </c>
      <c r="J13" s="461">
        <v>996021</v>
      </c>
      <c r="K13" s="462"/>
      <c r="L13" s="462">
        <f>SUM(G13:K13)</f>
        <v>1473195</v>
      </c>
    </row>
    <row r="14" spans="1:12" ht="15.75" thickBot="1">
      <c r="A14" s="248"/>
      <c r="B14" s="258"/>
      <c r="C14" s="258"/>
      <c r="D14" s="258"/>
      <c r="E14" s="251"/>
      <c r="F14" s="270"/>
    </row>
    <row r="15" spans="1:12" s="266" customFormat="1" ht="20.25" thickBot="1">
      <c r="A15" s="262"/>
      <c r="B15" s="263" t="s">
        <v>267</v>
      </c>
      <c r="C15" s="264"/>
      <c r="D15" s="264"/>
      <c r="E15" s="265">
        <f>E13+E11+E9+E7</f>
        <v>6861138.1899999995</v>
      </c>
      <c r="F15" s="273"/>
    </row>
    <row r="16" spans="1:12">
      <c r="E16" s="274"/>
    </row>
  </sheetData>
  <mergeCells count="3">
    <mergeCell ref="A4:B4"/>
    <mergeCell ref="A1:E1"/>
    <mergeCell ref="A3:E3"/>
  </mergeCells>
  <printOptions horizontalCentered="1"/>
  <pageMargins left="0" right="0" top="0.75" bottom="0.47" header="0.25" footer="0.125"/>
  <pageSetup paperSize="9" firstPageNumber="3" fitToHeight="2" orientation="portrait" useFirstPageNumber="1" r:id="rId1"/>
  <headerFooter alignWithMargins="0">
    <oddFooter xml:space="preserve">&amp;R&amp;"Arial,Bold" 
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7"/>
  <sheetViews>
    <sheetView showGridLines="0" view="pageBreakPreview" topLeftCell="A65" zoomScale="90" zoomScaleNormal="110" zoomScaleSheetLayoutView="90" workbookViewId="0">
      <selection activeCell="M87" sqref="M87"/>
    </sheetView>
  </sheetViews>
  <sheetFormatPr defaultRowHeight="12.75"/>
  <cols>
    <col min="1" max="1" width="9.28515625" style="50" customWidth="1"/>
    <col min="2" max="2" width="20.7109375" style="23" customWidth="1"/>
    <col min="3" max="4" width="25.7109375" style="23" customWidth="1"/>
    <col min="5" max="5" width="7.140625" style="51" customWidth="1"/>
    <col min="6" max="6" width="4.7109375" style="51" customWidth="1"/>
    <col min="7" max="7" width="11.28515625" style="312" customWidth="1"/>
    <col min="8" max="8" width="9.140625" style="312" customWidth="1"/>
    <col min="9" max="9" width="9" style="313" customWidth="1"/>
    <col min="10" max="10" width="11.28515625" style="49" customWidth="1"/>
    <col min="11" max="11" width="11.28515625" style="313" customWidth="1"/>
    <col min="12" max="12" width="11.28515625" style="49" customWidth="1"/>
    <col min="13" max="13" width="16.7109375" style="49" customWidth="1"/>
    <col min="14" max="16384" width="9.140625" style="23"/>
  </cols>
  <sheetData>
    <row r="1" spans="1:19" s="8" customFormat="1" ht="15">
      <c r="A1" s="1" t="s">
        <v>75</v>
      </c>
      <c r="F1" s="9"/>
      <c r="G1" s="3"/>
      <c r="H1" s="3"/>
      <c r="I1" s="10"/>
      <c r="J1" s="10"/>
      <c r="K1" s="10"/>
      <c r="L1" s="10"/>
      <c r="M1" s="3" t="s">
        <v>285</v>
      </c>
    </row>
    <row r="2" spans="1:19" s="8" customFormat="1" ht="15">
      <c r="A2" s="4" t="s">
        <v>53</v>
      </c>
      <c r="G2" s="3"/>
      <c r="H2" s="3"/>
      <c r="I2" s="10"/>
      <c r="J2" s="10"/>
      <c r="K2" s="10"/>
      <c r="L2" s="10"/>
      <c r="M2" s="3"/>
    </row>
    <row r="3" spans="1:19" s="8" customFormat="1" ht="15" customHeight="1">
      <c r="A3" s="11"/>
      <c r="G3" s="3"/>
      <c r="H3" s="3"/>
      <c r="I3" s="10"/>
      <c r="J3" s="10"/>
      <c r="K3" s="10"/>
      <c r="L3" s="10"/>
      <c r="M3" s="3"/>
    </row>
    <row r="4" spans="1:19" s="8" customFormat="1" ht="6.95" customHeight="1">
      <c r="A4" s="11"/>
      <c r="E4" s="276"/>
      <c r="F4" s="276"/>
      <c r="G4" s="3"/>
      <c r="H4" s="3"/>
      <c r="I4" s="10"/>
      <c r="J4" s="10"/>
      <c r="K4" s="10"/>
      <c r="L4" s="10"/>
      <c r="M4" s="9"/>
    </row>
    <row r="5" spans="1:19" s="8" customFormat="1" ht="21.75" customHeight="1">
      <c r="A5" s="483" t="s">
        <v>1</v>
      </c>
      <c r="B5" s="484" t="s">
        <v>2</v>
      </c>
      <c r="C5" s="484"/>
      <c r="D5" s="484"/>
      <c r="E5" s="485" t="s">
        <v>4</v>
      </c>
      <c r="F5" s="485"/>
      <c r="G5" s="485"/>
      <c r="H5" s="485"/>
      <c r="I5" s="486" t="s">
        <v>272</v>
      </c>
      <c r="J5" s="487"/>
      <c r="K5" s="487"/>
      <c r="L5" s="487"/>
      <c r="M5" s="488"/>
    </row>
    <row r="6" spans="1:19" s="8" customFormat="1" ht="21.75" customHeight="1">
      <c r="A6" s="483"/>
      <c r="B6" s="484"/>
      <c r="C6" s="484"/>
      <c r="D6" s="484"/>
      <c r="E6" s="491" t="s">
        <v>269</v>
      </c>
      <c r="F6" s="493" t="s">
        <v>0</v>
      </c>
      <c r="G6" s="491" t="s">
        <v>270</v>
      </c>
      <c r="H6" s="491" t="s">
        <v>271</v>
      </c>
      <c r="I6" s="486" t="s">
        <v>265</v>
      </c>
      <c r="J6" s="488"/>
      <c r="K6" s="486" t="s">
        <v>266</v>
      </c>
      <c r="L6" s="488"/>
      <c r="M6" s="489" t="s">
        <v>267</v>
      </c>
    </row>
    <row r="7" spans="1:19" s="12" customFormat="1" ht="24.75" customHeight="1">
      <c r="A7" s="483"/>
      <c r="B7" s="484"/>
      <c r="C7" s="484"/>
      <c r="D7" s="484"/>
      <c r="E7" s="492"/>
      <c r="F7" s="494"/>
      <c r="G7" s="492"/>
      <c r="H7" s="492"/>
      <c r="I7" s="318" t="s">
        <v>273</v>
      </c>
      <c r="J7" s="281" t="s">
        <v>268</v>
      </c>
      <c r="K7" s="318" t="s">
        <v>273</v>
      </c>
      <c r="L7" s="281" t="s">
        <v>268</v>
      </c>
      <c r="M7" s="490"/>
    </row>
    <row r="8" spans="1:19" s="18" customFormat="1" ht="15" customHeight="1">
      <c r="A8" s="277">
        <v>1</v>
      </c>
      <c r="B8" s="278" t="s">
        <v>66</v>
      </c>
      <c r="C8" s="279"/>
      <c r="D8" s="279"/>
      <c r="E8" s="280"/>
      <c r="F8" s="280"/>
      <c r="G8" s="308"/>
      <c r="H8" s="308"/>
      <c r="I8" s="378"/>
      <c r="J8" s="60"/>
      <c r="K8" s="378"/>
      <c r="L8" s="60"/>
      <c r="M8" s="22"/>
    </row>
    <row r="9" spans="1:19" s="7" customFormat="1" ht="15" customHeight="1">
      <c r="A9" s="73">
        <v>1.1000000000000001</v>
      </c>
      <c r="B9" s="74" t="s">
        <v>67</v>
      </c>
      <c r="C9" s="75"/>
      <c r="D9" s="75"/>
      <c r="E9" s="76"/>
      <c r="F9" s="24"/>
      <c r="G9" s="25"/>
      <c r="H9" s="25"/>
      <c r="I9" s="379"/>
      <c r="J9" s="25"/>
      <c r="K9" s="379"/>
      <c r="L9" s="26"/>
      <c r="M9" s="77"/>
    </row>
    <row r="10" spans="1:19" s="18" customFormat="1" ht="15" customHeight="1">
      <c r="A10" s="27" t="s">
        <v>76</v>
      </c>
      <c r="B10" s="28" t="s">
        <v>68</v>
      </c>
      <c r="C10" s="78"/>
      <c r="D10" s="79"/>
      <c r="E10" s="80">
        <v>12</v>
      </c>
      <c r="F10" s="33" t="s">
        <v>73</v>
      </c>
      <c r="G10" s="92">
        <v>765</v>
      </c>
      <c r="H10" s="92">
        <v>150</v>
      </c>
      <c r="I10" s="320">
        <v>15</v>
      </c>
      <c r="J10" s="92">
        <f>I10*G10</f>
        <v>11475</v>
      </c>
      <c r="K10" s="320">
        <f>I10</f>
        <v>15</v>
      </c>
      <c r="L10" s="93">
        <f>K10*H10</f>
        <v>2250</v>
      </c>
      <c r="M10" s="94">
        <f>L10+J10</f>
        <v>13725</v>
      </c>
      <c r="N10" s="115"/>
      <c r="O10" s="115"/>
      <c r="P10" s="115"/>
    </row>
    <row r="11" spans="1:19" s="18" customFormat="1" ht="15" customHeight="1">
      <c r="A11" s="27" t="s">
        <v>77</v>
      </c>
      <c r="B11" s="82" t="s">
        <v>69</v>
      </c>
      <c r="C11" s="75"/>
      <c r="D11" s="83"/>
      <c r="E11" s="80">
        <v>1</v>
      </c>
      <c r="F11" s="81" t="s">
        <v>9</v>
      </c>
      <c r="G11" s="92">
        <v>4000</v>
      </c>
      <c r="H11" s="92">
        <v>1000</v>
      </c>
      <c r="I11" s="320">
        <v>1</v>
      </c>
      <c r="J11" s="92">
        <f>I11*G11</f>
        <v>4000</v>
      </c>
      <c r="K11" s="320">
        <f>I11</f>
        <v>1</v>
      </c>
      <c r="L11" s="93">
        <f>K11*H11</f>
        <v>1000</v>
      </c>
      <c r="M11" s="94">
        <f>L11+J11</f>
        <v>5000</v>
      </c>
      <c r="N11" s="115"/>
      <c r="O11" s="115"/>
      <c r="P11" s="115"/>
      <c r="Q11" s="7"/>
      <c r="R11" s="7"/>
      <c r="S11" s="7"/>
    </row>
    <row r="12" spans="1:19" s="18" customFormat="1" ht="15" customHeight="1" thickBot="1">
      <c r="A12" s="27" t="s">
        <v>78</v>
      </c>
      <c r="B12" s="84" t="s">
        <v>98</v>
      </c>
      <c r="C12" s="85"/>
      <c r="D12" s="86"/>
      <c r="E12" s="87">
        <v>1</v>
      </c>
      <c r="F12" s="87" t="s">
        <v>9</v>
      </c>
      <c r="G12" s="92">
        <v>18000</v>
      </c>
      <c r="H12" s="92">
        <v>2000</v>
      </c>
      <c r="I12" s="320">
        <v>1</v>
      </c>
      <c r="J12" s="92">
        <f>I12*G12</f>
        <v>18000</v>
      </c>
      <c r="K12" s="320">
        <f>I12</f>
        <v>1</v>
      </c>
      <c r="L12" s="93">
        <f>K12*H12</f>
        <v>2000</v>
      </c>
      <c r="M12" s="94">
        <f>L12+J12</f>
        <v>20000</v>
      </c>
      <c r="N12" s="115"/>
      <c r="O12" s="115"/>
      <c r="P12" s="115"/>
      <c r="Q12" s="7"/>
      <c r="R12" s="7"/>
      <c r="S12" s="7"/>
    </row>
    <row r="13" spans="1:19" s="18" customFormat="1" ht="15" customHeight="1" thickBot="1">
      <c r="A13" s="470" t="s">
        <v>13</v>
      </c>
      <c r="B13" s="471"/>
      <c r="C13" s="471"/>
      <c r="D13" s="471"/>
      <c r="E13" s="471"/>
      <c r="F13" s="472"/>
      <c r="G13" s="309"/>
      <c r="H13" s="309"/>
      <c r="I13" s="380"/>
      <c r="J13" s="88"/>
      <c r="K13" s="380"/>
      <c r="L13" s="88"/>
      <c r="M13" s="16">
        <f>SUM(M10:M12)</f>
        <v>38725</v>
      </c>
      <c r="N13" s="115"/>
      <c r="O13" s="115"/>
      <c r="P13" s="115"/>
      <c r="Q13" s="7"/>
      <c r="R13" s="7"/>
      <c r="S13" s="7"/>
    </row>
    <row r="14" spans="1:19" s="18" customFormat="1" ht="15" customHeight="1">
      <c r="A14" s="13">
        <v>2</v>
      </c>
      <c r="B14" s="14" t="s">
        <v>14</v>
      </c>
      <c r="C14" s="19"/>
      <c r="D14" s="19"/>
      <c r="E14" s="20"/>
      <c r="F14" s="20"/>
      <c r="G14" s="310"/>
      <c r="H14" s="310"/>
      <c r="I14" s="381"/>
      <c r="J14" s="21"/>
      <c r="K14" s="381"/>
      <c r="L14" s="21"/>
      <c r="M14" s="22"/>
      <c r="N14" s="115"/>
      <c r="O14" s="115"/>
      <c r="P14" s="115"/>
      <c r="Q14" s="7"/>
      <c r="R14" s="7"/>
      <c r="S14" s="7"/>
    </row>
    <row r="15" spans="1:19" s="18" customFormat="1" ht="15" customHeight="1">
      <c r="A15" s="31">
        <v>2.1</v>
      </c>
      <c r="B15" s="71" t="s">
        <v>55</v>
      </c>
      <c r="C15" s="30"/>
      <c r="D15" s="32"/>
      <c r="E15" s="33">
        <v>74</v>
      </c>
      <c r="F15" s="33" t="s">
        <v>15</v>
      </c>
      <c r="G15" s="92">
        <v>4900</v>
      </c>
      <c r="H15" s="92">
        <v>900</v>
      </c>
      <c r="I15" s="382">
        <f>'[23]Table 1'!$J$110</f>
        <v>109.50049999999999</v>
      </c>
      <c r="J15" s="320">
        <f t="shared" ref="J15:J19" si="0">I15*G15</f>
        <v>536552.44999999995</v>
      </c>
      <c r="K15" s="382">
        <f t="shared" ref="K15:K19" si="1">I15</f>
        <v>109.50049999999999</v>
      </c>
      <c r="L15" s="93">
        <f t="shared" ref="L15:L19" si="2">K15*H15</f>
        <v>98550.449999999983</v>
      </c>
      <c r="M15" s="94">
        <f>L15+J15</f>
        <v>635102.89999999991</v>
      </c>
      <c r="N15" s="115"/>
      <c r="O15" s="115"/>
      <c r="P15" s="115"/>
    </row>
    <row r="16" spans="1:19" ht="15" customHeight="1">
      <c r="A16" s="31">
        <v>2.2000000000000002</v>
      </c>
      <c r="B16" s="71" t="s">
        <v>56</v>
      </c>
      <c r="C16" s="34"/>
      <c r="D16" s="35"/>
      <c r="E16" s="36">
        <v>5.6</v>
      </c>
      <c r="F16" s="33" t="s">
        <v>15</v>
      </c>
      <c r="G16" s="92">
        <v>4900</v>
      </c>
      <c r="H16" s="92">
        <v>900</v>
      </c>
      <c r="I16" s="382">
        <f>'[23]Table 1'!$J$124+0.16512</f>
        <v>15.999920000000001</v>
      </c>
      <c r="J16" s="92">
        <f t="shared" si="0"/>
        <v>78399.608000000007</v>
      </c>
      <c r="K16" s="382">
        <f t="shared" si="1"/>
        <v>15.999920000000001</v>
      </c>
      <c r="L16" s="93">
        <f t="shared" si="2"/>
        <v>14399.928000000002</v>
      </c>
      <c r="M16" s="94">
        <f>L16+J16</f>
        <v>92799.536000000007</v>
      </c>
      <c r="N16" s="115"/>
      <c r="O16" s="115"/>
      <c r="P16" s="115"/>
    </row>
    <row r="17" spans="1:16" s="388" customFormat="1" ht="15" customHeight="1">
      <c r="A17" s="383">
        <v>2.2999999999999998</v>
      </c>
      <c r="B17" s="71" t="s">
        <v>57</v>
      </c>
      <c r="C17" s="384"/>
      <c r="D17" s="385"/>
      <c r="E17" s="386">
        <v>12.1</v>
      </c>
      <c r="F17" s="387" t="s">
        <v>15</v>
      </c>
      <c r="G17" s="320">
        <v>4900</v>
      </c>
      <c r="H17" s="320">
        <v>900</v>
      </c>
      <c r="I17" s="382">
        <f>'[23]Table 1'!$J$159</f>
        <v>20.151499999999999</v>
      </c>
      <c r="J17" s="320">
        <f t="shared" si="0"/>
        <v>98742.349999999991</v>
      </c>
      <c r="K17" s="382">
        <f t="shared" si="1"/>
        <v>20.151499999999999</v>
      </c>
      <c r="L17" s="333">
        <f t="shared" si="2"/>
        <v>18136.349999999999</v>
      </c>
      <c r="M17" s="342">
        <f>L17+J17</f>
        <v>116878.69999999998</v>
      </c>
      <c r="N17" s="339"/>
      <c r="O17" s="339"/>
      <c r="P17" s="339"/>
    </row>
    <row r="18" spans="1:16" s="388" customFormat="1" ht="15" customHeight="1">
      <c r="A18" s="383">
        <v>2.4</v>
      </c>
      <c r="B18" s="71" t="s">
        <v>74</v>
      </c>
      <c r="C18" s="384"/>
      <c r="D18" s="385"/>
      <c r="E18" s="386">
        <v>1</v>
      </c>
      <c r="F18" s="387" t="s">
        <v>9</v>
      </c>
      <c r="G18" s="320">
        <v>72000</v>
      </c>
      <c r="H18" s="320">
        <v>12000</v>
      </c>
      <c r="I18" s="320">
        <v>1</v>
      </c>
      <c r="J18" s="320">
        <f t="shared" si="0"/>
        <v>72000</v>
      </c>
      <c r="K18" s="320">
        <f t="shared" si="1"/>
        <v>1</v>
      </c>
      <c r="L18" s="333">
        <f t="shared" si="2"/>
        <v>12000</v>
      </c>
      <c r="M18" s="342">
        <f>L18+J18</f>
        <v>84000</v>
      </c>
      <c r="N18" s="339"/>
      <c r="O18" s="339"/>
      <c r="P18" s="339"/>
    </row>
    <row r="19" spans="1:16" s="388" customFormat="1" ht="15" customHeight="1">
      <c r="A19" s="383">
        <v>2.5</v>
      </c>
      <c r="B19" s="82" t="s">
        <v>16</v>
      </c>
      <c r="C19" s="384"/>
      <c r="D19" s="385"/>
      <c r="E19" s="386">
        <v>1</v>
      </c>
      <c r="F19" s="387" t="s">
        <v>9</v>
      </c>
      <c r="G19" s="320">
        <v>48500</v>
      </c>
      <c r="H19" s="320">
        <v>7000</v>
      </c>
      <c r="I19" s="320">
        <v>1</v>
      </c>
      <c r="J19" s="320">
        <f t="shared" si="0"/>
        <v>48500</v>
      </c>
      <c r="K19" s="320">
        <f t="shared" si="1"/>
        <v>1</v>
      </c>
      <c r="L19" s="333">
        <f t="shared" si="2"/>
        <v>7000</v>
      </c>
      <c r="M19" s="342">
        <f>L19+J19</f>
        <v>55500</v>
      </c>
      <c r="N19" s="339"/>
      <c r="O19" s="339"/>
      <c r="P19" s="339"/>
    </row>
    <row r="20" spans="1:16" s="388" customFormat="1" ht="15" customHeight="1">
      <c r="A20" s="383">
        <v>2.6</v>
      </c>
      <c r="B20" s="82" t="s">
        <v>17</v>
      </c>
      <c r="C20" s="384"/>
      <c r="D20" s="385"/>
      <c r="E20" s="386">
        <v>1</v>
      </c>
      <c r="F20" s="387" t="s">
        <v>9</v>
      </c>
      <c r="G20" s="320"/>
      <c r="H20" s="320"/>
      <c r="I20" s="320"/>
      <c r="J20" s="320"/>
      <c r="K20" s="320"/>
      <c r="L20" s="333"/>
      <c r="M20" s="342"/>
      <c r="N20" s="339"/>
      <c r="O20" s="339"/>
      <c r="P20" s="339"/>
    </row>
    <row r="21" spans="1:16" s="388" customFormat="1" ht="15" customHeight="1">
      <c r="A21" s="383">
        <v>2.7</v>
      </c>
      <c r="B21" s="82" t="s">
        <v>18</v>
      </c>
      <c r="C21" s="384"/>
      <c r="D21" s="385"/>
      <c r="E21" s="386">
        <v>1</v>
      </c>
      <c r="F21" s="387" t="s">
        <v>9</v>
      </c>
      <c r="G21" s="320">
        <v>45000</v>
      </c>
      <c r="H21" s="320">
        <v>15000</v>
      </c>
      <c r="I21" s="320">
        <v>1</v>
      </c>
      <c r="J21" s="320">
        <f t="shared" ref="J21:J22" si="3">I21*G21</f>
        <v>45000</v>
      </c>
      <c r="K21" s="320">
        <f t="shared" ref="K21:K22" si="4">I21</f>
        <v>1</v>
      </c>
      <c r="L21" s="333">
        <f t="shared" ref="L21:L22" si="5">K21*H21</f>
        <v>15000</v>
      </c>
      <c r="M21" s="342">
        <f>L21+J21</f>
        <v>60000</v>
      </c>
      <c r="N21" s="339"/>
      <c r="O21" s="339"/>
      <c r="P21" s="339"/>
    </row>
    <row r="22" spans="1:16" s="388" customFormat="1" ht="15" customHeight="1" thickBot="1">
      <c r="A22" s="383">
        <v>2.8</v>
      </c>
      <c r="B22" s="82" t="s">
        <v>19</v>
      </c>
      <c r="C22" s="384"/>
      <c r="D22" s="385"/>
      <c r="E22" s="386">
        <v>1</v>
      </c>
      <c r="F22" s="387" t="s">
        <v>9</v>
      </c>
      <c r="G22" s="320">
        <v>11000</v>
      </c>
      <c r="H22" s="320">
        <v>2000</v>
      </c>
      <c r="I22" s="320">
        <v>1</v>
      </c>
      <c r="J22" s="320">
        <f t="shared" si="3"/>
        <v>11000</v>
      </c>
      <c r="K22" s="320">
        <f t="shared" si="4"/>
        <v>1</v>
      </c>
      <c r="L22" s="333">
        <f t="shared" si="5"/>
        <v>2000</v>
      </c>
      <c r="M22" s="342">
        <f>L22+J22</f>
        <v>13000</v>
      </c>
      <c r="N22" s="339"/>
      <c r="O22" s="339"/>
      <c r="P22" s="339"/>
    </row>
    <row r="23" spans="1:16" s="388" customFormat="1" ht="15" customHeight="1" thickBot="1">
      <c r="A23" s="467" t="s">
        <v>13</v>
      </c>
      <c r="B23" s="468"/>
      <c r="C23" s="468"/>
      <c r="D23" s="468"/>
      <c r="E23" s="468"/>
      <c r="F23" s="469"/>
      <c r="G23" s="389"/>
      <c r="H23" s="389"/>
      <c r="I23" s="380"/>
      <c r="J23" s="380"/>
      <c r="K23" s="380"/>
      <c r="L23" s="380"/>
      <c r="M23" s="390">
        <f>SUM(M15:M22)</f>
        <v>1057281.1359999999</v>
      </c>
      <c r="N23" s="339"/>
      <c r="O23" s="339"/>
      <c r="P23" s="339"/>
    </row>
    <row r="24" spans="1:16" s="388" customFormat="1" ht="15" customHeight="1">
      <c r="A24" s="391">
        <v>3</v>
      </c>
      <c r="B24" s="392" t="s">
        <v>101</v>
      </c>
      <c r="C24" s="384"/>
      <c r="D24" s="384"/>
      <c r="E24" s="393"/>
      <c r="F24" s="394"/>
      <c r="G24" s="395"/>
      <c r="H24" s="395"/>
      <c r="I24" s="396"/>
      <c r="J24" s="396"/>
      <c r="K24" s="396"/>
      <c r="L24" s="397"/>
      <c r="M24" s="398"/>
      <c r="N24" s="339"/>
      <c r="O24" s="339"/>
      <c r="P24" s="339"/>
    </row>
    <row r="25" spans="1:16" s="388" customFormat="1" ht="15" customHeight="1">
      <c r="A25" s="383">
        <v>3.1</v>
      </c>
      <c r="B25" s="82" t="s">
        <v>71</v>
      </c>
      <c r="C25" s="384"/>
      <c r="D25" s="385"/>
      <c r="E25" s="399">
        <v>2.5</v>
      </c>
      <c r="F25" s="387" t="s">
        <v>73</v>
      </c>
      <c r="G25" s="320">
        <v>7500</v>
      </c>
      <c r="H25" s="320">
        <v>1000</v>
      </c>
      <c r="I25" s="382">
        <v>7.14</v>
      </c>
      <c r="J25" s="320">
        <f t="shared" ref="J25:J26" si="6">I25*G25</f>
        <v>53550</v>
      </c>
      <c r="K25" s="382">
        <f t="shared" ref="K25:K26" si="7">I25</f>
        <v>7.14</v>
      </c>
      <c r="L25" s="333">
        <f t="shared" ref="L25:L26" si="8">K25*H25</f>
        <v>7140</v>
      </c>
      <c r="M25" s="342">
        <f>L25+J25</f>
        <v>60690</v>
      </c>
      <c r="N25" s="339"/>
      <c r="O25" s="339"/>
      <c r="P25" s="339"/>
    </row>
    <row r="26" spans="1:16" s="388" customFormat="1" ht="15" customHeight="1" thickBot="1">
      <c r="A26" s="383">
        <v>3.2</v>
      </c>
      <c r="B26" s="82" t="s">
        <v>72</v>
      </c>
      <c r="C26" s="384"/>
      <c r="D26" s="385"/>
      <c r="E26" s="386">
        <v>2.0499999999999998</v>
      </c>
      <c r="F26" s="387" t="s">
        <v>73</v>
      </c>
      <c r="G26" s="320">
        <v>5190</v>
      </c>
      <c r="H26" s="320">
        <v>1000</v>
      </c>
      <c r="I26" s="382">
        <v>12.8</v>
      </c>
      <c r="J26" s="320">
        <f t="shared" si="6"/>
        <v>66432</v>
      </c>
      <c r="K26" s="382">
        <f t="shared" si="7"/>
        <v>12.8</v>
      </c>
      <c r="L26" s="333">
        <f t="shared" si="8"/>
        <v>12800</v>
      </c>
      <c r="M26" s="342">
        <f>L26+J26</f>
        <v>79232</v>
      </c>
      <c r="N26" s="339"/>
      <c r="O26" s="339"/>
      <c r="P26" s="339"/>
    </row>
    <row r="27" spans="1:16" s="388" customFormat="1" ht="15" customHeight="1" thickBot="1">
      <c r="A27" s="467" t="s">
        <v>13</v>
      </c>
      <c r="B27" s="468"/>
      <c r="C27" s="468"/>
      <c r="D27" s="468"/>
      <c r="E27" s="468"/>
      <c r="F27" s="469"/>
      <c r="G27" s="389"/>
      <c r="H27" s="389"/>
      <c r="I27" s="380"/>
      <c r="J27" s="380"/>
      <c r="K27" s="380"/>
      <c r="L27" s="380"/>
      <c r="M27" s="390">
        <f>SUM(M25:M26)</f>
        <v>139922</v>
      </c>
      <c r="N27" s="339"/>
      <c r="O27" s="339"/>
      <c r="P27" s="339"/>
    </row>
    <row r="28" spans="1:16" s="388" customFormat="1" ht="15" customHeight="1">
      <c r="A28" s="391">
        <v>4</v>
      </c>
      <c r="B28" s="392" t="s">
        <v>20</v>
      </c>
      <c r="C28" s="400"/>
      <c r="D28" s="400"/>
      <c r="E28" s="401"/>
      <c r="F28" s="401"/>
      <c r="G28" s="402"/>
      <c r="H28" s="402"/>
      <c r="I28" s="381"/>
      <c r="J28" s="381"/>
      <c r="K28" s="381"/>
      <c r="L28" s="381"/>
      <c r="M28" s="403"/>
      <c r="N28" s="339"/>
      <c r="O28" s="339"/>
      <c r="P28" s="339"/>
    </row>
    <row r="29" spans="1:16" s="388" customFormat="1" ht="15" customHeight="1">
      <c r="A29" s="383">
        <v>4.0999999999999996</v>
      </c>
      <c r="B29" s="404" t="s">
        <v>35</v>
      </c>
      <c r="C29" s="405"/>
      <c r="D29" s="406"/>
      <c r="E29" s="387">
        <f>E15+E16</f>
        <v>79.599999999999994</v>
      </c>
      <c r="F29" s="387" t="s">
        <v>15</v>
      </c>
      <c r="G29" s="320">
        <v>6750</v>
      </c>
      <c r="H29" s="320">
        <v>700</v>
      </c>
      <c r="I29" s="382">
        <f>I15+I16</f>
        <v>125.50041999999999</v>
      </c>
      <c r="J29" s="320">
        <f t="shared" ref="J29:J30" si="9">I29*G29</f>
        <v>847127.83499999996</v>
      </c>
      <c r="K29" s="382">
        <f t="shared" ref="K29:K30" si="10">I29</f>
        <v>125.50041999999999</v>
      </c>
      <c r="L29" s="333">
        <f t="shared" ref="L29:L30" si="11">K29*H29</f>
        <v>87850.293999999994</v>
      </c>
      <c r="M29" s="342">
        <f>L29+J29</f>
        <v>934978.12899999996</v>
      </c>
      <c r="N29" s="339"/>
      <c r="O29" s="339"/>
      <c r="P29" s="339"/>
    </row>
    <row r="30" spans="1:16" ht="15" customHeight="1" thickBot="1">
      <c r="A30" s="37">
        <v>4.2</v>
      </c>
      <c r="B30" s="15" t="s">
        <v>21</v>
      </c>
      <c r="C30" s="34"/>
      <c r="D30" s="35"/>
      <c r="E30" s="38">
        <f>E17</f>
        <v>12.1</v>
      </c>
      <c r="F30" s="33" t="s">
        <v>15</v>
      </c>
      <c r="G30" s="92">
        <v>5900</v>
      </c>
      <c r="H30" s="92">
        <v>600</v>
      </c>
      <c r="I30" s="382">
        <f>I17</f>
        <v>20.151499999999999</v>
      </c>
      <c r="J30" s="320">
        <f t="shared" si="9"/>
        <v>118893.84999999999</v>
      </c>
      <c r="K30" s="382">
        <f t="shared" si="10"/>
        <v>20.151499999999999</v>
      </c>
      <c r="L30" s="93">
        <f t="shared" si="11"/>
        <v>12090.9</v>
      </c>
      <c r="M30" s="94">
        <f>L30+J30</f>
        <v>130984.74999999999</v>
      </c>
      <c r="N30" s="115"/>
      <c r="O30" s="115"/>
      <c r="P30" s="115"/>
    </row>
    <row r="31" spans="1:16" s="18" customFormat="1" ht="15" customHeight="1" thickBot="1">
      <c r="A31" s="470" t="s">
        <v>13</v>
      </c>
      <c r="B31" s="471"/>
      <c r="C31" s="471"/>
      <c r="D31" s="471"/>
      <c r="E31" s="471"/>
      <c r="F31" s="472"/>
      <c r="G31" s="309"/>
      <c r="H31" s="309"/>
      <c r="I31" s="380"/>
      <c r="J31" s="380"/>
      <c r="K31" s="380"/>
      <c r="L31" s="88"/>
      <c r="M31" s="17">
        <f>SUM(M29:M30)</f>
        <v>1065962.879</v>
      </c>
      <c r="N31" s="115"/>
      <c r="O31" s="115"/>
      <c r="P31" s="115"/>
    </row>
    <row r="32" spans="1:16" s="18" customFormat="1" ht="15" customHeight="1">
      <c r="A32" s="13">
        <v>5</v>
      </c>
      <c r="B32" s="14" t="s">
        <v>22</v>
      </c>
      <c r="C32" s="19"/>
      <c r="D32" s="19"/>
      <c r="E32" s="20"/>
      <c r="F32" s="20"/>
      <c r="G32" s="310"/>
      <c r="H32" s="310"/>
      <c r="I32" s="381"/>
      <c r="J32" s="381"/>
      <c r="K32" s="381"/>
      <c r="L32" s="21"/>
      <c r="M32" s="22"/>
      <c r="N32" s="115"/>
      <c r="O32" s="115"/>
      <c r="P32" s="115"/>
    </row>
    <row r="33" spans="1:16" s="18" customFormat="1" ht="15" customHeight="1">
      <c r="A33" s="61">
        <v>5.0999999999999996</v>
      </c>
      <c r="B33" s="39" t="s">
        <v>61</v>
      </c>
      <c r="C33" s="40"/>
      <c r="D33" s="40"/>
      <c r="E33" s="24"/>
      <c r="F33" s="24"/>
      <c r="G33" s="25"/>
      <c r="H33" s="25"/>
      <c r="I33" s="379"/>
      <c r="J33" s="379"/>
      <c r="K33" s="379"/>
      <c r="L33" s="26"/>
      <c r="M33" s="41"/>
      <c r="N33" s="115"/>
      <c r="O33" s="115"/>
      <c r="P33" s="115"/>
    </row>
    <row r="34" spans="1:16" ht="15" customHeight="1">
      <c r="A34" s="62" t="s">
        <v>79</v>
      </c>
      <c r="B34" s="15" t="s">
        <v>36</v>
      </c>
      <c r="C34" s="90"/>
      <c r="D34" s="91"/>
      <c r="E34" s="63">
        <v>1</v>
      </c>
      <c r="F34" s="33" t="s">
        <v>7</v>
      </c>
      <c r="G34" s="92">
        <v>3200</v>
      </c>
      <c r="H34" s="92">
        <v>1000</v>
      </c>
      <c r="I34" s="320">
        <v>1</v>
      </c>
      <c r="J34" s="320">
        <f t="shared" ref="J34:J40" si="12">I34*G34</f>
        <v>3200</v>
      </c>
      <c r="K34" s="320">
        <f t="shared" ref="K34:K40" si="13">I34</f>
        <v>1</v>
      </c>
      <c r="L34" s="93">
        <f t="shared" ref="L34:L40" si="14">K34*H34</f>
        <v>1000</v>
      </c>
      <c r="M34" s="94">
        <f t="shared" ref="M34:M40" si="15">L34+J34</f>
        <v>4200</v>
      </c>
      <c r="N34" s="115"/>
      <c r="O34" s="115"/>
      <c r="P34" s="115"/>
    </row>
    <row r="35" spans="1:16" s="18" customFormat="1" ht="15" customHeight="1">
      <c r="A35" s="62" t="s">
        <v>80</v>
      </c>
      <c r="B35" s="15" t="s">
        <v>37</v>
      </c>
      <c r="C35" s="90"/>
      <c r="D35" s="91"/>
      <c r="E35" s="63">
        <v>1</v>
      </c>
      <c r="F35" s="33" t="s">
        <v>7</v>
      </c>
      <c r="G35" s="92">
        <v>3200</v>
      </c>
      <c r="H35" s="92">
        <v>1000</v>
      </c>
      <c r="I35" s="320">
        <v>1</v>
      </c>
      <c r="J35" s="320">
        <f t="shared" si="12"/>
        <v>3200</v>
      </c>
      <c r="K35" s="320">
        <f t="shared" si="13"/>
        <v>1</v>
      </c>
      <c r="L35" s="93">
        <f t="shared" si="14"/>
        <v>1000</v>
      </c>
      <c r="M35" s="94">
        <f t="shared" si="15"/>
        <v>4200</v>
      </c>
      <c r="N35" s="115"/>
      <c r="O35" s="115"/>
      <c r="P35" s="115"/>
    </row>
    <row r="36" spans="1:16" s="18" customFormat="1" ht="15" customHeight="1">
      <c r="A36" s="62" t="s">
        <v>81</v>
      </c>
      <c r="B36" s="15" t="s">
        <v>38</v>
      </c>
      <c r="C36" s="90"/>
      <c r="D36" s="91"/>
      <c r="E36" s="63">
        <v>1</v>
      </c>
      <c r="F36" s="33" t="s">
        <v>7</v>
      </c>
      <c r="G36" s="92">
        <v>4700</v>
      </c>
      <c r="H36" s="92">
        <v>1000</v>
      </c>
      <c r="I36" s="320">
        <v>1</v>
      </c>
      <c r="J36" s="320">
        <f t="shared" si="12"/>
        <v>4700</v>
      </c>
      <c r="K36" s="320">
        <f t="shared" si="13"/>
        <v>1</v>
      </c>
      <c r="L36" s="93">
        <f t="shared" si="14"/>
        <v>1000</v>
      </c>
      <c r="M36" s="94">
        <f t="shared" si="15"/>
        <v>5700</v>
      </c>
      <c r="N36" s="115"/>
      <c r="O36" s="115"/>
      <c r="P36" s="115"/>
    </row>
    <row r="37" spans="1:16" s="18" customFormat="1" ht="15" customHeight="1">
      <c r="A37" s="62" t="s">
        <v>82</v>
      </c>
      <c r="B37" s="15" t="s">
        <v>40</v>
      </c>
      <c r="C37" s="90"/>
      <c r="D37" s="91"/>
      <c r="E37" s="63">
        <v>1</v>
      </c>
      <c r="F37" s="33" t="s">
        <v>7</v>
      </c>
      <c r="G37" s="92">
        <v>5880</v>
      </c>
      <c r="H37" s="92">
        <v>1000</v>
      </c>
      <c r="I37" s="320">
        <v>1</v>
      </c>
      <c r="J37" s="320">
        <f t="shared" si="12"/>
        <v>5880</v>
      </c>
      <c r="K37" s="320">
        <f t="shared" si="13"/>
        <v>1</v>
      </c>
      <c r="L37" s="93">
        <f t="shared" si="14"/>
        <v>1000</v>
      </c>
      <c r="M37" s="94">
        <f t="shared" si="15"/>
        <v>6880</v>
      </c>
      <c r="N37" s="115"/>
      <c r="O37" s="115"/>
      <c r="P37" s="115"/>
    </row>
    <row r="38" spans="1:16" s="18" customFormat="1" ht="15" customHeight="1">
      <c r="A38" s="62" t="s">
        <v>83</v>
      </c>
      <c r="B38" s="15" t="s">
        <v>41</v>
      </c>
      <c r="C38" s="90"/>
      <c r="D38" s="91"/>
      <c r="E38" s="63">
        <v>1</v>
      </c>
      <c r="F38" s="33" t="s">
        <v>7</v>
      </c>
      <c r="G38" s="92">
        <v>3300</v>
      </c>
      <c r="H38" s="92">
        <v>1000</v>
      </c>
      <c r="I38" s="320">
        <v>1</v>
      </c>
      <c r="J38" s="320">
        <f t="shared" si="12"/>
        <v>3300</v>
      </c>
      <c r="K38" s="320">
        <f t="shared" si="13"/>
        <v>1</v>
      </c>
      <c r="L38" s="93">
        <f t="shared" si="14"/>
        <v>1000</v>
      </c>
      <c r="M38" s="94">
        <f t="shared" si="15"/>
        <v>4300</v>
      </c>
      <c r="N38" s="115"/>
      <c r="O38" s="115"/>
      <c r="P38" s="115"/>
    </row>
    <row r="39" spans="1:16" s="18" customFormat="1" ht="15" customHeight="1">
      <c r="A39" s="62" t="s">
        <v>84</v>
      </c>
      <c r="B39" s="15" t="s">
        <v>42</v>
      </c>
      <c r="C39" s="90"/>
      <c r="D39" s="91"/>
      <c r="E39" s="63">
        <v>3</v>
      </c>
      <c r="F39" s="33" t="s">
        <v>6</v>
      </c>
      <c r="G39" s="92">
        <v>5880</v>
      </c>
      <c r="H39" s="92">
        <v>1000</v>
      </c>
      <c r="I39" s="320">
        <v>3</v>
      </c>
      <c r="J39" s="320">
        <f t="shared" si="12"/>
        <v>17640</v>
      </c>
      <c r="K39" s="320">
        <f t="shared" si="13"/>
        <v>3</v>
      </c>
      <c r="L39" s="93">
        <f t="shared" si="14"/>
        <v>3000</v>
      </c>
      <c r="M39" s="94">
        <f t="shared" si="15"/>
        <v>20640</v>
      </c>
      <c r="N39" s="115"/>
      <c r="O39" s="115"/>
      <c r="P39" s="115"/>
    </row>
    <row r="40" spans="1:16" s="18" customFormat="1" ht="15" customHeight="1">
      <c r="A40" s="62" t="s">
        <v>85</v>
      </c>
      <c r="B40" s="15" t="s">
        <v>43</v>
      </c>
      <c r="C40" s="90"/>
      <c r="D40" s="91"/>
      <c r="E40" s="63">
        <v>1</v>
      </c>
      <c r="F40" s="33" t="s">
        <v>7</v>
      </c>
      <c r="G40" s="92">
        <v>7050</v>
      </c>
      <c r="H40" s="92">
        <v>1000</v>
      </c>
      <c r="I40" s="320">
        <v>2</v>
      </c>
      <c r="J40" s="320">
        <f t="shared" si="12"/>
        <v>14100</v>
      </c>
      <c r="K40" s="320">
        <f t="shared" si="13"/>
        <v>2</v>
      </c>
      <c r="L40" s="93">
        <f t="shared" si="14"/>
        <v>2000</v>
      </c>
      <c r="M40" s="94">
        <f t="shared" si="15"/>
        <v>16100</v>
      </c>
      <c r="N40" s="115"/>
      <c r="O40" s="115"/>
      <c r="P40" s="115"/>
    </row>
    <row r="41" spans="1:16" s="18" customFormat="1" ht="15" customHeight="1">
      <c r="A41" s="61">
        <v>5.2</v>
      </c>
      <c r="B41" s="39" t="s">
        <v>64</v>
      </c>
      <c r="C41" s="40"/>
      <c r="D41" s="40"/>
      <c r="E41" s="24"/>
      <c r="F41" s="24"/>
      <c r="G41" s="25"/>
      <c r="H41" s="25"/>
      <c r="I41" s="379"/>
      <c r="J41" s="379"/>
      <c r="K41" s="379"/>
      <c r="L41" s="26"/>
      <c r="M41" s="41"/>
      <c r="N41" s="115"/>
      <c r="O41" s="115"/>
      <c r="P41" s="115"/>
    </row>
    <row r="42" spans="1:16" s="18" customFormat="1" ht="15" customHeight="1">
      <c r="A42" s="62" t="s">
        <v>86</v>
      </c>
      <c r="B42" s="15" t="s">
        <v>44</v>
      </c>
      <c r="C42" s="90"/>
      <c r="D42" s="91"/>
      <c r="E42" s="63">
        <v>1</v>
      </c>
      <c r="F42" s="33" t="s">
        <v>7</v>
      </c>
      <c r="G42" s="92">
        <v>4560</v>
      </c>
      <c r="H42" s="92">
        <v>1000</v>
      </c>
      <c r="I42" s="320">
        <v>1</v>
      </c>
      <c r="J42" s="320">
        <f t="shared" ref="J42:J44" si="16">I42*G42</f>
        <v>4560</v>
      </c>
      <c r="K42" s="320">
        <f t="shared" ref="K42:K44" si="17">I42</f>
        <v>1</v>
      </c>
      <c r="L42" s="93">
        <f t="shared" ref="L42:L44" si="18">K42*H42</f>
        <v>1000</v>
      </c>
      <c r="M42" s="94">
        <f t="shared" ref="M42:M44" si="19">L42+J42</f>
        <v>5560</v>
      </c>
      <c r="N42" s="115"/>
      <c r="O42" s="115"/>
      <c r="P42" s="115"/>
    </row>
    <row r="43" spans="1:16" s="18" customFormat="1" ht="15" customHeight="1">
      <c r="A43" s="62" t="s">
        <v>87</v>
      </c>
      <c r="B43" s="15" t="s">
        <v>58</v>
      </c>
      <c r="C43" s="90"/>
      <c r="D43" s="91"/>
      <c r="E43" s="63">
        <v>4</v>
      </c>
      <c r="F43" s="33" t="s">
        <v>6</v>
      </c>
      <c r="G43" s="92">
        <v>4560</v>
      </c>
      <c r="H43" s="92">
        <v>1000</v>
      </c>
      <c r="I43" s="320">
        <v>4</v>
      </c>
      <c r="J43" s="320">
        <f t="shared" si="16"/>
        <v>18240</v>
      </c>
      <c r="K43" s="320">
        <f t="shared" si="17"/>
        <v>4</v>
      </c>
      <c r="L43" s="93">
        <f t="shared" si="18"/>
        <v>4000</v>
      </c>
      <c r="M43" s="94">
        <f t="shared" si="19"/>
        <v>22240</v>
      </c>
      <c r="N43" s="115"/>
      <c r="O43" s="115"/>
      <c r="P43" s="115"/>
    </row>
    <row r="44" spans="1:16" s="18" customFormat="1" ht="15" customHeight="1">
      <c r="A44" s="62" t="s">
        <v>88</v>
      </c>
      <c r="B44" s="15" t="s">
        <v>39</v>
      </c>
      <c r="C44" s="90"/>
      <c r="D44" s="91"/>
      <c r="E44" s="63">
        <v>3</v>
      </c>
      <c r="F44" s="33" t="s">
        <v>6</v>
      </c>
      <c r="G44" s="92">
        <v>4560</v>
      </c>
      <c r="H44" s="92">
        <v>1000</v>
      </c>
      <c r="I44" s="320">
        <v>3</v>
      </c>
      <c r="J44" s="320">
        <f t="shared" si="16"/>
        <v>13680</v>
      </c>
      <c r="K44" s="320">
        <f t="shared" si="17"/>
        <v>3</v>
      </c>
      <c r="L44" s="93">
        <f t="shared" si="18"/>
        <v>3000</v>
      </c>
      <c r="M44" s="94">
        <f t="shared" si="19"/>
        <v>16680</v>
      </c>
      <c r="N44" s="115"/>
      <c r="O44" s="115"/>
      <c r="P44" s="115"/>
    </row>
    <row r="45" spans="1:16" s="18" customFormat="1" ht="15" customHeight="1">
      <c r="A45" s="61">
        <v>5.3</v>
      </c>
      <c r="B45" s="39" t="s">
        <v>62</v>
      </c>
      <c r="C45" s="40"/>
      <c r="D45" s="40"/>
      <c r="E45" s="24"/>
      <c r="F45" s="24"/>
      <c r="G45" s="25"/>
      <c r="H45" s="25"/>
      <c r="I45" s="379"/>
      <c r="J45" s="379"/>
      <c r="K45" s="379"/>
      <c r="L45" s="26"/>
      <c r="M45" s="41"/>
      <c r="N45" s="115"/>
      <c r="O45" s="115"/>
      <c r="P45" s="115"/>
    </row>
    <row r="46" spans="1:16" s="18" customFormat="1" ht="15" customHeight="1">
      <c r="A46" s="62" t="s">
        <v>89</v>
      </c>
      <c r="B46" s="15" t="s">
        <v>45</v>
      </c>
      <c r="C46" s="90"/>
      <c r="D46" s="91"/>
      <c r="E46" s="63">
        <v>1</v>
      </c>
      <c r="F46" s="33" t="s">
        <v>7</v>
      </c>
      <c r="G46" s="92">
        <v>14900</v>
      </c>
      <c r="H46" s="92">
        <v>1000</v>
      </c>
      <c r="I46" s="320"/>
      <c r="J46" s="320">
        <f t="shared" ref="J46:J53" si="20">I46*G46</f>
        <v>0</v>
      </c>
      <c r="K46" s="320">
        <f t="shared" ref="K46:K53" si="21">I46</f>
        <v>0</v>
      </c>
      <c r="L46" s="93">
        <f t="shared" ref="L46:L53" si="22">K46*H46</f>
        <v>0</v>
      </c>
      <c r="M46" s="94">
        <f t="shared" ref="M46:M53" si="23">L46+J46</f>
        <v>0</v>
      </c>
      <c r="N46" s="115"/>
      <c r="O46" s="115"/>
      <c r="P46" s="115"/>
    </row>
    <row r="47" spans="1:16" s="18" customFormat="1" ht="15" customHeight="1">
      <c r="A47" s="62" t="s">
        <v>90</v>
      </c>
      <c r="B47" s="15" t="s">
        <v>46</v>
      </c>
      <c r="C47" s="90"/>
      <c r="D47" s="91"/>
      <c r="E47" s="63">
        <v>1</v>
      </c>
      <c r="F47" s="33" t="s">
        <v>7</v>
      </c>
      <c r="G47" s="92">
        <v>8700</v>
      </c>
      <c r="H47" s="92">
        <v>1000</v>
      </c>
      <c r="I47" s="320"/>
      <c r="J47" s="320">
        <f t="shared" si="20"/>
        <v>0</v>
      </c>
      <c r="K47" s="320">
        <f t="shared" si="21"/>
        <v>0</v>
      </c>
      <c r="L47" s="93">
        <f t="shared" si="22"/>
        <v>0</v>
      </c>
      <c r="M47" s="94">
        <f t="shared" si="23"/>
        <v>0</v>
      </c>
      <c r="N47" s="115"/>
      <c r="O47" s="115"/>
      <c r="P47" s="115"/>
    </row>
    <row r="48" spans="1:16" s="18" customFormat="1" ht="15" customHeight="1">
      <c r="A48" s="62" t="s">
        <v>91</v>
      </c>
      <c r="B48" s="15" t="s">
        <v>47</v>
      </c>
      <c r="C48" s="90"/>
      <c r="D48" s="91"/>
      <c r="E48" s="63">
        <v>3</v>
      </c>
      <c r="F48" s="33" t="s">
        <v>6</v>
      </c>
      <c r="G48" s="92">
        <v>5320</v>
      </c>
      <c r="H48" s="92">
        <v>1000</v>
      </c>
      <c r="I48" s="320"/>
      <c r="J48" s="320">
        <f t="shared" si="20"/>
        <v>0</v>
      </c>
      <c r="K48" s="320">
        <f t="shared" si="21"/>
        <v>0</v>
      </c>
      <c r="L48" s="93">
        <f t="shared" si="22"/>
        <v>0</v>
      </c>
      <c r="M48" s="94">
        <f t="shared" si="23"/>
        <v>0</v>
      </c>
      <c r="N48" s="115"/>
      <c r="O48" s="115"/>
      <c r="P48" s="115"/>
    </row>
    <row r="49" spans="1:16" s="18" customFormat="1" ht="15" customHeight="1">
      <c r="A49" s="62" t="s">
        <v>92</v>
      </c>
      <c r="B49" s="15" t="s">
        <v>48</v>
      </c>
      <c r="C49" s="90"/>
      <c r="D49" s="91"/>
      <c r="E49" s="63">
        <v>1</v>
      </c>
      <c r="F49" s="33" t="s">
        <v>7</v>
      </c>
      <c r="G49" s="92">
        <v>3200</v>
      </c>
      <c r="H49" s="92">
        <v>1000</v>
      </c>
      <c r="I49" s="320"/>
      <c r="J49" s="320">
        <f t="shared" si="20"/>
        <v>0</v>
      </c>
      <c r="K49" s="320">
        <f t="shared" si="21"/>
        <v>0</v>
      </c>
      <c r="L49" s="93">
        <f t="shared" si="22"/>
        <v>0</v>
      </c>
      <c r="M49" s="94">
        <f t="shared" si="23"/>
        <v>0</v>
      </c>
      <c r="N49" s="115"/>
      <c r="O49" s="115"/>
      <c r="P49" s="115"/>
    </row>
    <row r="50" spans="1:16" s="18" customFormat="1" ht="15" customHeight="1">
      <c r="A50" s="62" t="s">
        <v>93</v>
      </c>
      <c r="B50" s="15" t="s">
        <v>49</v>
      </c>
      <c r="C50" s="90"/>
      <c r="D50" s="91"/>
      <c r="E50" s="63">
        <v>1</v>
      </c>
      <c r="F50" s="33" t="s">
        <v>7</v>
      </c>
      <c r="G50" s="92">
        <v>3200</v>
      </c>
      <c r="H50" s="92">
        <v>1000</v>
      </c>
      <c r="I50" s="320"/>
      <c r="J50" s="320">
        <f t="shared" si="20"/>
        <v>0</v>
      </c>
      <c r="K50" s="320">
        <f t="shared" si="21"/>
        <v>0</v>
      </c>
      <c r="L50" s="93">
        <f t="shared" si="22"/>
        <v>0</v>
      </c>
      <c r="M50" s="94">
        <f t="shared" si="23"/>
        <v>0</v>
      </c>
      <c r="N50" s="115"/>
      <c r="O50" s="115"/>
      <c r="P50" s="115"/>
    </row>
    <row r="51" spans="1:16" s="18" customFormat="1" ht="15" customHeight="1">
      <c r="A51" s="62" t="s">
        <v>94</v>
      </c>
      <c r="B51" s="15" t="s">
        <v>50</v>
      </c>
      <c r="C51" s="90"/>
      <c r="D51" s="91"/>
      <c r="E51" s="63">
        <v>1</v>
      </c>
      <c r="F51" s="33" t="s">
        <v>7</v>
      </c>
      <c r="G51" s="92">
        <v>4700</v>
      </c>
      <c r="H51" s="92">
        <v>1000</v>
      </c>
      <c r="I51" s="320"/>
      <c r="J51" s="320">
        <f t="shared" si="20"/>
        <v>0</v>
      </c>
      <c r="K51" s="320">
        <f t="shared" si="21"/>
        <v>0</v>
      </c>
      <c r="L51" s="93">
        <f t="shared" si="22"/>
        <v>0</v>
      </c>
      <c r="M51" s="94">
        <f t="shared" si="23"/>
        <v>0</v>
      </c>
      <c r="N51" s="115"/>
      <c r="O51" s="115"/>
      <c r="P51" s="115"/>
    </row>
    <row r="52" spans="1:16" s="18" customFormat="1" ht="15" customHeight="1">
      <c r="A52" s="62" t="s">
        <v>95</v>
      </c>
      <c r="B52" s="15" t="s">
        <v>51</v>
      </c>
      <c r="C52" s="90"/>
      <c r="D52" s="91"/>
      <c r="E52" s="63">
        <v>1</v>
      </c>
      <c r="F52" s="33" t="s">
        <v>7</v>
      </c>
      <c r="G52" s="92">
        <v>5850</v>
      </c>
      <c r="H52" s="92">
        <v>1000</v>
      </c>
      <c r="I52" s="320"/>
      <c r="J52" s="320">
        <f t="shared" si="20"/>
        <v>0</v>
      </c>
      <c r="K52" s="320">
        <f t="shared" si="21"/>
        <v>0</v>
      </c>
      <c r="L52" s="93">
        <f t="shared" si="22"/>
        <v>0</v>
      </c>
      <c r="M52" s="94">
        <f t="shared" si="23"/>
        <v>0</v>
      </c>
      <c r="N52" s="115"/>
      <c r="O52" s="115"/>
      <c r="P52" s="115"/>
    </row>
    <row r="53" spans="1:16" s="18" customFormat="1" ht="15" customHeight="1">
      <c r="A53" s="62" t="s">
        <v>96</v>
      </c>
      <c r="B53" s="15" t="s">
        <v>52</v>
      </c>
      <c r="C53" s="90"/>
      <c r="D53" s="91"/>
      <c r="E53" s="63">
        <v>1</v>
      </c>
      <c r="F53" s="33" t="s">
        <v>7</v>
      </c>
      <c r="G53" s="92">
        <v>3200</v>
      </c>
      <c r="H53" s="92">
        <v>1000</v>
      </c>
      <c r="I53" s="320"/>
      <c r="J53" s="320">
        <f t="shared" si="20"/>
        <v>0</v>
      </c>
      <c r="K53" s="320">
        <f t="shared" si="21"/>
        <v>0</v>
      </c>
      <c r="L53" s="93">
        <f t="shared" si="22"/>
        <v>0</v>
      </c>
      <c r="M53" s="94">
        <f t="shared" si="23"/>
        <v>0</v>
      </c>
      <c r="N53" s="115"/>
      <c r="O53" s="115"/>
      <c r="P53" s="115"/>
    </row>
    <row r="54" spans="1:16" s="18" customFormat="1" ht="15" customHeight="1">
      <c r="A54" s="61">
        <v>5.4</v>
      </c>
      <c r="B54" s="39" t="s">
        <v>60</v>
      </c>
      <c r="C54" s="40"/>
      <c r="D54" s="40"/>
      <c r="E54" s="24"/>
      <c r="F54" s="24"/>
      <c r="G54" s="25"/>
      <c r="H54" s="25"/>
      <c r="I54" s="379"/>
      <c r="J54" s="379"/>
      <c r="K54" s="379"/>
      <c r="L54" s="26"/>
      <c r="M54" s="41"/>
      <c r="N54" s="115"/>
      <c r="O54" s="115"/>
      <c r="P54" s="115"/>
    </row>
    <row r="55" spans="1:16" s="18" customFormat="1" ht="15" customHeight="1" thickBot="1">
      <c r="A55" s="62" t="s">
        <v>97</v>
      </c>
      <c r="B55" s="15" t="s">
        <v>59</v>
      </c>
      <c r="C55" s="90"/>
      <c r="D55" s="91"/>
      <c r="E55" s="63">
        <v>7</v>
      </c>
      <c r="F55" s="33" t="s">
        <v>6</v>
      </c>
      <c r="G55" s="92">
        <v>1200</v>
      </c>
      <c r="H55" s="92">
        <v>500</v>
      </c>
      <c r="I55" s="320">
        <v>5</v>
      </c>
      <c r="J55" s="320">
        <f t="shared" ref="J55" si="24">I55*G55</f>
        <v>6000</v>
      </c>
      <c r="K55" s="320">
        <f t="shared" ref="K55" si="25">I55</f>
        <v>5</v>
      </c>
      <c r="L55" s="93">
        <f t="shared" ref="L55" si="26">K55*H55</f>
        <v>2500</v>
      </c>
      <c r="M55" s="94">
        <f t="shared" ref="M55" si="27">L55+J55</f>
        <v>8500</v>
      </c>
      <c r="N55" s="115"/>
      <c r="O55" s="115"/>
      <c r="P55" s="115"/>
    </row>
    <row r="56" spans="1:16" s="18" customFormat="1" ht="15" customHeight="1" thickBot="1">
      <c r="A56" s="470" t="s">
        <v>13</v>
      </c>
      <c r="B56" s="471"/>
      <c r="C56" s="471"/>
      <c r="D56" s="471"/>
      <c r="E56" s="471"/>
      <c r="F56" s="472"/>
      <c r="G56" s="309"/>
      <c r="H56" s="309"/>
      <c r="I56" s="380"/>
      <c r="J56" s="380"/>
      <c r="K56" s="380"/>
      <c r="L56" s="88"/>
      <c r="M56" s="16">
        <f>SUM(M34:M55)</f>
        <v>115000</v>
      </c>
      <c r="N56" s="115"/>
      <c r="O56" s="115"/>
      <c r="P56" s="115"/>
    </row>
    <row r="57" spans="1:16" s="18" customFormat="1" ht="15" customHeight="1">
      <c r="A57" s="13">
        <v>6</v>
      </c>
      <c r="B57" s="14" t="s">
        <v>99</v>
      </c>
      <c r="C57" s="19"/>
      <c r="D57" s="19"/>
      <c r="E57" s="20"/>
      <c r="F57" s="20"/>
      <c r="G57" s="310"/>
      <c r="H57" s="310"/>
      <c r="I57" s="381"/>
      <c r="J57" s="381"/>
      <c r="K57" s="381"/>
      <c r="L57" s="21"/>
      <c r="M57" s="22"/>
      <c r="N57" s="115"/>
      <c r="O57" s="115"/>
      <c r="P57" s="115"/>
    </row>
    <row r="58" spans="1:16" s="18" customFormat="1" ht="15" customHeight="1">
      <c r="A58" s="55">
        <v>6.1</v>
      </c>
      <c r="B58" s="72" t="s">
        <v>63</v>
      </c>
      <c r="C58" s="30"/>
      <c r="D58" s="32"/>
      <c r="E58" s="36">
        <v>1</v>
      </c>
      <c r="F58" s="36" t="s">
        <v>7</v>
      </c>
      <c r="G58" s="92">
        <v>215000</v>
      </c>
      <c r="H58" s="92">
        <v>8000</v>
      </c>
      <c r="I58" s="320">
        <v>1</v>
      </c>
      <c r="J58" s="320">
        <f t="shared" ref="J58:J59" si="28">I58*G58</f>
        <v>215000</v>
      </c>
      <c r="K58" s="320">
        <f t="shared" ref="K58:K59" si="29">I58</f>
        <v>1</v>
      </c>
      <c r="L58" s="93">
        <f t="shared" ref="L58:L59" si="30">K58*H58</f>
        <v>8000</v>
      </c>
      <c r="M58" s="94">
        <f t="shared" ref="M58:M59" si="31">L58+J58</f>
        <v>223000</v>
      </c>
      <c r="N58" s="115"/>
      <c r="O58" s="115"/>
      <c r="P58" s="115"/>
    </row>
    <row r="59" spans="1:16" ht="15" customHeight="1" thickBot="1">
      <c r="A59" s="37">
        <v>6.2</v>
      </c>
      <c r="B59" s="56" t="s">
        <v>23</v>
      </c>
      <c r="C59" s="57"/>
      <c r="D59" s="58"/>
      <c r="E59" s="38">
        <v>1</v>
      </c>
      <c r="F59" s="59" t="s">
        <v>9</v>
      </c>
      <c r="G59" s="92">
        <v>0</v>
      </c>
      <c r="H59" s="92">
        <v>90000</v>
      </c>
      <c r="I59" s="320">
        <v>1</v>
      </c>
      <c r="J59" s="320">
        <f t="shared" si="28"/>
        <v>0</v>
      </c>
      <c r="K59" s="320">
        <f t="shared" si="29"/>
        <v>1</v>
      </c>
      <c r="L59" s="93">
        <f t="shared" si="30"/>
        <v>90000</v>
      </c>
      <c r="M59" s="94">
        <f t="shared" si="31"/>
        <v>90000</v>
      </c>
      <c r="N59" s="115"/>
      <c r="O59" s="115"/>
      <c r="P59" s="115"/>
    </row>
    <row r="60" spans="1:16" s="7" customFormat="1" ht="15" customHeight="1" thickBot="1">
      <c r="A60" s="470" t="s">
        <v>13</v>
      </c>
      <c r="B60" s="471"/>
      <c r="C60" s="471"/>
      <c r="D60" s="471"/>
      <c r="E60" s="471"/>
      <c r="F60" s="472"/>
      <c r="G60" s="309"/>
      <c r="H60" s="309"/>
      <c r="I60" s="380"/>
      <c r="J60" s="380"/>
      <c r="K60" s="380"/>
      <c r="L60" s="88"/>
      <c r="M60" s="16">
        <f>SUM(M58:M59)</f>
        <v>313000</v>
      </c>
      <c r="N60" s="115"/>
      <c r="O60" s="115"/>
      <c r="P60" s="115"/>
    </row>
    <row r="61" spans="1:16" s="18" customFormat="1" ht="15" customHeight="1">
      <c r="A61" s="64">
        <v>7</v>
      </c>
      <c r="B61" s="65" t="s">
        <v>100</v>
      </c>
      <c r="C61" s="66"/>
      <c r="D61" s="66"/>
      <c r="E61" s="67"/>
      <c r="F61" s="67"/>
      <c r="G61" s="67"/>
      <c r="H61" s="67"/>
      <c r="I61" s="407"/>
      <c r="J61" s="407"/>
      <c r="K61" s="407"/>
      <c r="L61" s="68"/>
      <c r="M61" s="69"/>
      <c r="N61" s="115"/>
      <c r="O61" s="115"/>
      <c r="P61" s="115"/>
    </row>
    <row r="62" spans="1:16" s="18" customFormat="1" ht="15" customHeight="1">
      <c r="A62" s="31">
        <v>7.1</v>
      </c>
      <c r="B62" s="52" t="s">
        <v>65</v>
      </c>
      <c r="C62" s="53"/>
      <c r="D62" s="54"/>
      <c r="E62" s="38">
        <v>1</v>
      </c>
      <c r="F62" s="33" t="s">
        <v>7</v>
      </c>
      <c r="G62" s="92">
        <v>0</v>
      </c>
      <c r="H62" s="92">
        <v>35000</v>
      </c>
      <c r="I62" s="320">
        <v>1</v>
      </c>
      <c r="J62" s="320">
        <f t="shared" ref="J62:J65" si="32">I62*G62</f>
        <v>0</v>
      </c>
      <c r="K62" s="320">
        <f t="shared" ref="K62:K65" si="33">I62</f>
        <v>1</v>
      </c>
      <c r="L62" s="93">
        <f t="shared" ref="L62:L65" si="34">K62*H62</f>
        <v>35000</v>
      </c>
      <c r="M62" s="94">
        <f t="shared" ref="M62:M65" si="35">L62+J62</f>
        <v>35000</v>
      </c>
      <c r="N62" s="115"/>
      <c r="O62" s="115"/>
      <c r="P62" s="115"/>
    </row>
    <row r="63" spans="1:16" s="6" customFormat="1" ht="14.25">
      <c r="A63" s="31">
        <v>7.2</v>
      </c>
      <c r="B63" s="28" t="s">
        <v>70</v>
      </c>
      <c r="C63" s="34"/>
      <c r="D63" s="35"/>
      <c r="E63" s="38">
        <v>1</v>
      </c>
      <c r="F63" s="33" t="s">
        <v>9</v>
      </c>
      <c r="G63" s="92">
        <v>0</v>
      </c>
      <c r="H63" s="92">
        <v>0</v>
      </c>
      <c r="I63" s="320"/>
      <c r="J63" s="320">
        <f t="shared" si="32"/>
        <v>0</v>
      </c>
      <c r="K63" s="320">
        <f t="shared" si="33"/>
        <v>0</v>
      </c>
      <c r="L63" s="93">
        <f t="shared" si="34"/>
        <v>0</v>
      </c>
      <c r="M63" s="94">
        <f t="shared" si="35"/>
        <v>0</v>
      </c>
      <c r="N63" s="115"/>
      <c r="O63" s="115"/>
      <c r="P63" s="115"/>
    </row>
    <row r="64" spans="1:16" s="18" customFormat="1" ht="15" customHeight="1">
      <c r="A64" s="31">
        <v>7.3</v>
      </c>
      <c r="B64" s="70" t="s">
        <v>54</v>
      </c>
      <c r="C64" s="34"/>
      <c r="D64" s="35"/>
      <c r="E64" s="38">
        <v>1</v>
      </c>
      <c r="F64" s="33" t="s">
        <v>9</v>
      </c>
      <c r="G64" s="92">
        <v>0</v>
      </c>
      <c r="H64" s="92">
        <v>0</v>
      </c>
      <c r="I64" s="320"/>
      <c r="J64" s="320">
        <f t="shared" si="32"/>
        <v>0</v>
      </c>
      <c r="K64" s="320">
        <f t="shared" si="33"/>
        <v>0</v>
      </c>
      <c r="L64" s="93">
        <f t="shared" si="34"/>
        <v>0</v>
      </c>
      <c r="M64" s="94">
        <f t="shared" si="35"/>
        <v>0</v>
      </c>
      <c r="N64" s="115"/>
      <c r="O64" s="115"/>
      <c r="P64" s="115"/>
    </row>
    <row r="65" spans="1:16" s="18" customFormat="1" ht="15" customHeight="1" thickBot="1">
      <c r="A65" s="31">
        <v>7.4</v>
      </c>
      <c r="B65" s="56" t="s">
        <v>12</v>
      </c>
      <c r="C65" s="57"/>
      <c r="D65" s="58"/>
      <c r="E65" s="38">
        <v>1</v>
      </c>
      <c r="F65" s="59" t="s">
        <v>9</v>
      </c>
      <c r="G65" s="92">
        <v>0</v>
      </c>
      <c r="H65" s="92">
        <v>15000</v>
      </c>
      <c r="I65" s="320">
        <v>1</v>
      </c>
      <c r="J65" s="320">
        <f t="shared" si="32"/>
        <v>0</v>
      </c>
      <c r="K65" s="320">
        <f t="shared" si="33"/>
        <v>1</v>
      </c>
      <c r="L65" s="93">
        <f t="shared" si="34"/>
        <v>15000</v>
      </c>
      <c r="M65" s="94">
        <f t="shared" si="35"/>
        <v>15000</v>
      </c>
      <c r="N65" s="115"/>
      <c r="O65" s="115"/>
      <c r="P65" s="115"/>
    </row>
    <row r="66" spans="1:16" s="18" customFormat="1" ht="15" customHeight="1" thickBot="1">
      <c r="A66" s="476" t="s">
        <v>13</v>
      </c>
      <c r="B66" s="477"/>
      <c r="C66" s="477"/>
      <c r="D66" s="477"/>
      <c r="E66" s="477"/>
      <c r="F66" s="478"/>
      <c r="G66" s="311"/>
      <c r="H66" s="311"/>
      <c r="I66" s="408"/>
      <c r="J66" s="408"/>
      <c r="K66" s="408"/>
      <c r="L66" s="89"/>
      <c r="M66" s="16">
        <f>SUM(M62:M65)</f>
        <v>50000</v>
      </c>
      <c r="N66" s="115"/>
      <c r="O66" s="115"/>
      <c r="P66" s="115"/>
    </row>
    <row r="67" spans="1:16" s="18" customFormat="1" ht="15" customHeight="1">
      <c r="A67" s="13">
        <v>8</v>
      </c>
      <c r="B67" s="14" t="s">
        <v>24</v>
      </c>
      <c r="C67" s="19"/>
      <c r="D67" s="19"/>
      <c r="E67" s="20"/>
      <c r="F67" s="20"/>
      <c r="G67" s="310"/>
      <c r="H67" s="310"/>
      <c r="I67" s="381"/>
      <c r="J67" s="381"/>
      <c r="K67" s="381"/>
      <c r="L67" s="21"/>
      <c r="M67" s="22"/>
      <c r="N67" s="115"/>
      <c r="O67" s="115"/>
      <c r="P67" s="115"/>
    </row>
    <row r="68" spans="1:16" s="18" customFormat="1" ht="15" customHeight="1" thickBot="1">
      <c r="A68" s="31">
        <v>8.1</v>
      </c>
      <c r="B68" s="15" t="s">
        <v>25</v>
      </c>
      <c r="C68" s="34"/>
      <c r="D68" s="35"/>
      <c r="E68" s="38">
        <v>1</v>
      </c>
      <c r="F68" s="33" t="s">
        <v>9</v>
      </c>
      <c r="G68" s="92">
        <v>0</v>
      </c>
      <c r="H68" s="92">
        <v>60000</v>
      </c>
      <c r="I68" s="320"/>
      <c r="J68" s="320">
        <f t="shared" ref="J68" si="36">I68*G68</f>
        <v>0</v>
      </c>
      <c r="K68" s="320">
        <f t="shared" ref="K68" si="37">I68</f>
        <v>0</v>
      </c>
      <c r="L68" s="93">
        <f t="shared" ref="L68" si="38">K68*H68</f>
        <v>0</v>
      </c>
      <c r="M68" s="94">
        <f t="shared" ref="M68" si="39">L68+J68</f>
        <v>0</v>
      </c>
      <c r="N68" s="115"/>
      <c r="O68" s="115"/>
      <c r="P68" s="115"/>
    </row>
    <row r="69" spans="1:16" ht="15" customHeight="1" thickBot="1">
      <c r="A69" s="470" t="s">
        <v>13</v>
      </c>
      <c r="B69" s="471"/>
      <c r="C69" s="471"/>
      <c r="D69" s="471"/>
      <c r="E69" s="471"/>
      <c r="F69" s="472"/>
      <c r="G69" s="309"/>
      <c r="H69" s="309"/>
      <c r="I69" s="380"/>
      <c r="J69" s="380"/>
      <c r="K69" s="380"/>
      <c r="L69" s="88"/>
      <c r="M69" s="16">
        <f>SUM(M68)</f>
        <v>0</v>
      </c>
      <c r="N69" s="115"/>
      <c r="O69" s="115"/>
      <c r="P69" s="115"/>
    </row>
    <row r="70" spans="1:16" s="18" customFormat="1" ht="15" customHeight="1">
      <c r="A70" s="13">
        <v>9</v>
      </c>
      <c r="B70" s="14" t="s">
        <v>26</v>
      </c>
      <c r="C70" s="19"/>
      <c r="D70" s="19"/>
      <c r="E70" s="20"/>
      <c r="F70" s="20"/>
      <c r="G70" s="310"/>
      <c r="H70" s="310"/>
      <c r="I70" s="381"/>
      <c r="J70" s="381"/>
      <c r="K70" s="381"/>
      <c r="L70" s="21"/>
      <c r="M70" s="22"/>
      <c r="N70" s="115"/>
      <c r="O70" s="115"/>
      <c r="P70" s="115"/>
    </row>
    <row r="71" spans="1:16" s="18" customFormat="1" ht="15" customHeight="1">
      <c r="A71" s="27">
        <v>9.1</v>
      </c>
      <c r="B71" s="28" t="s">
        <v>27</v>
      </c>
      <c r="C71" s="34"/>
      <c r="D71" s="34"/>
      <c r="E71" s="36">
        <v>1</v>
      </c>
      <c r="F71" s="42" t="s">
        <v>9</v>
      </c>
      <c r="G71" s="92">
        <v>0</v>
      </c>
      <c r="H71" s="92">
        <v>15000</v>
      </c>
      <c r="I71" s="320">
        <v>1</v>
      </c>
      <c r="J71" s="320">
        <f t="shared" ref="J71:J73" si="40">I71*G71</f>
        <v>0</v>
      </c>
      <c r="K71" s="320">
        <f t="shared" ref="K71:K73" si="41">I71</f>
        <v>1</v>
      </c>
      <c r="L71" s="93">
        <f t="shared" ref="L71:L73" si="42">K71*H71</f>
        <v>15000</v>
      </c>
      <c r="M71" s="94">
        <f t="shared" ref="M71:M73" si="43">L71+J71</f>
        <v>15000</v>
      </c>
      <c r="N71" s="115"/>
      <c r="O71" s="115"/>
      <c r="P71" s="115"/>
    </row>
    <row r="72" spans="1:16" ht="15" customHeight="1">
      <c r="A72" s="27">
        <v>9.1999999999999993</v>
      </c>
      <c r="B72" s="28" t="s">
        <v>28</v>
      </c>
      <c r="C72" s="34"/>
      <c r="D72" s="34"/>
      <c r="E72" s="36">
        <v>1</v>
      </c>
      <c r="F72" s="42" t="s">
        <v>9</v>
      </c>
      <c r="G72" s="92">
        <v>0</v>
      </c>
      <c r="H72" s="92">
        <v>60000</v>
      </c>
      <c r="I72" s="320"/>
      <c r="J72" s="320">
        <f t="shared" si="40"/>
        <v>0</v>
      </c>
      <c r="K72" s="320">
        <f t="shared" si="41"/>
        <v>0</v>
      </c>
      <c r="L72" s="93">
        <f t="shared" si="42"/>
        <v>0</v>
      </c>
      <c r="M72" s="94">
        <f t="shared" si="43"/>
        <v>0</v>
      </c>
      <c r="N72" s="115"/>
      <c r="O72" s="115"/>
      <c r="P72" s="115"/>
    </row>
    <row r="73" spans="1:16" s="43" customFormat="1" ht="15" customHeight="1" thickBot="1">
      <c r="A73" s="27">
        <v>9.3000000000000007</v>
      </c>
      <c r="B73" s="28" t="s">
        <v>29</v>
      </c>
      <c r="C73" s="34"/>
      <c r="D73" s="34"/>
      <c r="E73" s="38">
        <v>1</v>
      </c>
      <c r="F73" s="42" t="s">
        <v>9</v>
      </c>
      <c r="G73" s="92">
        <v>0</v>
      </c>
      <c r="H73" s="92">
        <v>15000</v>
      </c>
      <c r="I73" s="320">
        <v>0</v>
      </c>
      <c r="J73" s="320">
        <f t="shared" si="40"/>
        <v>0</v>
      </c>
      <c r="K73" s="320">
        <f t="shared" si="41"/>
        <v>0</v>
      </c>
      <c r="L73" s="93">
        <f t="shared" si="42"/>
        <v>0</v>
      </c>
      <c r="M73" s="94">
        <f t="shared" si="43"/>
        <v>0</v>
      </c>
      <c r="N73" s="115"/>
      <c r="O73" s="115"/>
      <c r="P73" s="115"/>
    </row>
    <row r="74" spans="1:16" s="43" customFormat="1" ht="15" customHeight="1" thickBot="1">
      <c r="A74" s="470" t="s">
        <v>13</v>
      </c>
      <c r="B74" s="471"/>
      <c r="C74" s="471"/>
      <c r="D74" s="471"/>
      <c r="E74" s="471"/>
      <c r="F74" s="472"/>
      <c r="G74" s="309"/>
      <c r="H74" s="309"/>
      <c r="I74" s="380"/>
      <c r="J74" s="380"/>
      <c r="K74" s="380"/>
      <c r="L74" s="88"/>
      <c r="M74" s="16">
        <f>SUM(M71:M73)</f>
        <v>15000</v>
      </c>
      <c r="N74" s="115"/>
      <c r="O74" s="115"/>
      <c r="P74" s="115"/>
    </row>
    <row r="75" spans="1:16" s="43" customFormat="1" ht="15" customHeight="1">
      <c r="A75" s="13">
        <v>10</v>
      </c>
      <c r="B75" s="14" t="s">
        <v>30</v>
      </c>
      <c r="C75" s="19"/>
      <c r="D75" s="19"/>
      <c r="E75" s="20"/>
      <c r="F75" s="20"/>
      <c r="G75" s="310"/>
      <c r="H75" s="310"/>
      <c r="I75" s="381"/>
      <c r="J75" s="381"/>
      <c r="K75" s="381"/>
      <c r="L75" s="21"/>
      <c r="M75" s="22"/>
      <c r="N75" s="115"/>
      <c r="O75" s="115"/>
      <c r="P75" s="115"/>
    </row>
    <row r="76" spans="1:16" s="18" customFormat="1" ht="15" customHeight="1">
      <c r="A76" s="27">
        <v>10.1</v>
      </c>
      <c r="B76" s="29" t="s">
        <v>31</v>
      </c>
      <c r="C76" s="44"/>
      <c r="D76" s="45"/>
      <c r="E76" s="36">
        <v>1</v>
      </c>
      <c r="F76" s="42" t="s">
        <v>9</v>
      </c>
      <c r="G76" s="92">
        <v>0</v>
      </c>
      <c r="H76" s="92">
        <v>30000</v>
      </c>
      <c r="I76" s="320">
        <v>1</v>
      </c>
      <c r="J76" s="320">
        <f t="shared" ref="J76:J77" si="44">I76*G76</f>
        <v>0</v>
      </c>
      <c r="K76" s="320">
        <f t="shared" ref="K76:K77" si="45">I76</f>
        <v>1</v>
      </c>
      <c r="L76" s="93">
        <f t="shared" ref="L76:L77" si="46">K76*H76</f>
        <v>30000</v>
      </c>
      <c r="M76" s="94">
        <f t="shared" ref="M76:M77" si="47">L76+J76</f>
        <v>30000</v>
      </c>
      <c r="N76" s="115"/>
      <c r="O76" s="115"/>
      <c r="P76" s="115"/>
    </row>
    <row r="77" spans="1:16" ht="15" customHeight="1" thickBot="1">
      <c r="A77" s="27">
        <v>10.199999999999999</v>
      </c>
      <c r="B77" s="29" t="s">
        <v>32</v>
      </c>
      <c r="C77" s="44"/>
      <c r="D77" s="47"/>
      <c r="E77" s="38">
        <v>1</v>
      </c>
      <c r="F77" s="42" t="s">
        <v>9</v>
      </c>
      <c r="G77" s="92">
        <v>0</v>
      </c>
      <c r="H77" s="92">
        <v>15000</v>
      </c>
      <c r="I77" s="320"/>
      <c r="J77" s="320">
        <f t="shared" si="44"/>
        <v>0</v>
      </c>
      <c r="K77" s="320">
        <f t="shared" si="45"/>
        <v>0</v>
      </c>
      <c r="L77" s="93">
        <f t="shared" si="46"/>
        <v>0</v>
      </c>
      <c r="M77" s="94">
        <f t="shared" si="47"/>
        <v>0</v>
      </c>
      <c r="N77" s="115"/>
      <c r="O77" s="115"/>
      <c r="P77" s="115"/>
    </row>
    <row r="78" spans="1:16" s="46" customFormat="1" ht="15" customHeight="1" thickBot="1">
      <c r="A78" s="470" t="s">
        <v>8</v>
      </c>
      <c r="B78" s="471"/>
      <c r="C78" s="471"/>
      <c r="D78" s="471"/>
      <c r="E78" s="471"/>
      <c r="F78" s="472"/>
      <c r="G78" s="309"/>
      <c r="H78" s="309"/>
      <c r="I78" s="380"/>
      <c r="J78" s="380"/>
      <c r="K78" s="380"/>
      <c r="L78" s="88"/>
      <c r="M78" s="16">
        <f>SUM(M76:M77)</f>
        <v>30000</v>
      </c>
      <c r="N78" s="115"/>
      <c r="O78" s="115"/>
      <c r="P78" s="115"/>
    </row>
    <row r="79" spans="1:16" s="46" customFormat="1" ht="15" customHeight="1">
      <c r="A79" s="13">
        <v>11</v>
      </c>
      <c r="B79" s="14" t="s">
        <v>3</v>
      </c>
      <c r="C79" s="19"/>
      <c r="D79" s="19"/>
      <c r="E79" s="20"/>
      <c r="F79" s="20"/>
      <c r="G79" s="310"/>
      <c r="H79" s="310"/>
      <c r="I79" s="381"/>
      <c r="J79" s="381"/>
      <c r="K79" s="381"/>
      <c r="L79" s="21"/>
      <c r="M79" s="22"/>
      <c r="N79" s="115"/>
      <c r="O79" s="115"/>
      <c r="P79" s="115"/>
    </row>
    <row r="80" spans="1:16" s="18" customFormat="1" ht="15" customHeight="1">
      <c r="A80" s="409">
        <v>11.1</v>
      </c>
      <c r="B80" s="404" t="s">
        <v>10</v>
      </c>
      <c r="C80" s="410"/>
      <c r="D80" s="411"/>
      <c r="E80" s="386">
        <v>1</v>
      </c>
      <c r="F80" s="412" t="s">
        <v>9</v>
      </c>
      <c r="G80" s="320">
        <v>0</v>
      </c>
      <c r="H80" s="320">
        <v>15000</v>
      </c>
      <c r="I80" s="320">
        <v>1</v>
      </c>
      <c r="J80" s="320">
        <f t="shared" ref="J80:J83" si="48">I80*G80</f>
        <v>0</v>
      </c>
      <c r="K80" s="320">
        <f t="shared" ref="K80:K83" si="49">I80</f>
        <v>1</v>
      </c>
      <c r="L80" s="93">
        <f t="shared" ref="L80:L83" si="50">K80*H80</f>
        <v>15000</v>
      </c>
      <c r="M80" s="94">
        <f t="shared" ref="M80:M83" si="51">L80+J80</f>
        <v>15000</v>
      </c>
      <c r="N80" s="115"/>
      <c r="O80" s="115"/>
      <c r="P80" s="115"/>
    </row>
    <row r="81" spans="1:16" ht="15" customHeight="1">
      <c r="A81" s="409">
        <v>11.2</v>
      </c>
      <c r="B81" s="404" t="s">
        <v>11</v>
      </c>
      <c r="C81" s="410"/>
      <c r="D81" s="411"/>
      <c r="E81" s="386">
        <v>1</v>
      </c>
      <c r="F81" s="412" t="s">
        <v>9</v>
      </c>
      <c r="G81" s="320">
        <v>0</v>
      </c>
      <c r="H81" s="320">
        <v>10000</v>
      </c>
      <c r="I81" s="320"/>
      <c r="J81" s="320">
        <f t="shared" si="48"/>
        <v>0</v>
      </c>
      <c r="K81" s="320">
        <f t="shared" si="49"/>
        <v>0</v>
      </c>
      <c r="L81" s="93">
        <f t="shared" si="50"/>
        <v>0</v>
      </c>
      <c r="M81" s="94">
        <f t="shared" si="51"/>
        <v>0</v>
      </c>
      <c r="N81" s="115"/>
      <c r="O81" s="115"/>
      <c r="P81" s="115"/>
    </row>
    <row r="82" spans="1:16" s="18" customFormat="1" ht="15" customHeight="1">
      <c r="A82" s="409">
        <v>11.3</v>
      </c>
      <c r="B82" s="404" t="s">
        <v>33</v>
      </c>
      <c r="C82" s="410"/>
      <c r="D82" s="411"/>
      <c r="E82" s="386">
        <v>1</v>
      </c>
      <c r="F82" s="412" t="s">
        <v>9</v>
      </c>
      <c r="G82" s="320">
        <v>0</v>
      </c>
      <c r="H82" s="320">
        <v>30000</v>
      </c>
      <c r="I82" s="320">
        <v>1</v>
      </c>
      <c r="J82" s="320">
        <f t="shared" si="48"/>
        <v>0</v>
      </c>
      <c r="K82" s="320">
        <f t="shared" si="49"/>
        <v>1</v>
      </c>
      <c r="L82" s="93">
        <f t="shared" si="50"/>
        <v>30000</v>
      </c>
      <c r="M82" s="94">
        <f t="shared" si="51"/>
        <v>30000</v>
      </c>
      <c r="N82" s="115"/>
      <c r="O82" s="115"/>
      <c r="P82" s="115"/>
    </row>
    <row r="83" spans="1:16" s="18" customFormat="1" ht="15" customHeight="1" thickBot="1">
      <c r="A83" s="413">
        <v>11.4</v>
      </c>
      <c r="B83" s="84" t="s">
        <v>34</v>
      </c>
      <c r="C83" s="414"/>
      <c r="D83" s="415"/>
      <c r="E83" s="416">
        <v>1</v>
      </c>
      <c r="F83" s="417" t="s">
        <v>9</v>
      </c>
      <c r="G83" s="418">
        <v>0</v>
      </c>
      <c r="H83" s="418">
        <v>20000</v>
      </c>
      <c r="I83" s="418"/>
      <c r="J83" s="418">
        <f t="shared" si="48"/>
        <v>0</v>
      </c>
      <c r="K83" s="418">
        <f t="shared" si="49"/>
        <v>0</v>
      </c>
      <c r="L83" s="293">
        <f t="shared" si="50"/>
        <v>0</v>
      </c>
      <c r="M83" s="94">
        <f t="shared" si="51"/>
        <v>0</v>
      </c>
      <c r="N83" s="115"/>
      <c r="O83" s="115"/>
      <c r="P83" s="115"/>
    </row>
    <row r="84" spans="1:16" s="18" customFormat="1" ht="15" customHeight="1" thickBot="1">
      <c r="A84" s="473" t="s">
        <v>13</v>
      </c>
      <c r="B84" s="474"/>
      <c r="C84" s="474"/>
      <c r="D84" s="474"/>
      <c r="E84" s="474"/>
      <c r="F84" s="475"/>
      <c r="G84" s="420"/>
      <c r="H84" s="420"/>
      <c r="I84" s="419"/>
      <c r="J84" s="419"/>
      <c r="K84" s="419"/>
      <c r="L84" s="300"/>
      <c r="M84" s="48">
        <f>SUM(M80:M83)</f>
        <v>45000</v>
      </c>
      <c r="N84" s="115"/>
      <c r="O84" s="115"/>
      <c r="P84" s="115"/>
    </row>
    <row r="85" spans="1:16" s="18" customFormat="1" ht="15" customHeight="1" thickBot="1">
      <c r="A85" s="495" t="s">
        <v>102</v>
      </c>
      <c r="B85" s="496"/>
      <c r="C85" s="496"/>
      <c r="D85" s="496"/>
      <c r="E85" s="496"/>
      <c r="F85" s="497"/>
      <c r="G85" s="422"/>
      <c r="H85" s="422"/>
      <c r="I85" s="421"/>
      <c r="J85" s="421"/>
      <c r="K85" s="421"/>
      <c r="L85" s="299"/>
      <c r="M85" s="95">
        <f>M84+M78+M74+M69+M66+M60+M56+M31+M27+M23+M13</f>
        <v>2869891.0149999997</v>
      </c>
      <c r="N85" s="115"/>
      <c r="O85" s="115"/>
      <c r="P85" s="115"/>
    </row>
    <row r="86" spans="1:16" s="18" customFormat="1" ht="15" customHeight="1" thickBot="1">
      <c r="A86" s="479" t="s">
        <v>280</v>
      </c>
      <c r="B86" s="480"/>
      <c r="C86" s="480"/>
      <c r="D86" s="480"/>
      <c r="E86" s="480"/>
      <c r="F86" s="480"/>
      <c r="G86" s="480"/>
      <c r="H86" s="480"/>
      <c r="I86" s="480"/>
      <c r="J86" s="480"/>
      <c r="K86" s="423"/>
      <c r="L86" s="298"/>
      <c r="M86" s="289">
        <f>ROUND(M87-M85,0)</f>
        <v>265745</v>
      </c>
    </row>
    <row r="87" spans="1:16" ht="15.75" thickBot="1">
      <c r="A87" s="481" t="s">
        <v>283</v>
      </c>
      <c r="B87" s="482"/>
      <c r="C87" s="482"/>
      <c r="D87" s="482"/>
      <c r="E87" s="482"/>
      <c r="F87" s="482"/>
      <c r="G87" s="482"/>
      <c r="H87" s="482"/>
      <c r="I87" s="482"/>
      <c r="J87" s="482"/>
      <c r="K87" s="424"/>
      <c r="L87" s="298"/>
      <c r="M87" s="289">
        <f>ROUND(M85/0.91525,0)</f>
        <v>3135636</v>
      </c>
    </row>
  </sheetData>
  <mergeCells count="25">
    <mergeCell ref="A86:J86"/>
    <mergeCell ref="A87:J87"/>
    <mergeCell ref="A5:A7"/>
    <mergeCell ref="B5:D7"/>
    <mergeCell ref="E5:H5"/>
    <mergeCell ref="I5:M5"/>
    <mergeCell ref="I6:J6"/>
    <mergeCell ref="K6:L6"/>
    <mergeCell ref="M6:M7"/>
    <mergeCell ref="E6:E7"/>
    <mergeCell ref="F6:F7"/>
    <mergeCell ref="G6:G7"/>
    <mergeCell ref="H6:H7"/>
    <mergeCell ref="A85:F85"/>
    <mergeCell ref="A13:F13"/>
    <mergeCell ref="A23:F23"/>
    <mergeCell ref="A27:F27"/>
    <mergeCell ref="A31:F31"/>
    <mergeCell ref="A84:F84"/>
    <mergeCell ref="A56:F56"/>
    <mergeCell ref="A60:F60"/>
    <mergeCell ref="A69:F69"/>
    <mergeCell ref="A74:F74"/>
    <mergeCell ref="A78:F78"/>
    <mergeCell ref="A66:F66"/>
  </mergeCells>
  <printOptions horizontalCentered="1" gridLinesSet="0"/>
  <pageMargins left="0.5" right="0.25" top="0.75" bottom="0.53" header="0.5" footer="0.12"/>
  <pageSetup paperSize="9" scale="82" firstPageNumber="4" fitToHeight="0" orientation="landscape" useFirstPageNumber="1" r:id="rId1"/>
  <headerFooter alignWithMargins="0">
    <oddFooter xml:space="preserve">&amp;L&amp;"Arial,Bold"Fahim, Nanji &amp;&amp; deSouza (Pvt.) Ltd.
&amp;"Arial,Regular"Consulting Engineers&amp;R&amp;"Arial,Bold"Page -&amp;P&amp;9
</oddFooter>
  </headerFooter>
  <rowBreaks count="1" manualBreakCount="1">
    <brk id="66" max="12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C185"/>
  <sheetViews>
    <sheetView showGridLines="0" view="pageBreakPreview" zoomScaleNormal="110" zoomScaleSheetLayoutView="100" workbookViewId="0">
      <selection activeCell="K89" sqref="K89"/>
    </sheetView>
  </sheetViews>
  <sheetFormatPr defaultColWidth="9.140625" defaultRowHeight="12.75"/>
  <cols>
    <col min="1" max="1" width="8.7109375" style="245" customWidth="1"/>
    <col min="2" max="2" width="58.7109375" style="244" customWidth="1"/>
    <col min="3" max="3" width="6.42578125" style="246" customWidth="1"/>
    <col min="4" max="4" width="5.28515625" style="246" customWidth="1"/>
    <col min="5" max="5" width="10.42578125" style="247" customWidth="1"/>
    <col min="6" max="6" width="9.85546875" style="247" customWidth="1"/>
    <col min="7" max="7" width="7.85546875" style="316" customWidth="1"/>
    <col min="8" max="8" width="11.28515625" style="247" customWidth="1"/>
    <col min="9" max="9" width="8.140625" style="316" customWidth="1"/>
    <col min="10" max="10" width="11.28515625" style="247" customWidth="1"/>
    <col min="11" max="11" width="12.85546875" style="247" customWidth="1"/>
    <col min="12" max="12" width="11" style="244" bestFit="1" customWidth="1"/>
    <col min="13" max="16384" width="9.140625" style="244"/>
  </cols>
  <sheetData>
    <row r="1" spans="1:55" s="1" customFormat="1" ht="15">
      <c r="A1" s="1" t="s">
        <v>75</v>
      </c>
      <c r="E1" s="3"/>
      <c r="F1" s="3"/>
      <c r="G1" s="368"/>
      <c r="H1" s="368"/>
      <c r="I1" s="368"/>
      <c r="J1" s="3"/>
      <c r="K1" s="3" t="s">
        <v>285</v>
      </c>
    </row>
    <row r="2" spans="1:55" s="1" customFormat="1" ht="15">
      <c r="A2" s="193" t="s">
        <v>197</v>
      </c>
      <c r="E2" s="3"/>
      <c r="F2" s="3"/>
      <c r="G2" s="368"/>
      <c r="H2" s="368"/>
      <c r="I2" s="368"/>
      <c r="J2" s="3"/>
      <c r="K2" s="3"/>
    </row>
    <row r="3" spans="1:55" s="1" customFormat="1" ht="15">
      <c r="A3" s="193"/>
      <c r="E3" s="3"/>
      <c r="F3" s="3"/>
      <c r="G3" s="368"/>
      <c r="H3" s="368"/>
      <c r="I3" s="368"/>
      <c r="J3" s="3"/>
      <c r="K3" s="3"/>
    </row>
    <row r="4" spans="1:55" s="194" customFormat="1" ht="6.95" customHeight="1" thickBot="1">
      <c r="A4" s="1"/>
      <c r="B4" s="1"/>
      <c r="C4" s="1"/>
      <c r="D4" s="1"/>
      <c r="E4" s="3"/>
      <c r="F4" s="3"/>
      <c r="G4" s="368"/>
      <c r="H4" s="368"/>
      <c r="I4" s="368"/>
      <c r="J4" s="3"/>
      <c r="K4" s="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spans="1:55" s="8" customFormat="1" ht="21.75" customHeight="1">
      <c r="A5" s="483" t="s">
        <v>1</v>
      </c>
      <c r="B5" s="493" t="s">
        <v>2</v>
      </c>
      <c r="C5" s="485" t="s">
        <v>4</v>
      </c>
      <c r="D5" s="485"/>
      <c r="E5" s="485"/>
      <c r="F5" s="485"/>
      <c r="G5" s="486" t="s">
        <v>272</v>
      </c>
      <c r="H5" s="487"/>
      <c r="I5" s="487"/>
      <c r="J5" s="487"/>
      <c r="K5" s="488"/>
    </row>
    <row r="6" spans="1:55" s="8" customFormat="1" ht="21.75" customHeight="1">
      <c r="A6" s="483"/>
      <c r="B6" s="506"/>
      <c r="C6" s="491" t="s">
        <v>269</v>
      </c>
      <c r="D6" s="493" t="s">
        <v>0</v>
      </c>
      <c r="E6" s="491" t="s">
        <v>270</v>
      </c>
      <c r="F6" s="491" t="s">
        <v>271</v>
      </c>
      <c r="G6" s="486" t="s">
        <v>265</v>
      </c>
      <c r="H6" s="488"/>
      <c r="I6" s="486" t="s">
        <v>266</v>
      </c>
      <c r="J6" s="488"/>
      <c r="K6" s="489" t="s">
        <v>267</v>
      </c>
    </row>
    <row r="7" spans="1:55" s="12" customFormat="1" ht="24.75" customHeight="1">
      <c r="A7" s="483"/>
      <c r="B7" s="507"/>
      <c r="C7" s="508"/>
      <c r="D7" s="507"/>
      <c r="E7" s="508"/>
      <c r="F7" s="508"/>
      <c r="G7" s="318" t="s">
        <v>273</v>
      </c>
      <c r="H7" s="318" t="s">
        <v>268</v>
      </c>
      <c r="I7" s="318" t="s">
        <v>273</v>
      </c>
      <c r="J7" s="281" t="s">
        <v>268</v>
      </c>
      <c r="K7" s="490"/>
    </row>
    <row r="8" spans="1:55" s="7" customFormat="1" ht="14.25" customHeight="1">
      <c r="A8" s="5">
        <v>1</v>
      </c>
      <c r="B8" s="195" t="s">
        <v>198</v>
      </c>
      <c r="C8" s="196"/>
      <c r="D8" s="196"/>
      <c r="E8" s="196"/>
      <c r="F8" s="196"/>
      <c r="G8" s="425"/>
      <c r="H8" s="425"/>
      <c r="I8" s="425"/>
      <c r="J8" s="196"/>
      <c r="K8" s="196"/>
    </row>
    <row r="9" spans="1:55" s="7" customFormat="1" ht="14.1" customHeight="1">
      <c r="A9" s="197">
        <v>1.1000000000000001</v>
      </c>
      <c r="B9" s="75" t="s">
        <v>199</v>
      </c>
      <c r="C9" s="198">
        <v>5</v>
      </c>
      <c r="D9" s="199" t="s">
        <v>6</v>
      </c>
      <c r="E9" s="302">
        <v>9000</v>
      </c>
      <c r="F9" s="302">
        <v>1000</v>
      </c>
      <c r="G9" s="320">
        <v>9</v>
      </c>
      <c r="H9" s="320">
        <f>G9*E9</f>
        <v>81000</v>
      </c>
      <c r="I9" s="320">
        <f>G9</f>
        <v>9</v>
      </c>
      <c r="J9" s="93">
        <f>I9*F9</f>
        <v>9000</v>
      </c>
      <c r="K9" s="94">
        <f>J9+H9</f>
        <v>90000</v>
      </c>
      <c r="L9" s="115"/>
      <c r="M9" s="115"/>
    </row>
    <row r="10" spans="1:55" s="7" customFormat="1" ht="25.5" customHeight="1">
      <c r="A10" s="197">
        <v>1.2</v>
      </c>
      <c r="B10" s="200" t="s">
        <v>200</v>
      </c>
      <c r="C10" s="198">
        <v>1</v>
      </c>
      <c r="D10" s="199" t="s">
        <v>9</v>
      </c>
      <c r="E10" s="302">
        <v>0</v>
      </c>
      <c r="F10" s="302">
        <v>35000</v>
      </c>
      <c r="G10" s="320">
        <v>1</v>
      </c>
      <c r="H10" s="320">
        <f>G10*E10</f>
        <v>0</v>
      </c>
      <c r="I10" s="320">
        <f>G10</f>
        <v>1</v>
      </c>
      <c r="J10" s="93">
        <f>I10*F10</f>
        <v>35000</v>
      </c>
      <c r="K10" s="94">
        <f>J10+H10</f>
        <v>35000</v>
      </c>
      <c r="L10" s="115"/>
      <c r="M10" s="115"/>
    </row>
    <row r="11" spans="1:55" s="7" customFormat="1" ht="14.25" customHeight="1" thickBot="1">
      <c r="A11" s="197">
        <v>1.3</v>
      </c>
      <c r="B11" s="75" t="s">
        <v>201</v>
      </c>
      <c r="C11" s="198" t="s">
        <v>108</v>
      </c>
      <c r="D11" s="201" t="s">
        <v>7</v>
      </c>
      <c r="E11" s="302">
        <v>0</v>
      </c>
      <c r="F11" s="302">
        <v>0</v>
      </c>
      <c r="G11" s="320">
        <v>0</v>
      </c>
      <c r="H11" s="320">
        <f>G11*E11</f>
        <v>0</v>
      </c>
      <c r="I11" s="320">
        <f>G11</f>
        <v>0</v>
      </c>
      <c r="J11" s="93">
        <f>I11*F11</f>
        <v>0</v>
      </c>
      <c r="K11" s="94">
        <f>J11+H11</f>
        <v>0</v>
      </c>
      <c r="L11" s="115"/>
      <c r="M11" s="115"/>
    </row>
    <row r="12" spans="1:55" s="7" customFormat="1" ht="14.25" customHeight="1" thickBot="1">
      <c r="A12" s="500" t="s">
        <v>8</v>
      </c>
      <c r="B12" s="501"/>
      <c r="C12" s="501"/>
      <c r="D12" s="501"/>
      <c r="E12" s="303"/>
      <c r="F12" s="303"/>
      <c r="G12" s="426"/>
      <c r="H12" s="426"/>
      <c r="I12" s="426"/>
      <c r="J12" s="202"/>
      <c r="K12" s="267">
        <f>SUM(K9:K11)</f>
        <v>125000</v>
      </c>
      <c r="L12" s="115"/>
      <c r="M12" s="115"/>
    </row>
    <row r="13" spans="1:55" s="7" customFormat="1" ht="14.25" customHeight="1">
      <c r="A13" s="5">
        <v>2</v>
      </c>
      <c r="B13" s="203" t="s">
        <v>202</v>
      </c>
      <c r="C13" s="204"/>
      <c r="D13" s="204"/>
      <c r="E13" s="204"/>
      <c r="F13" s="205"/>
      <c r="G13" s="427"/>
      <c r="H13" s="427"/>
      <c r="I13" s="427"/>
      <c r="J13" s="206"/>
      <c r="K13" s="206"/>
      <c r="L13" s="115"/>
      <c r="M13" s="115"/>
    </row>
    <row r="14" spans="1:55" s="7" customFormat="1" ht="14.25" customHeight="1" thickBot="1">
      <c r="A14" s="197">
        <v>2.1</v>
      </c>
      <c r="B14" s="200" t="s">
        <v>203</v>
      </c>
      <c r="C14" s="207">
        <f>C9</f>
        <v>5</v>
      </c>
      <c r="D14" s="208" t="s">
        <v>6</v>
      </c>
      <c r="E14" s="302">
        <v>11000</v>
      </c>
      <c r="F14" s="302">
        <v>1000</v>
      </c>
      <c r="G14" s="320">
        <v>9</v>
      </c>
      <c r="H14" s="320">
        <f>G14*E14</f>
        <v>99000</v>
      </c>
      <c r="I14" s="320">
        <f>G14</f>
        <v>9</v>
      </c>
      <c r="J14" s="93">
        <f>I14*F14</f>
        <v>9000</v>
      </c>
      <c r="K14" s="94">
        <f>J14+H14</f>
        <v>108000</v>
      </c>
      <c r="L14" s="115"/>
      <c r="M14" s="115"/>
    </row>
    <row r="15" spans="1:55" s="7" customFormat="1" ht="14.25" customHeight="1" thickBot="1">
      <c r="A15" s="500" t="s">
        <v>8</v>
      </c>
      <c r="B15" s="501"/>
      <c r="C15" s="501"/>
      <c r="D15" s="501"/>
      <c r="E15" s="304"/>
      <c r="F15" s="304"/>
      <c r="G15" s="428"/>
      <c r="H15" s="428"/>
      <c r="I15" s="428"/>
      <c r="J15" s="209"/>
      <c r="K15" s="267">
        <f>SUM(K14)</f>
        <v>108000</v>
      </c>
      <c r="L15" s="115"/>
      <c r="M15" s="115"/>
    </row>
    <row r="16" spans="1:55" s="7" customFormat="1" ht="14.25" customHeight="1">
      <c r="A16" s="5">
        <v>3</v>
      </c>
      <c r="B16" s="203" t="s">
        <v>204</v>
      </c>
      <c r="C16" s="210"/>
      <c r="D16" s="210"/>
      <c r="E16" s="210"/>
      <c r="F16" s="210"/>
      <c r="G16" s="235"/>
      <c r="H16" s="235"/>
      <c r="I16" s="235"/>
      <c r="J16" s="211"/>
      <c r="K16" s="211"/>
      <c r="L16" s="115"/>
      <c r="M16" s="115"/>
    </row>
    <row r="17" spans="1:13" s="7" customFormat="1" ht="14.25" customHeight="1" thickBot="1">
      <c r="A17" s="197">
        <v>3.1</v>
      </c>
      <c r="B17" s="212" t="s">
        <v>205</v>
      </c>
      <c r="C17" s="198">
        <v>1</v>
      </c>
      <c r="D17" s="201" t="s">
        <v>7</v>
      </c>
      <c r="E17" s="302">
        <v>17000</v>
      </c>
      <c r="F17" s="302">
        <v>500</v>
      </c>
      <c r="G17" s="320">
        <v>0</v>
      </c>
      <c r="H17" s="320">
        <f>G17*E17</f>
        <v>0</v>
      </c>
      <c r="I17" s="320">
        <f>G17</f>
        <v>0</v>
      </c>
      <c r="J17" s="93">
        <f>I17*F17</f>
        <v>0</v>
      </c>
      <c r="K17" s="94">
        <f>J17+H17</f>
        <v>0</v>
      </c>
      <c r="L17" s="115"/>
      <c r="M17" s="115"/>
    </row>
    <row r="18" spans="1:13" s="7" customFormat="1" ht="14.25" customHeight="1" thickBot="1">
      <c r="A18" s="500" t="s">
        <v>8</v>
      </c>
      <c r="B18" s="501"/>
      <c r="C18" s="501"/>
      <c r="D18" s="501"/>
      <c r="E18" s="303"/>
      <c r="F18" s="303"/>
      <c r="G18" s="426"/>
      <c r="H18" s="426"/>
      <c r="I18" s="426"/>
      <c r="J18" s="202"/>
      <c r="K18" s="267">
        <f>SUM(K17)</f>
        <v>0</v>
      </c>
      <c r="L18" s="115"/>
      <c r="M18" s="115"/>
    </row>
    <row r="19" spans="1:13" s="7" customFormat="1" ht="14.25" customHeight="1" thickBot="1">
      <c r="A19" s="5">
        <v>4</v>
      </c>
      <c r="B19" s="203" t="s">
        <v>206</v>
      </c>
      <c r="C19" s="210"/>
      <c r="D19" s="210"/>
      <c r="E19" s="210"/>
      <c r="F19" s="210"/>
      <c r="G19" s="234"/>
      <c r="H19" s="234"/>
      <c r="I19" s="234"/>
      <c r="J19" s="210"/>
      <c r="K19" s="267"/>
      <c r="L19" s="115"/>
      <c r="M19" s="115"/>
    </row>
    <row r="20" spans="1:13" s="7" customFormat="1" ht="14.25" customHeight="1">
      <c r="A20" s="213">
        <v>4.0999999999999996</v>
      </c>
      <c r="B20" s="214" t="s">
        <v>207</v>
      </c>
      <c r="C20" s="215"/>
      <c r="D20" s="216"/>
      <c r="E20" s="217"/>
      <c r="F20" s="217"/>
      <c r="G20" s="429"/>
      <c r="H20" s="429"/>
      <c r="I20" s="429"/>
      <c r="J20" s="217"/>
      <c r="K20" s="217"/>
      <c r="L20" s="115"/>
      <c r="M20" s="115"/>
    </row>
    <row r="21" spans="1:13" s="7" customFormat="1" ht="14.25" customHeight="1">
      <c r="A21" s="197" t="s">
        <v>208</v>
      </c>
      <c r="B21" s="75" t="s">
        <v>209</v>
      </c>
      <c r="C21" s="218" t="s">
        <v>108</v>
      </c>
      <c r="D21" s="208" t="s">
        <v>73</v>
      </c>
      <c r="E21" s="302">
        <v>0</v>
      </c>
      <c r="F21" s="302">
        <v>0</v>
      </c>
      <c r="G21" s="320"/>
      <c r="H21" s="320">
        <f t="shared" ref="H21:H26" si="0">G21*E21</f>
        <v>0</v>
      </c>
      <c r="I21" s="320">
        <f t="shared" ref="I21:I26" si="1">G21</f>
        <v>0</v>
      </c>
      <c r="J21" s="93">
        <f t="shared" ref="J21:J26" si="2">I21*F21</f>
        <v>0</v>
      </c>
      <c r="K21" s="94">
        <f t="shared" ref="K21:K26" si="3">J21+H21</f>
        <v>0</v>
      </c>
      <c r="L21" s="115"/>
      <c r="M21" s="115"/>
    </row>
    <row r="22" spans="1:13" s="7" customFormat="1" ht="14.25" customHeight="1">
      <c r="A22" s="197" t="s">
        <v>210</v>
      </c>
      <c r="B22" s="75" t="s">
        <v>211</v>
      </c>
      <c r="C22" s="218" t="s">
        <v>108</v>
      </c>
      <c r="D22" s="208" t="s">
        <v>73</v>
      </c>
      <c r="E22" s="302">
        <v>0</v>
      </c>
      <c r="F22" s="302">
        <v>0</v>
      </c>
      <c r="G22" s="320"/>
      <c r="H22" s="320">
        <f t="shared" si="0"/>
        <v>0</v>
      </c>
      <c r="I22" s="320">
        <f t="shared" si="1"/>
        <v>0</v>
      </c>
      <c r="J22" s="93">
        <f t="shared" si="2"/>
        <v>0</v>
      </c>
      <c r="K22" s="94">
        <f t="shared" si="3"/>
        <v>0</v>
      </c>
      <c r="L22" s="115"/>
      <c r="M22" s="115"/>
    </row>
    <row r="23" spans="1:13" s="7" customFormat="1" ht="14.25" customHeight="1">
      <c r="A23" s="197" t="s">
        <v>212</v>
      </c>
      <c r="B23" s="75" t="s">
        <v>213</v>
      </c>
      <c r="C23" s="218" t="s">
        <v>108</v>
      </c>
      <c r="D23" s="208" t="s">
        <v>73</v>
      </c>
      <c r="E23" s="302">
        <v>0</v>
      </c>
      <c r="F23" s="302">
        <v>0</v>
      </c>
      <c r="G23" s="320"/>
      <c r="H23" s="320">
        <f t="shared" si="0"/>
        <v>0</v>
      </c>
      <c r="I23" s="320">
        <f t="shared" si="1"/>
        <v>0</v>
      </c>
      <c r="J23" s="93">
        <f t="shared" si="2"/>
        <v>0</v>
      </c>
      <c r="K23" s="94">
        <f t="shared" si="3"/>
        <v>0</v>
      </c>
      <c r="L23" s="115"/>
      <c r="M23" s="115"/>
    </row>
    <row r="24" spans="1:13" s="7" customFormat="1" ht="14.25" customHeight="1">
      <c r="A24" s="197" t="s">
        <v>214</v>
      </c>
      <c r="B24" s="75" t="s">
        <v>215</v>
      </c>
      <c r="C24" s="219" t="s">
        <v>108</v>
      </c>
      <c r="D24" s="208" t="s">
        <v>73</v>
      </c>
      <c r="E24" s="302">
        <v>0</v>
      </c>
      <c r="F24" s="302">
        <v>0</v>
      </c>
      <c r="G24" s="320"/>
      <c r="H24" s="320">
        <f t="shared" si="0"/>
        <v>0</v>
      </c>
      <c r="I24" s="320">
        <f t="shared" si="1"/>
        <v>0</v>
      </c>
      <c r="J24" s="93">
        <f t="shared" si="2"/>
        <v>0</v>
      </c>
      <c r="K24" s="94">
        <f t="shared" si="3"/>
        <v>0</v>
      </c>
      <c r="L24" s="115"/>
      <c r="M24" s="115"/>
    </row>
    <row r="25" spans="1:13" s="7" customFormat="1" ht="14.25" customHeight="1">
      <c r="A25" s="197" t="s">
        <v>216</v>
      </c>
      <c r="B25" s="75" t="s">
        <v>217</v>
      </c>
      <c r="C25" s="219" t="s">
        <v>108</v>
      </c>
      <c r="D25" s="208" t="s">
        <v>73</v>
      </c>
      <c r="E25" s="302">
        <v>0</v>
      </c>
      <c r="F25" s="302">
        <v>0</v>
      </c>
      <c r="G25" s="320"/>
      <c r="H25" s="320">
        <f t="shared" si="0"/>
        <v>0</v>
      </c>
      <c r="I25" s="320">
        <f t="shared" si="1"/>
        <v>0</v>
      </c>
      <c r="J25" s="93">
        <f t="shared" si="2"/>
        <v>0</v>
      </c>
      <c r="K25" s="94">
        <f t="shared" si="3"/>
        <v>0</v>
      </c>
      <c r="L25" s="115"/>
      <c r="M25" s="115"/>
    </row>
    <row r="26" spans="1:13" s="7" customFormat="1" ht="14.25" customHeight="1">
      <c r="A26" s="197" t="s">
        <v>218</v>
      </c>
      <c r="B26" s="75" t="s">
        <v>219</v>
      </c>
      <c r="C26" s="219" t="s">
        <v>108</v>
      </c>
      <c r="D26" s="208" t="s">
        <v>73</v>
      </c>
      <c r="E26" s="302">
        <v>0</v>
      </c>
      <c r="F26" s="302">
        <v>0</v>
      </c>
      <c r="G26" s="320"/>
      <c r="H26" s="320">
        <f t="shared" si="0"/>
        <v>0</v>
      </c>
      <c r="I26" s="320">
        <f t="shared" si="1"/>
        <v>0</v>
      </c>
      <c r="J26" s="93">
        <f t="shared" si="2"/>
        <v>0</v>
      </c>
      <c r="K26" s="94">
        <f t="shared" si="3"/>
        <v>0</v>
      </c>
      <c r="L26" s="115"/>
      <c r="M26" s="115"/>
    </row>
    <row r="27" spans="1:13" s="7" customFormat="1" ht="14.25" customHeight="1">
      <c r="A27" s="213">
        <v>4.2</v>
      </c>
      <c r="B27" s="214" t="s">
        <v>220</v>
      </c>
      <c r="C27" s="215"/>
      <c r="D27" s="216"/>
      <c r="E27" s="217"/>
      <c r="F27" s="217"/>
      <c r="G27" s="429"/>
      <c r="H27" s="429"/>
      <c r="I27" s="429"/>
      <c r="J27" s="217"/>
      <c r="K27" s="217"/>
      <c r="L27" s="115"/>
      <c r="M27" s="115"/>
    </row>
    <row r="28" spans="1:13" s="7" customFormat="1" ht="14.25" customHeight="1">
      <c r="A28" s="197" t="s">
        <v>221</v>
      </c>
      <c r="B28" s="75" t="s">
        <v>222</v>
      </c>
      <c r="C28" s="219" t="s">
        <v>108</v>
      </c>
      <c r="D28" s="208" t="s">
        <v>73</v>
      </c>
      <c r="E28" s="302">
        <v>6800</v>
      </c>
      <c r="F28" s="302">
        <v>1200</v>
      </c>
      <c r="G28" s="320"/>
      <c r="H28" s="320">
        <f t="shared" ref="H28:H31" si="4">G28*E28</f>
        <v>0</v>
      </c>
      <c r="I28" s="320">
        <f t="shared" ref="I28:I29" si="5">G28</f>
        <v>0</v>
      </c>
      <c r="J28" s="93">
        <f t="shared" ref="J28:J31" si="6">I28*F28</f>
        <v>0</v>
      </c>
      <c r="K28" s="94">
        <f t="shared" ref="K28:K31" si="7">J28+H28</f>
        <v>0</v>
      </c>
      <c r="L28" s="115"/>
      <c r="M28" s="115"/>
    </row>
    <row r="29" spans="1:13" s="433" customFormat="1" ht="14.25" customHeight="1">
      <c r="A29" s="239" t="s">
        <v>223</v>
      </c>
      <c r="B29" s="430" t="s">
        <v>224</v>
      </c>
      <c r="C29" s="431">
        <v>4</v>
      </c>
      <c r="D29" s="238" t="s">
        <v>73</v>
      </c>
      <c r="E29" s="432">
        <v>5750</v>
      </c>
      <c r="F29" s="432">
        <v>1000</v>
      </c>
      <c r="G29" s="382">
        <v>6.7220000000000004</v>
      </c>
      <c r="H29" s="320">
        <f t="shared" si="4"/>
        <v>38651.5</v>
      </c>
      <c r="I29" s="382">
        <f t="shared" si="5"/>
        <v>6.7220000000000004</v>
      </c>
      <c r="J29" s="333">
        <f t="shared" si="6"/>
        <v>6722</v>
      </c>
      <c r="K29" s="342">
        <f t="shared" si="7"/>
        <v>45373.5</v>
      </c>
      <c r="L29" s="339"/>
      <c r="M29" s="339"/>
    </row>
    <row r="30" spans="1:13" s="433" customFormat="1" ht="14.25" customHeight="1">
      <c r="A30" s="239" t="s">
        <v>225</v>
      </c>
      <c r="B30" s="430" t="s">
        <v>226</v>
      </c>
      <c r="C30" s="434">
        <v>7</v>
      </c>
      <c r="D30" s="238" t="s">
        <v>73</v>
      </c>
      <c r="E30" s="432">
        <v>4800</v>
      </c>
      <c r="F30" s="432">
        <v>900</v>
      </c>
      <c r="G30" s="382">
        <v>7.2279999999999998</v>
      </c>
      <c r="H30" s="320">
        <f t="shared" si="4"/>
        <v>34694.400000000001</v>
      </c>
      <c r="I30" s="382">
        <f>G30</f>
        <v>7.2279999999999998</v>
      </c>
      <c r="J30" s="333">
        <f t="shared" si="6"/>
        <v>6505.2</v>
      </c>
      <c r="K30" s="342">
        <f t="shared" si="7"/>
        <v>41199.599999999999</v>
      </c>
      <c r="L30" s="339"/>
      <c r="M30" s="339"/>
    </row>
    <row r="31" spans="1:13" s="433" customFormat="1" ht="14.25" customHeight="1" thickBot="1">
      <c r="A31" s="239" t="s">
        <v>227</v>
      </c>
      <c r="B31" s="430" t="s">
        <v>228</v>
      </c>
      <c r="C31" s="431">
        <v>44</v>
      </c>
      <c r="D31" s="238" t="s">
        <v>73</v>
      </c>
      <c r="E31" s="432">
        <v>3250</v>
      </c>
      <c r="F31" s="432">
        <v>800</v>
      </c>
      <c r="G31" s="382">
        <v>54.542999999999999</v>
      </c>
      <c r="H31" s="320">
        <f t="shared" si="4"/>
        <v>177264.75</v>
      </c>
      <c r="I31" s="382">
        <f>G31</f>
        <v>54.542999999999999</v>
      </c>
      <c r="J31" s="333">
        <f t="shared" si="6"/>
        <v>43634.400000000001</v>
      </c>
      <c r="K31" s="342">
        <f t="shared" si="7"/>
        <v>220899.15</v>
      </c>
      <c r="L31" s="339"/>
      <c r="M31" s="339"/>
    </row>
    <row r="32" spans="1:13" s="433" customFormat="1" ht="14.25" customHeight="1" thickBot="1">
      <c r="A32" s="502" t="s">
        <v>8</v>
      </c>
      <c r="B32" s="503"/>
      <c r="C32" s="503"/>
      <c r="D32" s="503"/>
      <c r="E32" s="435"/>
      <c r="F32" s="435"/>
      <c r="G32" s="426"/>
      <c r="H32" s="426"/>
      <c r="I32" s="426"/>
      <c r="J32" s="426"/>
      <c r="K32" s="436">
        <f>SUM(K21:K31)</f>
        <v>307472.25</v>
      </c>
      <c r="L32" s="339"/>
      <c r="M32" s="339"/>
    </row>
    <row r="33" spans="1:13" s="433" customFormat="1" ht="14.25" customHeight="1">
      <c r="A33" s="232">
        <v>5</v>
      </c>
      <c r="B33" s="233" t="s">
        <v>229</v>
      </c>
      <c r="C33" s="437"/>
      <c r="D33" s="437"/>
      <c r="E33" s="438"/>
      <c r="F33" s="438"/>
      <c r="G33" s="438"/>
      <c r="H33" s="438"/>
      <c r="I33" s="438"/>
      <c r="J33" s="438"/>
      <c r="K33" s="438"/>
      <c r="L33" s="339"/>
      <c r="M33" s="339"/>
    </row>
    <row r="34" spans="1:13" s="433" customFormat="1" ht="14.25" customHeight="1">
      <c r="A34" s="439">
        <v>5.0999999999999996</v>
      </c>
      <c r="B34" s="440" t="s">
        <v>230</v>
      </c>
      <c r="C34" s="441"/>
      <c r="D34" s="442"/>
      <c r="E34" s="443"/>
      <c r="F34" s="443"/>
      <c r="G34" s="443"/>
      <c r="H34" s="443"/>
      <c r="I34" s="443"/>
      <c r="J34" s="443"/>
      <c r="K34" s="443"/>
      <c r="L34" s="339"/>
      <c r="M34" s="339"/>
    </row>
    <row r="35" spans="1:13" s="227" customFormat="1" ht="14.25" customHeight="1">
      <c r="A35" s="224" t="s">
        <v>79</v>
      </c>
      <c r="B35" s="75" t="s">
        <v>211</v>
      </c>
      <c r="C35" s="225" t="s">
        <v>108</v>
      </c>
      <c r="D35" s="226" t="s">
        <v>7</v>
      </c>
      <c r="E35" s="302">
        <v>0</v>
      </c>
      <c r="F35" s="302">
        <v>0</v>
      </c>
      <c r="G35" s="320"/>
      <c r="H35" s="320">
        <f t="shared" ref="H35:H39" si="8">G35*E35</f>
        <v>0</v>
      </c>
      <c r="I35" s="382">
        <f t="shared" ref="I35:I56" si="9">G35</f>
        <v>0</v>
      </c>
      <c r="J35" s="93">
        <f t="shared" ref="J35:J39" si="10">I35*F35</f>
        <v>0</v>
      </c>
      <c r="K35" s="94">
        <f t="shared" ref="K35:K39" si="11">J35+H35</f>
        <v>0</v>
      </c>
      <c r="L35" s="115"/>
      <c r="M35" s="115"/>
    </row>
    <row r="36" spans="1:13" s="7" customFormat="1" ht="14.25" customHeight="1">
      <c r="A36" s="224" t="s">
        <v>80</v>
      </c>
      <c r="B36" s="75" t="s">
        <v>213</v>
      </c>
      <c r="C36" s="225" t="s">
        <v>108</v>
      </c>
      <c r="D36" s="226" t="s">
        <v>7</v>
      </c>
      <c r="E36" s="302">
        <v>0</v>
      </c>
      <c r="F36" s="302">
        <v>0</v>
      </c>
      <c r="G36" s="320"/>
      <c r="H36" s="320">
        <f t="shared" si="8"/>
        <v>0</v>
      </c>
      <c r="I36" s="382">
        <f t="shared" si="9"/>
        <v>0</v>
      </c>
      <c r="J36" s="93">
        <f t="shared" si="10"/>
        <v>0</v>
      </c>
      <c r="K36" s="94">
        <f t="shared" si="11"/>
        <v>0</v>
      </c>
      <c r="L36" s="115"/>
      <c r="M36" s="115"/>
    </row>
    <row r="37" spans="1:13" s="7" customFormat="1" ht="14.25" customHeight="1">
      <c r="A37" s="224" t="s">
        <v>81</v>
      </c>
      <c r="B37" s="75" t="s">
        <v>215</v>
      </c>
      <c r="C37" s="225" t="s">
        <v>108</v>
      </c>
      <c r="D37" s="226" t="s">
        <v>7</v>
      </c>
      <c r="E37" s="302">
        <v>0</v>
      </c>
      <c r="F37" s="302">
        <v>0</v>
      </c>
      <c r="G37" s="320"/>
      <c r="H37" s="320">
        <f t="shared" si="8"/>
        <v>0</v>
      </c>
      <c r="I37" s="382">
        <f t="shared" si="9"/>
        <v>0</v>
      </c>
      <c r="J37" s="93">
        <f t="shared" si="10"/>
        <v>0</v>
      </c>
      <c r="K37" s="94">
        <f t="shared" si="11"/>
        <v>0</v>
      </c>
      <c r="L37" s="115"/>
      <c r="M37" s="115"/>
    </row>
    <row r="38" spans="1:13" s="227" customFormat="1" ht="14.25" customHeight="1">
      <c r="A38" s="224" t="s">
        <v>82</v>
      </c>
      <c r="B38" s="75" t="s">
        <v>217</v>
      </c>
      <c r="C38" s="225" t="s">
        <v>108</v>
      </c>
      <c r="D38" s="226" t="s">
        <v>7</v>
      </c>
      <c r="E38" s="302">
        <v>0</v>
      </c>
      <c r="F38" s="302">
        <v>0</v>
      </c>
      <c r="G38" s="320"/>
      <c r="H38" s="320">
        <f t="shared" si="8"/>
        <v>0</v>
      </c>
      <c r="I38" s="382">
        <f t="shared" si="9"/>
        <v>0</v>
      </c>
      <c r="J38" s="93">
        <f t="shared" si="10"/>
        <v>0</v>
      </c>
      <c r="K38" s="94">
        <f t="shared" si="11"/>
        <v>0</v>
      </c>
      <c r="L38" s="115"/>
      <c r="M38" s="115"/>
    </row>
    <row r="39" spans="1:13" s="7" customFormat="1" ht="14.25" customHeight="1">
      <c r="A39" s="224" t="s">
        <v>83</v>
      </c>
      <c r="B39" s="75" t="s">
        <v>219</v>
      </c>
      <c r="C39" s="225" t="s">
        <v>108</v>
      </c>
      <c r="D39" s="226" t="s">
        <v>7</v>
      </c>
      <c r="E39" s="302">
        <v>0</v>
      </c>
      <c r="F39" s="302">
        <v>0</v>
      </c>
      <c r="G39" s="320"/>
      <c r="H39" s="320">
        <f t="shared" si="8"/>
        <v>0</v>
      </c>
      <c r="I39" s="382">
        <f t="shared" si="9"/>
        <v>0</v>
      </c>
      <c r="J39" s="93">
        <f t="shared" si="10"/>
        <v>0</v>
      </c>
      <c r="K39" s="94">
        <f t="shared" si="11"/>
        <v>0</v>
      </c>
      <c r="L39" s="115"/>
      <c r="M39" s="115"/>
    </row>
    <row r="40" spans="1:13" s="7" customFormat="1" ht="14.25" customHeight="1">
      <c r="A40" s="213">
        <v>5.2</v>
      </c>
      <c r="B40" s="220" t="s">
        <v>231</v>
      </c>
      <c r="C40" s="221"/>
      <c r="D40" s="222"/>
      <c r="E40" s="223"/>
      <c r="F40" s="223"/>
      <c r="G40" s="443"/>
      <c r="H40" s="443"/>
      <c r="I40" s="382"/>
      <c r="J40" s="223"/>
      <c r="K40" s="223"/>
      <c r="L40" s="115"/>
      <c r="M40" s="115"/>
    </row>
    <row r="41" spans="1:13" s="227" customFormat="1" ht="14.25" customHeight="1">
      <c r="A41" s="224" t="s">
        <v>86</v>
      </c>
      <c r="B41" s="75" t="s">
        <v>211</v>
      </c>
      <c r="C41" s="225" t="s">
        <v>108</v>
      </c>
      <c r="D41" s="226" t="s">
        <v>7</v>
      </c>
      <c r="E41" s="302">
        <v>0</v>
      </c>
      <c r="F41" s="302">
        <v>0</v>
      </c>
      <c r="G41" s="320"/>
      <c r="H41" s="320">
        <f t="shared" ref="H41:H45" si="12">G41*E41</f>
        <v>0</v>
      </c>
      <c r="I41" s="382">
        <f t="shared" si="9"/>
        <v>0</v>
      </c>
      <c r="J41" s="93">
        <f t="shared" ref="J41:J45" si="13">I41*F41</f>
        <v>0</v>
      </c>
      <c r="K41" s="94">
        <f t="shared" ref="K41:K45" si="14">J41+H41</f>
        <v>0</v>
      </c>
      <c r="L41" s="115"/>
      <c r="M41" s="115"/>
    </row>
    <row r="42" spans="1:13" s="7" customFormat="1" ht="14.25" customHeight="1">
      <c r="A42" s="224" t="s">
        <v>87</v>
      </c>
      <c r="B42" s="75" t="s">
        <v>213</v>
      </c>
      <c r="C42" s="225" t="s">
        <v>108</v>
      </c>
      <c r="D42" s="226" t="s">
        <v>7</v>
      </c>
      <c r="E42" s="302">
        <v>0</v>
      </c>
      <c r="F42" s="302">
        <v>0</v>
      </c>
      <c r="G42" s="320"/>
      <c r="H42" s="320">
        <f t="shared" si="12"/>
        <v>0</v>
      </c>
      <c r="I42" s="382">
        <f t="shared" si="9"/>
        <v>0</v>
      </c>
      <c r="J42" s="93">
        <f t="shared" si="13"/>
        <v>0</v>
      </c>
      <c r="K42" s="94">
        <f t="shared" si="14"/>
        <v>0</v>
      </c>
      <c r="L42" s="115"/>
      <c r="M42" s="115"/>
    </row>
    <row r="43" spans="1:13" s="227" customFormat="1" ht="14.25" customHeight="1">
      <c r="A43" s="224" t="s">
        <v>88</v>
      </c>
      <c r="B43" s="75" t="s">
        <v>215</v>
      </c>
      <c r="C43" s="225" t="s">
        <v>108</v>
      </c>
      <c r="D43" s="226" t="s">
        <v>7</v>
      </c>
      <c r="E43" s="302">
        <v>0</v>
      </c>
      <c r="F43" s="302">
        <v>0</v>
      </c>
      <c r="G43" s="320"/>
      <c r="H43" s="320">
        <f t="shared" si="12"/>
        <v>0</v>
      </c>
      <c r="I43" s="382">
        <f t="shared" si="9"/>
        <v>0</v>
      </c>
      <c r="J43" s="93">
        <f t="shared" si="13"/>
        <v>0</v>
      </c>
      <c r="K43" s="94">
        <f t="shared" si="14"/>
        <v>0</v>
      </c>
      <c r="L43" s="115"/>
      <c r="M43" s="115"/>
    </row>
    <row r="44" spans="1:13" s="7" customFormat="1" ht="14.25" customHeight="1">
      <c r="A44" s="224" t="s">
        <v>232</v>
      </c>
      <c r="B44" s="75" t="s">
        <v>217</v>
      </c>
      <c r="C44" s="225" t="s">
        <v>108</v>
      </c>
      <c r="D44" s="226" t="s">
        <v>7</v>
      </c>
      <c r="E44" s="302">
        <v>0</v>
      </c>
      <c r="F44" s="302">
        <v>0</v>
      </c>
      <c r="G44" s="320"/>
      <c r="H44" s="320">
        <f t="shared" si="12"/>
        <v>0</v>
      </c>
      <c r="I44" s="382">
        <f t="shared" si="9"/>
        <v>0</v>
      </c>
      <c r="J44" s="93">
        <f t="shared" si="13"/>
        <v>0</v>
      </c>
      <c r="K44" s="94">
        <f t="shared" si="14"/>
        <v>0</v>
      </c>
      <c r="L44" s="115"/>
      <c r="M44" s="115"/>
    </row>
    <row r="45" spans="1:13" s="7" customFormat="1" ht="14.25" customHeight="1">
      <c r="A45" s="224" t="s">
        <v>233</v>
      </c>
      <c r="B45" s="75" t="s">
        <v>219</v>
      </c>
      <c r="C45" s="225" t="s">
        <v>108</v>
      </c>
      <c r="D45" s="226" t="s">
        <v>7</v>
      </c>
      <c r="E45" s="302">
        <v>0</v>
      </c>
      <c r="F45" s="302">
        <v>0</v>
      </c>
      <c r="G45" s="320"/>
      <c r="H45" s="320">
        <f t="shared" si="12"/>
        <v>0</v>
      </c>
      <c r="I45" s="382">
        <f t="shared" si="9"/>
        <v>0</v>
      </c>
      <c r="J45" s="93">
        <f t="shared" si="13"/>
        <v>0</v>
      </c>
      <c r="K45" s="94">
        <f t="shared" si="14"/>
        <v>0</v>
      </c>
      <c r="L45" s="115"/>
      <c r="M45" s="115"/>
    </row>
    <row r="46" spans="1:13" s="7" customFormat="1" ht="14.25" customHeight="1">
      <c r="A46" s="213">
        <v>5.3</v>
      </c>
      <c r="B46" s="220" t="s">
        <v>234</v>
      </c>
      <c r="C46" s="221"/>
      <c r="D46" s="222"/>
      <c r="E46" s="223"/>
      <c r="F46" s="223"/>
      <c r="G46" s="443"/>
      <c r="H46" s="443"/>
      <c r="I46" s="443"/>
      <c r="J46" s="223"/>
      <c r="K46" s="223"/>
      <c r="L46" s="115"/>
      <c r="M46" s="115"/>
    </row>
    <row r="47" spans="1:13" s="227" customFormat="1" ht="14.25" customHeight="1">
      <c r="A47" s="224" t="s">
        <v>89</v>
      </c>
      <c r="B47" s="75" t="s">
        <v>211</v>
      </c>
      <c r="C47" s="225" t="s">
        <v>108</v>
      </c>
      <c r="D47" s="226" t="s">
        <v>7</v>
      </c>
      <c r="E47" s="302">
        <v>0</v>
      </c>
      <c r="F47" s="302">
        <v>0</v>
      </c>
      <c r="G47" s="320"/>
      <c r="H47" s="320">
        <f t="shared" ref="H47:H51" si="15">G47*E47</f>
        <v>0</v>
      </c>
      <c r="I47" s="382">
        <f t="shared" si="9"/>
        <v>0</v>
      </c>
      <c r="J47" s="93">
        <f t="shared" ref="J47:J51" si="16">I47*F47</f>
        <v>0</v>
      </c>
      <c r="K47" s="94">
        <f t="shared" ref="K47:K51" si="17">J47+H47</f>
        <v>0</v>
      </c>
      <c r="L47" s="115"/>
      <c r="M47" s="115"/>
    </row>
    <row r="48" spans="1:13" s="227" customFormat="1" ht="14.25" customHeight="1">
      <c r="A48" s="224" t="s">
        <v>90</v>
      </c>
      <c r="B48" s="75" t="s">
        <v>213</v>
      </c>
      <c r="C48" s="225" t="s">
        <v>108</v>
      </c>
      <c r="D48" s="226" t="s">
        <v>7</v>
      </c>
      <c r="E48" s="302">
        <v>0</v>
      </c>
      <c r="F48" s="302">
        <v>0</v>
      </c>
      <c r="G48" s="320"/>
      <c r="H48" s="320">
        <f t="shared" si="15"/>
        <v>0</v>
      </c>
      <c r="I48" s="382">
        <f t="shared" si="9"/>
        <v>0</v>
      </c>
      <c r="J48" s="93">
        <f t="shared" si="16"/>
        <v>0</v>
      </c>
      <c r="K48" s="94">
        <f t="shared" si="17"/>
        <v>0</v>
      </c>
      <c r="L48" s="115"/>
      <c r="M48" s="115"/>
    </row>
    <row r="49" spans="1:13" s="7" customFormat="1" ht="14.25" customHeight="1">
      <c r="A49" s="224" t="s">
        <v>91</v>
      </c>
      <c r="B49" s="75" t="s">
        <v>215</v>
      </c>
      <c r="C49" s="225" t="s">
        <v>108</v>
      </c>
      <c r="D49" s="226" t="s">
        <v>7</v>
      </c>
      <c r="E49" s="302">
        <v>0</v>
      </c>
      <c r="F49" s="302">
        <v>0</v>
      </c>
      <c r="G49" s="320"/>
      <c r="H49" s="320">
        <f t="shared" si="15"/>
        <v>0</v>
      </c>
      <c r="I49" s="382">
        <f t="shared" si="9"/>
        <v>0</v>
      </c>
      <c r="J49" s="93">
        <f t="shared" si="16"/>
        <v>0</v>
      </c>
      <c r="K49" s="94">
        <f t="shared" si="17"/>
        <v>0</v>
      </c>
      <c r="L49" s="115"/>
      <c r="M49" s="115"/>
    </row>
    <row r="50" spans="1:13" s="7" customFormat="1" ht="14.25" customHeight="1">
      <c r="A50" s="224" t="s">
        <v>92</v>
      </c>
      <c r="B50" s="75" t="s">
        <v>217</v>
      </c>
      <c r="C50" s="225" t="s">
        <v>108</v>
      </c>
      <c r="D50" s="226" t="s">
        <v>7</v>
      </c>
      <c r="E50" s="302">
        <v>0</v>
      </c>
      <c r="F50" s="302">
        <v>0</v>
      </c>
      <c r="G50" s="320"/>
      <c r="H50" s="320">
        <f t="shared" si="15"/>
        <v>0</v>
      </c>
      <c r="I50" s="382">
        <f t="shared" si="9"/>
        <v>0</v>
      </c>
      <c r="J50" s="93">
        <f t="shared" si="16"/>
        <v>0</v>
      </c>
      <c r="K50" s="94">
        <f t="shared" si="17"/>
        <v>0</v>
      </c>
      <c r="L50" s="115"/>
      <c r="M50" s="115"/>
    </row>
    <row r="51" spans="1:13" s="7" customFormat="1" ht="14.25" customHeight="1">
      <c r="A51" s="224" t="s">
        <v>93</v>
      </c>
      <c r="B51" s="75" t="s">
        <v>219</v>
      </c>
      <c r="C51" s="225" t="s">
        <v>108</v>
      </c>
      <c r="D51" s="226" t="s">
        <v>7</v>
      </c>
      <c r="E51" s="302">
        <v>0</v>
      </c>
      <c r="F51" s="302">
        <v>0</v>
      </c>
      <c r="G51" s="320"/>
      <c r="H51" s="320">
        <f t="shared" si="15"/>
        <v>0</v>
      </c>
      <c r="I51" s="382">
        <f t="shared" si="9"/>
        <v>0</v>
      </c>
      <c r="J51" s="93">
        <f t="shared" si="16"/>
        <v>0</v>
      </c>
      <c r="K51" s="94">
        <f t="shared" si="17"/>
        <v>0</v>
      </c>
      <c r="L51" s="115"/>
      <c r="M51" s="115"/>
    </row>
    <row r="52" spans="1:13" s="7" customFormat="1" ht="14.25" customHeight="1">
      <c r="A52" s="213">
        <v>5.4</v>
      </c>
      <c r="B52" s="220" t="s">
        <v>235</v>
      </c>
      <c r="C52" s="221"/>
      <c r="D52" s="222"/>
      <c r="E52" s="223"/>
      <c r="F52" s="223"/>
      <c r="G52" s="443"/>
      <c r="H52" s="443"/>
      <c r="I52" s="443"/>
      <c r="J52" s="223"/>
      <c r="K52" s="223"/>
      <c r="L52" s="115"/>
      <c r="M52" s="115"/>
    </row>
    <row r="53" spans="1:13" s="7" customFormat="1" ht="14.25" customHeight="1">
      <c r="A53" s="224" t="s">
        <v>97</v>
      </c>
      <c r="B53" s="75" t="s">
        <v>222</v>
      </c>
      <c r="C53" s="225" t="s">
        <v>108</v>
      </c>
      <c r="D53" s="226" t="s">
        <v>7</v>
      </c>
      <c r="E53" s="302">
        <v>0</v>
      </c>
      <c r="F53" s="302">
        <v>0</v>
      </c>
      <c r="G53" s="320"/>
      <c r="H53" s="320">
        <f t="shared" ref="H53:H56" si="18">G53*E53</f>
        <v>0</v>
      </c>
      <c r="I53" s="382">
        <f t="shared" si="9"/>
        <v>0</v>
      </c>
      <c r="J53" s="93">
        <f t="shared" ref="J53:J56" si="19">I53*F53</f>
        <v>0</v>
      </c>
      <c r="K53" s="94">
        <f t="shared" ref="K53:K56" si="20">J53+H53</f>
        <v>0</v>
      </c>
      <c r="L53" s="115"/>
      <c r="M53" s="115"/>
    </row>
    <row r="54" spans="1:13" s="433" customFormat="1" ht="14.25" customHeight="1">
      <c r="A54" s="444" t="s">
        <v>236</v>
      </c>
      <c r="B54" s="430" t="s">
        <v>224</v>
      </c>
      <c r="C54" s="445">
        <v>1</v>
      </c>
      <c r="D54" s="446" t="s">
        <v>7</v>
      </c>
      <c r="E54" s="432">
        <v>6500</v>
      </c>
      <c r="F54" s="432">
        <v>1000</v>
      </c>
      <c r="G54" s="320">
        <v>0</v>
      </c>
      <c r="H54" s="320">
        <f t="shared" si="18"/>
        <v>0</v>
      </c>
      <c r="I54" s="382">
        <f t="shared" si="9"/>
        <v>0</v>
      </c>
      <c r="J54" s="333">
        <f t="shared" si="19"/>
        <v>0</v>
      </c>
      <c r="K54" s="342">
        <f t="shared" si="20"/>
        <v>0</v>
      </c>
      <c r="L54" s="339"/>
      <c r="M54" s="339"/>
    </row>
    <row r="55" spans="1:13" s="433" customFormat="1" ht="14.25" customHeight="1">
      <c r="A55" s="444" t="s">
        <v>237</v>
      </c>
      <c r="B55" s="430" t="s">
        <v>226</v>
      </c>
      <c r="C55" s="445">
        <v>1</v>
      </c>
      <c r="D55" s="446" t="s">
        <v>7</v>
      </c>
      <c r="E55" s="432">
        <v>6000</v>
      </c>
      <c r="F55" s="432">
        <v>1000</v>
      </c>
      <c r="G55" s="320">
        <v>1</v>
      </c>
      <c r="H55" s="320">
        <f t="shared" si="18"/>
        <v>6000</v>
      </c>
      <c r="I55" s="382">
        <f t="shared" si="9"/>
        <v>1</v>
      </c>
      <c r="J55" s="333">
        <f t="shared" si="19"/>
        <v>1000</v>
      </c>
      <c r="K55" s="342">
        <f t="shared" si="20"/>
        <v>7000</v>
      </c>
      <c r="L55" s="339"/>
      <c r="M55" s="339"/>
    </row>
    <row r="56" spans="1:13" s="433" customFormat="1" ht="14.25" customHeight="1" thickBot="1">
      <c r="A56" s="444" t="s">
        <v>238</v>
      </c>
      <c r="B56" s="430" t="s">
        <v>228</v>
      </c>
      <c r="C56" s="445">
        <v>12</v>
      </c>
      <c r="D56" s="446" t="s">
        <v>6</v>
      </c>
      <c r="E56" s="432">
        <v>5500</v>
      </c>
      <c r="F56" s="432">
        <v>1000</v>
      </c>
      <c r="G56" s="320">
        <v>12</v>
      </c>
      <c r="H56" s="320">
        <f t="shared" si="18"/>
        <v>66000</v>
      </c>
      <c r="I56" s="382">
        <f t="shared" si="9"/>
        <v>12</v>
      </c>
      <c r="J56" s="333">
        <f t="shared" si="19"/>
        <v>12000</v>
      </c>
      <c r="K56" s="342">
        <f t="shared" si="20"/>
        <v>78000</v>
      </c>
      <c r="L56" s="339"/>
      <c r="M56" s="339"/>
    </row>
    <row r="57" spans="1:13" s="448" customFormat="1" ht="14.25" customHeight="1" thickBot="1">
      <c r="A57" s="502" t="s">
        <v>8</v>
      </c>
      <c r="B57" s="503"/>
      <c r="C57" s="503"/>
      <c r="D57" s="503"/>
      <c r="E57" s="435"/>
      <c r="F57" s="435"/>
      <c r="G57" s="426"/>
      <c r="H57" s="426"/>
      <c r="I57" s="426"/>
      <c r="J57" s="426"/>
      <c r="K57" s="447">
        <f>SUM(K35:K56)</f>
        <v>85000</v>
      </c>
      <c r="L57" s="339"/>
      <c r="M57" s="339"/>
    </row>
    <row r="58" spans="1:13" s="433" customFormat="1" ht="14.25" customHeight="1">
      <c r="A58" s="232">
        <v>6</v>
      </c>
      <c r="B58" s="233" t="s">
        <v>239</v>
      </c>
      <c r="C58" s="449"/>
      <c r="D58" s="449"/>
      <c r="E58" s="450"/>
      <c r="F58" s="450"/>
      <c r="G58" s="451"/>
      <c r="H58" s="451"/>
      <c r="I58" s="451"/>
      <c r="J58" s="451"/>
      <c r="K58" s="451"/>
      <c r="L58" s="339"/>
      <c r="M58" s="339"/>
    </row>
    <row r="59" spans="1:13" s="433" customFormat="1" ht="14.25" customHeight="1" thickBot="1">
      <c r="A59" s="239">
        <v>6.1</v>
      </c>
      <c r="B59" s="430" t="s">
        <v>240</v>
      </c>
      <c r="C59" s="431">
        <v>1</v>
      </c>
      <c r="D59" s="238" t="s">
        <v>9</v>
      </c>
      <c r="E59" s="432">
        <v>0</v>
      </c>
      <c r="F59" s="432">
        <v>15000</v>
      </c>
      <c r="G59" s="320">
        <v>1</v>
      </c>
      <c r="H59" s="320">
        <f>G59*E59</f>
        <v>0</v>
      </c>
      <c r="I59" s="382">
        <f t="shared" ref="I59" si="21">G59</f>
        <v>1</v>
      </c>
      <c r="J59" s="333">
        <f>I59*F59</f>
        <v>15000</v>
      </c>
      <c r="K59" s="342">
        <f>J59+H59</f>
        <v>15000</v>
      </c>
      <c r="L59" s="339"/>
      <c r="M59" s="339"/>
    </row>
    <row r="60" spans="1:13" s="433" customFormat="1" ht="14.25" customHeight="1" thickBot="1">
      <c r="A60" s="502" t="s">
        <v>8</v>
      </c>
      <c r="B60" s="503"/>
      <c r="C60" s="503"/>
      <c r="D60" s="503"/>
      <c r="E60" s="435"/>
      <c r="F60" s="435"/>
      <c r="G60" s="426"/>
      <c r="H60" s="426"/>
      <c r="I60" s="426"/>
      <c r="J60" s="426"/>
      <c r="K60" s="436">
        <f>SUM(K59)</f>
        <v>15000</v>
      </c>
      <c r="L60" s="339"/>
      <c r="M60" s="339"/>
    </row>
    <row r="61" spans="1:13" s="433" customFormat="1" ht="14.25" customHeight="1">
      <c r="A61" s="232">
        <v>7</v>
      </c>
      <c r="B61" s="233" t="s">
        <v>241</v>
      </c>
      <c r="C61" s="452"/>
      <c r="D61" s="453"/>
      <c r="E61" s="438"/>
      <c r="F61" s="438"/>
      <c r="G61" s="427"/>
      <c r="H61" s="427"/>
      <c r="I61" s="427"/>
      <c r="J61" s="427"/>
      <c r="K61" s="427"/>
      <c r="L61" s="339"/>
      <c r="M61" s="339"/>
    </row>
    <row r="62" spans="1:13" s="433" customFormat="1" ht="14.25" customHeight="1">
      <c r="A62" s="439">
        <v>7.1</v>
      </c>
      <c r="B62" s="454" t="s">
        <v>242</v>
      </c>
      <c r="C62" s="455"/>
      <c r="D62" s="456"/>
      <c r="E62" s="443"/>
      <c r="F62" s="443"/>
      <c r="G62" s="457"/>
      <c r="H62" s="457"/>
      <c r="I62" s="457"/>
      <c r="J62" s="457"/>
      <c r="K62" s="457"/>
      <c r="L62" s="339"/>
      <c r="M62" s="339"/>
    </row>
    <row r="63" spans="1:13" s="433" customFormat="1" ht="14.25" customHeight="1">
      <c r="A63" s="239" t="s">
        <v>243</v>
      </c>
      <c r="B63" s="430" t="s">
        <v>209</v>
      </c>
      <c r="C63" s="431" t="s">
        <v>108</v>
      </c>
      <c r="D63" s="238" t="s">
        <v>73</v>
      </c>
      <c r="E63" s="432">
        <v>0</v>
      </c>
      <c r="F63" s="432">
        <v>0</v>
      </c>
      <c r="G63" s="320"/>
      <c r="H63" s="320">
        <f t="shared" ref="H63:H74" si="22">G63*E63</f>
        <v>0</v>
      </c>
      <c r="I63" s="382">
        <f t="shared" ref="I63:I74" si="23">G63</f>
        <v>0</v>
      </c>
      <c r="J63" s="333">
        <f t="shared" ref="J63:J74" si="24">I63*F63</f>
        <v>0</v>
      </c>
      <c r="K63" s="342">
        <f t="shared" ref="K63:K74" si="25">J63+H63</f>
        <v>0</v>
      </c>
      <c r="L63" s="339"/>
      <c r="M63" s="339"/>
    </row>
    <row r="64" spans="1:13" s="433" customFormat="1" ht="14.25" customHeight="1">
      <c r="A64" s="239" t="s">
        <v>244</v>
      </c>
      <c r="B64" s="430" t="s">
        <v>211</v>
      </c>
      <c r="C64" s="431" t="s">
        <v>108</v>
      </c>
      <c r="D64" s="238" t="s">
        <v>73</v>
      </c>
      <c r="E64" s="432">
        <v>0</v>
      </c>
      <c r="F64" s="432">
        <v>0</v>
      </c>
      <c r="G64" s="320"/>
      <c r="H64" s="320">
        <f t="shared" si="22"/>
        <v>0</v>
      </c>
      <c r="I64" s="382">
        <f t="shared" si="23"/>
        <v>0</v>
      </c>
      <c r="J64" s="333">
        <f t="shared" si="24"/>
        <v>0</v>
      </c>
      <c r="K64" s="342">
        <f t="shared" si="25"/>
        <v>0</v>
      </c>
      <c r="L64" s="339"/>
      <c r="M64" s="339"/>
    </row>
    <row r="65" spans="1:13" s="433" customFormat="1" ht="14.25" customHeight="1">
      <c r="A65" s="239" t="s">
        <v>245</v>
      </c>
      <c r="B65" s="430" t="s">
        <v>213</v>
      </c>
      <c r="C65" s="431" t="s">
        <v>108</v>
      </c>
      <c r="D65" s="238" t="s">
        <v>73</v>
      </c>
      <c r="E65" s="432">
        <v>0</v>
      </c>
      <c r="F65" s="432">
        <v>0</v>
      </c>
      <c r="G65" s="320"/>
      <c r="H65" s="320">
        <f t="shared" si="22"/>
        <v>0</v>
      </c>
      <c r="I65" s="382">
        <f t="shared" si="23"/>
        <v>0</v>
      </c>
      <c r="J65" s="333">
        <f t="shared" si="24"/>
        <v>0</v>
      </c>
      <c r="K65" s="342">
        <f t="shared" si="25"/>
        <v>0</v>
      </c>
      <c r="L65" s="339"/>
      <c r="M65" s="339"/>
    </row>
    <row r="66" spans="1:13" s="433" customFormat="1" ht="14.25" customHeight="1">
      <c r="A66" s="239" t="s">
        <v>246</v>
      </c>
      <c r="B66" s="430" t="s">
        <v>215</v>
      </c>
      <c r="C66" s="431" t="s">
        <v>108</v>
      </c>
      <c r="D66" s="238" t="s">
        <v>73</v>
      </c>
      <c r="E66" s="432">
        <v>0</v>
      </c>
      <c r="F66" s="432">
        <v>0</v>
      </c>
      <c r="G66" s="320"/>
      <c r="H66" s="320">
        <f t="shared" si="22"/>
        <v>0</v>
      </c>
      <c r="I66" s="382">
        <f t="shared" si="23"/>
        <v>0</v>
      </c>
      <c r="J66" s="333">
        <f t="shared" si="24"/>
        <v>0</v>
      </c>
      <c r="K66" s="342">
        <f t="shared" si="25"/>
        <v>0</v>
      </c>
      <c r="L66" s="339"/>
      <c r="M66" s="339"/>
    </row>
    <row r="67" spans="1:13" s="433" customFormat="1" ht="14.25" customHeight="1">
      <c r="A67" s="239" t="s">
        <v>247</v>
      </c>
      <c r="B67" s="430" t="s">
        <v>217</v>
      </c>
      <c r="C67" s="431" t="s">
        <v>108</v>
      </c>
      <c r="D67" s="238" t="s">
        <v>73</v>
      </c>
      <c r="E67" s="432">
        <v>0</v>
      </c>
      <c r="F67" s="432">
        <v>0</v>
      </c>
      <c r="G67" s="320"/>
      <c r="H67" s="320">
        <f t="shared" si="22"/>
        <v>0</v>
      </c>
      <c r="I67" s="382">
        <f t="shared" si="23"/>
        <v>0</v>
      </c>
      <c r="J67" s="333">
        <f t="shared" si="24"/>
        <v>0</v>
      </c>
      <c r="K67" s="342">
        <f t="shared" si="25"/>
        <v>0</v>
      </c>
      <c r="L67" s="339"/>
      <c r="M67" s="339"/>
    </row>
    <row r="68" spans="1:13" s="433" customFormat="1" ht="14.25" customHeight="1">
      <c r="A68" s="239" t="s">
        <v>248</v>
      </c>
      <c r="B68" s="430" t="s">
        <v>219</v>
      </c>
      <c r="C68" s="431" t="s">
        <v>108</v>
      </c>
      <c r="D68" s="238" t="s">
        <v>73</v>
      </c>
      <c r="E68" s="432">
        <v>0</v>
      </c>
      <c r="F68" s="432">
        <v>0</v>
      </c>
      <c r="G68" s="320"/>
      <c r="H68" s="320">
        <f t="shared" si="22"/>
        <v>0</v>
      </c>
      <c r="I68" s="382">
        <f t="shared" si="23"/>
        <v>0</v>
      </c>
      <c r="J68" s="333">
        <f t="shared" si="24"/>
        <v>0</v>
      </c>
      <c r="K68" s="342">
        <f t="shared" si="25"/>
        <v>0</v>
      </c>
      <c r="L68" s="339"/>
      <c r="M68" s="339"/>
    </row>
    <row r="69" spans="1:13" s="433" customFormat="1" ht="14.25" customHeight="1">
      <c r="A69" s="239" t="s">
        <v>249</v>
      </c>
      <c r="B69" s="430" t="s">
        <v>222</v>
      </c>
      <c r="C69" s="431" t="s">
        <v>108</v>
      </c>
      <c r="D69" s="238" t="s">
        <v>73</v>
      </c>
      <c r="E69" s="432">
        <v>0</v>
      </c>
      <c r="F69" s="432">
        <v>0</v>
      </c>
      <c r="G69" s="320"/>
      <c r="H69" s="320">
        <f t="shared" si="22"/>
        <v>0</v>
      </c>
      <c r="I69" s="382">
        <f t="shared" si="23"/>
        <v>0</v>
      </c>
      <c r="J69" s="333">
        <f t="shared" si="24"/>
        <v>0</v>
      </c>
      <c r="K69" s="342">
        <f t="shared" si="25"/>
        <v>0</v>
      </c>
      <c r="L69" s="339"/>
      <c r="M69" s="339"/>
    </row>
    <row r="70" spans="1:13" s="7" customFormat="1" ht="14.25" customHeight="1">
      <c r="A70" s="197" t="s">
        <v>250</v>
      </c>
      <c r="B70" s="75" t="s">
        <v>224</v>
      </c>
      <c r="C70" s="218">
        <f>C29</f>
        <v>4</v>
      </c>
      <c r="D70" s="208" t="s">
        <v>73</v>
      </c>
      <c r="E70" s="302">
        <v>600</v>
      </c>
      <c r="F70" s="302">
        <v>500</v>
      </c>
      <c r="G70" s="382">
        <v>6.7220000000000004</v>
      </c>
      <c r="H70" s="320">
        <f t="shared" si="22"/>
        <v>4033.2000000000003</v>
      </c>
      <c r="I70" s="382">
        <f t="shared" si="23"/>
        <v>6.7220000000000004</v>
      </c>
      <c r="J70" s="93">
        <f t="shared" si="24"/>
        <v>3361</v>
      </c>
      <c r="K70" s="94">
        <f t="shared" si="25"/>
        <v>7394.2000000000007</v>
      </c>
      <c r="L70" s="115"/>
      <c r="M70" s="115"/>
    </row>
    <row r="71" spans="1:13" s="7" customFormat="1" ht="14.25" customHeight="1">
      <c r="A71" s="197" t="s">
        <v>251</v>
      </c>
      <c r="B71" s="75" t="s">
        <v>226</v>
      </c>
      <c r="C71" s="218">
        <f>C30</f>
        <v>7</v>
      </c>
      <c r="D71" s="208" t="s">
        <v>73</v>
      </c>
      <c r="E71" s="302">
        <v>500</v>
      </c>
      <c r="F71" s="302">
        <v>400</v>
      </c>
      <c r="G71" s="382">
        <v>7.2279999999999998</v>
      </c>
      <c r="H71" s="320">
        <f t="shared" si="22"/>
        <v>3614</v>
      </c>
      <c r="I71" s="382">
        <f t="shared" si="23"/>
        <v>7.2279999999999998</v>
      </c>
      <c r="J71" s="93">
        <f t="shared" si="24"/>
        <v>2891.2</v>
      </c>
      <c r="K71" s="94">
        <f t="shared" si="25"/>
        <v>6505.2</v>
      </c>
      <c r="L71" s="115"/>
      <c r="M71" s="115"/>
    </row>
    <row r="72" spans="1:13" s="7" customFormat="1" ht="14.25" customHeight="1">
      <c r="A72" s="197" t="s">
        <v>252</v>
      </c>
      <c r="B72" s="75" t="s">
        <v>228</v>
      </c>
      <c r="C72" s="218">
        <f>C31</f>
        <v>44</v>
      </c>
      <c r="D72" s="208" t="s">
        <v>73</v>
      </c>
      <c r="E72" s="302">
        <v>400</v>
      </c>
      <c r="F72" s="302">
        <v>300</v>
      </c>
      <c r="G72" s="382">
        <v>54.542999999999999</v>
      </c>
      <c r="H72" s="320">
        <f t="shared" si="22"/>
        <v>21817.200000000001</v>
      </c>
      <c r="I72" s="382">
        <f t="shared" si="23"/>
        <v>54.542999999999999</v>
      </c>
      <c r="J72" s="93">
        <f t="shared" si="24"/>
        <v>16362.9</v>
      </c>
      <c r="K72" s="94">
        <f t="shared" si="25"/>
        <v>38180.1</v>
      </c>
      <c r="L72" s="115"/>
      <c r="M72" s="115"/>
    </row>
    <row r="73" spans="1:13" s="7" customFormat="1" ht="14.25" customHeight="1">
      <c r="A73" s="197">
        <v>7.2</v>
      </c>
      <c r="B73" s="75" t="s">
        <v>253</v>
      </c>
      <c r="C73" s="218">
        <v>1</v>
      </c>
      <c r="D73" s="208" t="s">
        <v>9</v>
      </c>
      <c r="E73" s="302">
        <v>15000</v>
      </c>
      <c r="F73" s="302">
        <v>5000</v>
      </c>
      <c r="G73" s="320">
        <v>1</v>
      </c>
      <c r="H73" s="320">
        <f t="shared" si="22"/>
        <v>15000</v>
      </c>
      <c r="I73" s="382">
        <f t="shared" si="23"/>
        <v>1</v>
      </c>
      <c r="J73" s="93">
        <f t="shared" si="24"/>
        <v>5000</v>
      </c>
      <c r="K73" s="94">
        <f t="shared" si="25"/>
        <v>20000</v>
      </c>
      <c r="L73" s="115"/>
      <c r="M73" s="115"/>
    </row>
    <row r="74" spans="1:13" s="7" customFormat="1" ht="14.25" customHeight="1" thickBot="1">
      <c r="A74" s="197">
        <v>7.3</v>
      </c>
      <c r="B74" s="75" t="s">
        <v>254</v>
      </c>
      <c r="C74" s="219" t="s">
        <v>108</v>
      </c>
      <c r="D74" s="208" t="s">
        <v>9</v>
      </c>
      <c r="E74" s="302">
        <v>40000</v>
      </c>
      <c r="F74" s="302">
        <v>5000</v>
      </c>
      <c r="G74" s="320"/>
      <c r="H74" s="320">
        <f t="shared" si="22"/>
        <v>0</v>
      </c>
      <c r="I74" s="382">
        <f t="shared" si="23"/>
        <v>0</v>
      </c>
      <c r="J74" s="93">
        <f t="shared" si="24"/>
        <v>0</v>
      </c>
      <c r="K74" s="94">
        <f t="shared" si="25"/>
        <v>0</v>
      </c>
      <c r="L74" s="115"/>
      <c r="M74" s="115"/>
    </row>
    <row r="75" spans="1:13" s="7" customFormat="1" ht="14.25" customHeight="1" thickBot="1">
      <c r="A75" s="500" t="s">
        <v>8</v>
      </c>
      <c r="B75" s="501"/>
      <c r="C75" s="501"/>
      <c r="D75" s="501"/>
      <c r="E75" s="303"/>
      <c r="F75" s="303"/>
      <c r="G75" s="426"/>
      <c r="H75" s="426"/>
      <c r="I75" s="426"/>
      <c r="J75" s="202"/>
      <c r="K75" s="268">
        <f>SUM(K63:K74)</f>
        <v>72079.5</v>
      </c>
      <c r="L75" s="115"/>
      <c r="M75" s="115"/>
    </row>
    <row r="76" spans="1:13" s="228" customFormat="1" ht="14.25" customHeight="1">
      <c r="A76" s="5">
        <v>8</v>
      </c>
      <c r="B76" s="203" t="s">
        <v>255</v>
      </c>
      <c r="C76" s="210"/>
      <c r="D76" s="210"/>
      <c r="E76" s="210"/>
      <c r="F76" s="210"/>
      <c r="G76" s="235"/>
      <c r="H76" s="235"/>
      <c r="I76" s="235"/>
      <c r="J76" s="211"/>
      <c r="K76" s="211"/>
      <c r="L76" s="115"/>
      <c r="M76" s="115"/>
    </row>
    <row r="77" spans="1:13" s="7" customFormat="1" ht="14.25" customHeight="1" thickBot="1">
      <c r="A77" s="229">
        <v>8.1</v>
      </c>
      <c r="B77" s="85" t="s">
        <v>256</v>
      </c>
      <c r="C77" s="230">
        <v>1</v>
      </c>
      <c r="D77" s="231" t="s">
        <v>9</v>
      </c>
      <c r="E77" s="302">
        <v>45000</v>
      </c>
      <c r="F77" s="302">
        <v>8000</v>
      </c>
      <c r="G77" s="320">
        <v>1</v>
      </c>
      <c r="H77" s="320">
        <f>G77*E77</f>
        <v>45000</v>
      </c>
      <c r="I77" s="382">
        <f t="shared" ref="I77" si="26">G77</f>
        <v>1</v>
      </c>
      <c r="J77" s="93">
        <f>I77*F77</f>
        <v>8000</v>
      </c>
      <c r="K77" s="94">
        <f>J77+H77</f>
        <v>53000</v>
      </c>
      <c r="L77" s="115"/>
      <c r="M77" s="115"/>
    </row>
    <row r="78" spans="1:13" s="7" customFormat="1" ht="14.25" customHeight="1" thickBot="1">
      <c r="A78" s="500" t="s">
        <v>8</v>
      </c>
      <c r="B78" s="501"/>
      <c r="C78" s="501"/>
      <c r="D78" s="501"/>
      <c r="E78" s="303"/>
      <c r="F78" s="303"/>
      <c r="G78" s="426"/>
      <c r="H78" s="426"/>
      <c r="I78" s="426"/>
      <c r="J78" s="202"/>
      <c r="K78" s="267">
        <f>SUM(K77)</f>
        <v>53000</v>
      </c>
      <c r="L78" s="115"/>
      <c r="M78" s="115"/>
    </row>
    <row r="79" spans="1:13" s="236" customFormat="1" ht="14.25" customHeight="1">
      <c r="A79" s="232">
        <v>9</v>
      </c>
      <c r="B79" s="233" t="s">
        <v>3</v>
      </c>
      <c r="C79" s="234"/>
      <c r="D79" s="234"/>
      <c r="E79" s="234"/>
      <c r="F79" s="234"/>
      <c r="G79" s="235"/>
      <c r="H79" s="235"/>
      <c r="I79" s="235"/>
      <c r="J79" s="235"/>
      <c r="K79" s="235"/>
      <c r="L79" s="115"/>
      <c r="M79" s="115"/>
    </row>
    <row r="80" spans="1:13" s="7" customFormat="1" ht="14.25" customHeight="1">
      <c r="A80" s="197">
        <v>9.1</v>
      </c>
      <c r="B80" s="75" t="s">
        <v>257</v>
      </c>
      <c r="C80" s="237">
        <v>1</v>
      </c>
      <c r="D80" s="238" t="s">
        <v>9</v>
      </c>
      <c r="E80" s="302">
        <v>0</v>
      </c>
      <c r="F80" s="302">
        <v>15000</v>
      </c>
      <c r="G80" s="320">
        <v>1</v>
      </c>
      <c r="H80" s="320">
        <f t="shared" ref="H80:H85" si="27">G80*E80</f>
        <v>0</v>
      </c>
      <c r="I80" s="382">
        <f t="shared" ref="I80:I85" si="28">G80</f>
        <v>1</v>
      </c>
      <c r="J80" s="93">
        <f t="shared" ref="J80:J85" si="29">I80*F80</f>
        <v>15000</v>
      </c>
      <c r="K80" s="94">
        <f t="shared" ref="K80:K85" si="30">J80+H80</f>
        <v>15000</v>
      </c>
      <c r="L80" s="115"/>
      <c r="M80" s="115"/>
    </row>
    <row r="81" spans="1:13" s="7" customFormat="1" ht="14.25" customHeight="1">
      <c r="A81" s="239">
        <v>9.1999999999999993</v>
      </c>
      <c r="B81" s="75" t="s">
        <v>10</v>
      </c>
      <c r="C81" s="237">
        <v>1</v>
      </c>
      <c r="D81" s="238" t="s">
        <v>9</v>
      </c>
      <c r="E81" s="302">
        <v>0</v>
      </c>
      <c r="F81" s="302">
        <v>8000</v>
      </c>
      <c r="G81" s="320">
        <v>1</v>
      </c>
      <c r="H81" s="320">
        <f t="shared" si="27"/>
        <v>0</v>
      </c>
      <c r="I81" s="382">
        <f t="shared" si="28"/>
        <v>1</v>
      </c>
      <c r="J81" s="93">
        <f t="shared" si="29"/>
        <v>8000</v>
      </c>
      <c r="K81" s="94">
        <f t="shared" si="30"/>
        <v>8000</v>
      </c>
      <c r="L81" s="115"/>
      <c r="M81" s="115"/>
    </row>
    <row r="82" spans="1:13" s="7" customFormat="1" ht="14.25" customHeight="1">
      <c r="A82" s="197">
        <v>9.3000000000000007</v>
      </c>
      <c r="B82" s="75" t="s">
        <v>11</v>
      </c>
      <c r="C82" s="237">
        <v>1</v>
      </c>
      <c r="D82" s="238" t="s">
        <v>9</v>
      </c>
      <c r="E82" s="302">
        <v>0</v>
      </c>
      <c r="F82" s="302">
        <v>5000</v>
      </c>
      <c r="G82" s="320"/>
      <c r="H82" s="320">
        <f t="shared" si="27"/>
        <v>0</v>
      </c>
      <c r="I82" s="382">
        <f t="shared" si="28"/>
        <v>0</v>
      </c>
      <c r="J82" s="93">
        <f t="shared" si="29"/>
        <v>0</v>
      </c>
      <c r="K82" s="94">
        <f t="shared" si="30"/>
        <v>0</v>
      </c>
      <c r="L82" s="115"/>
      <c r="M82" s="115"/>
    </row>
    <row r="83" spans="1:13" s="7" customFormat="1" ht="25.5" customHeight="1">
      <c r="A83" s="239">
        <v>9.4</v>
      </c>
      <c r="B83" s="200" t="s">
        <v>258</v>
      </c>
      <c r="C83" s="237">
        <v>1</v>
      </c>
      <c r="D83" s="238" t="s">
        <v>9</v>
      </c>
      <c r="E83" s="302">
        <v>15000</v>
      </c>
      <c r="F83" s="302">
        <v>2000</v>
      </c>
      <c r="G83" s="320"/>
      <c r="H83" s="320">
        <f t="shared" si="27"/>
        <v>0</v>
      </c>
      <c r="I83" s="382">
        <f t="shared" si="28"/>
        <v>0</v>
      </c>
      <c r="J83" s="93">
        <f t="shared" si="29"/>
        <v>0</v>
      </c>
      <c r="K83" s="94">
        <f t="shared" si="30"/>
        <v>0</v>
      </c>
      <c r="L83" s="115"/>
      <c r="M83" s="115"/>
    </row>
    <row r="84" spans="1:13" s="7" customFormat="1" ht="14.25" customHeight="1">
      <c r="A84" s="197">
        <v>9.5</v>
      </c>
      <c r="B84" s="75" t="s">
        <v>69</v>
      </c>
      <c r="C84" s="237">
        <v>1</v>
      </c>
      <c r="D84" s="238" t="s">
        <v>9</v>
      </c>
      <c r="E84" s="302">
        <v>7000</v>
      </c>
      <c r="F84" s="302">
        <v>2000</v>
      </c>
      <c r="G84" s="320"/>
      <c r="H84" s="320">
        <f t="shared" si="27"/>
        <v>0</v>
      </c>
      <c r="I84" s="382">
        <f t="shared" si="28"/>
        <v>0</v>
      </c>
      <c r="J84" s="93">
        <f t="shared" si="29"/>
        <v>0</v>
      </c>
      <c r="K84" s="94">
        <f t="shared" si="30"/>
        <v>0</v>
      </c>
      <c r="L84" s="115"/>
      <c r="M84" s="115"/>
    </row>
    <row r="85" spans="1:13" s="7" customFormat="1" ht="25.5" customHeight="1" thickBot="1">
      <c r="A85" s="291">
        <v>9.6</v>
      </c>
      <c r="B85" s="292" t="s">
        <v>259</v>
      </c>
      <c r="C85" s="230">
        <v>1</v>
      </c>
      <c r="D85" s="231" t="s">
        <v>9</v>
      </c>
      <c r="E85" s="305">
        <v>0</v>
      </c>
      <c r="F85" s="305">
        <v>15000</v>
      </c>
      <c r="G85" s="418">
        <v>1</v>
      </c>
      <c r="H85" s="418">
        <f t="shared" si="27"/>
        <v>0</v>
      </c>
      <c r="I85" s="458">
        <f t="shared" si="28"/>
        <v>1</v>
      </c>
      <c r="J85" s="293">
        <f t="shared" si="29"/>
        <v>15000</v>
      </c>
      <c r="K85" s="294">
        <f t="shared" si="30"/>
        <v>15000</v>
      </c>
      <c r="L85" s="115"/>
      <c r="M85" s="115"/>
    </row>
    <row r="86" spans="1:13" s="7" customFormat="1" ht="14.25" customHeight="1" thickBot="1">
      <c r="A86" s="509" t="s">
        <v>8</v>
      </c>
      <c r="B86" s="510"/>
      <c r="C86" s="510"/>
      <c r="D86" s="510"/>
      <c r="E86" s="306"/>
      <c r="F86" s="306"/>
      <c r="G86" s="459"/>
      <c r="H86" s="459"/>
      <c r="I86" s="459"/>
      <c r="J86" s="296"/>
      <c r="K86" s="297">
        <f>SUM(K80:K85)</f>
        <v>38000</v>
      </c>
      <c r="L86" s="115"/>
      <c r="M86" s="115"/>
    </row>
    <row r="87" spans="1:13" s="7" customFormat="1" ht="14.25" customHeight="1" thickBot="1">
      <c r="A87" s="498" t="s">
        <v>260</v>
      </c>
      <c r="B87" s="499"/>
      <c r="C87" s="499"/>
      <c r="D87" s="499"/>
      <c r="E87" s="307"/>
      <c r="F87" s="307"/>
      <c r="G87" s="460"/>
      <c r="H87" s="460"/>
      <c r="I87" s="460"/>
      <c r="J87" s="288"/>
      <c r="K87" s="295">
        <f>K86+K78+K60+K57+K32+K18+K15+K12+K75</f>
        <v>803551.75</v>
      </c>
      <c r="L87" s="115"/>
      <c r="M87" s="115"/>
    </row>
    <row r="88" spans="1:13" s="228" customFormat="1" ht="13.5" thickBot="1">
      <c r="A88" s="504" t="s">
        <v>280</v>
      </c>
      <c r="B88" s="505"/>
      <c r="C88" s="505"/>
      <c r="D88" s="505"/>
      <c r="E88" s="505"/>
      <c r="F88" s="505"/>
      <c r="G88" s="505"/>
      <c r="H88" s="505"/>
      <c r="I88" s="505"/>
      <c r="J88" s="505"/>
      <c r="K88" s="289">
        <f>ROUND(K89-K87,0)</f>
        <v>74407</v>
      </c>
    </row>
    <row r="89" spans="1:13" s="228" customFormat="1" ht="15.75" customHeight="1" thickBot="1">
      <c r="A89" s="481" t="s">
        <v>282</v>
      </c>
      <c r="B89" s="482"/>
      <c r="C89" s="482"/>
      <c r="D89" s="482"/>
      <c r="E89" s="482"/>
      <c r="F89" s="482"/>
      <c r="G89" s="482"/>
      <c r="H89" s="482"/>
      <c r="I89" s="482"/>
      <c r="J89" s="482"/>
      <c r="K89" s="289">
        <f>ROUND(K87/0.91525,0)</f>
        <v>877959</v>
      </c>
      <c r="L89" s="290"/>
    </row>
    <row r="90" spans="1:13" s="228" customFormat="1" ht="12">
      <c r="A90" s="240"/>
      <c r="C90" s="241"/>
      <c r="D90" s="241"/>
      <c r="E90" s="242"/>
      <c r="F90" s="242"/>
      <c r="G90" s="314"/>
      <c r="H90" s="242"/>
      <c r="I90" s="314"/>
      <c r="J90" s="242"/>
      <c r="K90" s="242"/>
    </row>
    <row r="91" spans="1:13" s="228" customFormat="1" ht="12">
      <c r="A91" s="240"/>
      <c r="C91" s="241"/>
      <c r="D91" s="241"/>
      <c r="E91" s="242"/>
      <c r="F91" s="242"/>
      <c r="G91" s="314"/>
      <c r="H91" s="242"/>
      <c r="I91" s="314"/>
      <c r="J91" s="242"/>
      <c r="K91" s="242"/>
    </row>
    <row r="92" spans="1:13" s="228" customFormat="1" ht="12">
      <c r="A92" s="240"/>
      <c r="C92" s="241"/>
      <c r="D92" s="241"/>
      <c r="E92" s="242"/>
      <c r="F92" s="242"/>
      <c r="G92" s="314"/>
      <c r="H92" s="242"/>
      <c r="I92" s="314"/>
      <c r="J92" s="242"/>
      <c r="K92" s="242"/>
    </row>
    <row r="93" spans="1:13" s="228" customFormat="1" ht="12">
      <c r="A93" s="240"/>
      <c r="C93" s="241"/>
      <c r="D93" s="241"/>
      <c r="E93" s="242"/>
      <c r="F93" s="242"/>
      <c r="G93" s="314"/>
      <c r="H93" s="242"/>
      <c r="I93" s="314"/>
      <c r="J93" s="242"/>
      <c r="K93" s="242"/>
    </row>
    <row r="94" spans="1:13" s="228" customFormat="1" ht="12">
      <c r="A94" s="240"/>
      <c r="C94" s="241"/>
      <c r="D94" s="241"/>
      <c r="E94" s="242"/>
      <c r="F94" s="242"/>
      <c r="G94" s="314"/>
      <c r="H94" s="242"/>
      <c r="I94" s="314"/>
      <c r="J94" s="242"/>
      <c r="K94" s="242"/>
    </row>
    <row r="95" spans="1:13" s="228" customFormat="1" ht="12">
      <c r="A95" s="240"/>
      <c r="C95" s="241"/>
      <c r="D95" s="241"/>
      <c r="E95" s="242"/>
      <c r="F95" s="242"/>
      <c r="G95" s="314"/>
      <c r="H95" s="242"/>
      <c r="I95" s="314"/>
      <c r="J95" s="242"/>
      <c r="K95" s="242"/>
    </row>
    <row r="96" spans="1:13" s="228" customFormat="1" ht="12">
      <c r="A96" s="240"/>
      <c r="C96" s="241"/>
      <c r="D96" s="241"/>
      <c r="E96" s="242"/>
      <c r="F96" s="242"/>
      <c r="G96" s="314"/>
      <c r="H96" s="242"/>
      <c r="I96" s="314"/>
      <c r="J96" s="242"/>
      <c r="K96" s="242"/>
    </row>
    <row r="97" spans="1:11" s="228" customFormat="1" ht="12">
      <c r="A97" s="240"/>
      <c r="C97" s="241"/>
      <c r="D97" s="241"/>
      <c r="E97" s="242"/>
      <c r="F97" s="242"/>
      <c r="G97" s="314"/>
      <c r="H97" s="242"/>
      <c r="I97" s="314"/>
      <c r="J97" s="242"/>
      <c r="K97" s="242"/>
    </row>
    <row r="98" spans="1:11" s="228" customFormat="1" ht="12">
      <c r="A98" s="240"/>
      <c r="C98" s="241"/>
      <c r="D98" s="241"/>
      <c r="E98" s="242"/>
      <c r="F98" s="242"/>
      <c r="G98" s="314"/>
      <c r="H98" s="242"/>
      <c r="I98" s="314"/>
      <c r="J98" s="242"/>
      <c r="K98" s="242"/>
    </row>
    <row r="99" spans="1:11" s="228" customFormat="1" ht="12">
      <c r="A99" s="240"/>
      <c r="C99" s="241"/>
      <c r="D99" s="241"/>
      <c r="E99" s="242"/>
      <c r="F99" s="242"/>
      <c r="G99" s="314"/>
      <c r="H99" s="242"/>
      <c r="I99" s="314"/>
      <c r="J99" s="242"/>
      <c r="K99" s="242"/>
    </row>
    <row r="100" spans="1:11" s="228" customFormat="1" ht="12">
      <c r="A100" s="240"/>
      <c r="C100" s="241"/>
      <c r="D100" s="241"/>
      <c r="E100" s="242"/>
      <c r="F100" s="242"/>
      <c r="G100" s="314"/>
      <c r="H100" s="242"/>
      <c r="I100" s="314"/>
      <c r="J100" s="242"/>
      <c r="K100" s="242"/>
    </row>
    <row r="101" spans="1:11" s="228" customFormat="1" ht="12">
      <c r="A101" s="240"/>
      <c r="C101" s="241"/>
      <c r="D101" s="241"/>
      <c r="E101" s="242"/>
      <c r="F101" s="242"/>
      <c r="G101" s="314"/>
      <c r="H101" s="242"/>
      <c r="I101" s="314"/>
      <c r="J101" s="242"/>
      <c r="K101" s="242"/>
    </row>
    <row r="102" spans="1:11" s="228" customFormat="1" ht="12">
      <c r="A102" s="240"/>
      <c r="C102" s="241"/>
      <c r="D102" s="241"/>
      <c r="E102" s="242"/>
      <c r="F102" s="242"/>
      <c r="G102" s="314"/>
      <c r="H102" s="242"/>
      <c r="I102" s="314"/>
      <c r="J102" s="242"/>
      <c r="K102" s="242"/>
    </row>
    <row r="103" spans="1:11" s="228" customFormat="1" ht="12">
      <c r="A103" s="240"/>
      <c r="C103" s="241"/>
      <c r="D103" s="241"/>
      <c r="E103" s="242"/>
      <c r="F103" s="242"/>
      <c r="G103" s="314"/>
      <c r="H103" s="242"/>
      <c r="I103" s="314"/>
      <c r="J103" s="242"/>
      <c r="K103" s="242"/>
    </row>
    <row r="104" spans="1:11" s="228" customFormat="1" ht="12">
      <c r="A104" s="240"/>
      <c r="C104" s="241"/>
      <c r="D104" s="241"/>
      <c r="E104" s="242"/>
      <c r="F104" s="242"/>
      <c r="G104" s="314"/>
      <c r="H104" s="242"/>
      <c r="I104" s="314"/>
      <c r="J104" s="242"/>
      <c r="K104" s="242"/>
    </row>
    <row r="105" spans="1:11" s="228" customFormat="1" ht="12">
      <c r="A105" s="240"/>
      <c r="C105" s="241"/>
      <c r="D105" s="241"/>
      <c r="E105" s="242"/>
      <c r="F105" s="242"/>
      <c r="G105" s="314"/>
      <c r="H105" s="242"/>
      <c r="I105" s="314"/>
      <c r="J105" s="242"/>
      <c r="K105" s="242"/>
    </row>
    <row r="106" spans="1:11" s="228" customFormat="1" ht="12">
      <c r="A106" s="240"/>
      <c r="C106" s="241"/>
      <c r="D106" s="241"/>
      <c r="E106" s="242"/>
      <c r="F106" s="242"/>
      <c r="G106" s="314"/>
      <c r="H106" s="242"/>
      <c r="I106" s="314"/>
      <c r="J106" s="242"/>
      <c r="K106" s="242"/>
    </row>
    <row r="107" spans="1:11" s="228" customFormat="1" ht="12">
      <c r="A107" s="240"/>
      <c r="C107" s="241"/>
      <c r="D107" s="241"/>
      <c r="E107" s="242"/>
      <c r="F107" s="242"/>
      <c r="G107" s="314"/>
      <c r="H107" s="242"/>
      <c r="I107" s="314"/>
      <c r="J107" s="242"/>
      <c r="K107" s="242"/>
    </row>
    <row r="108" spans="1:11" s="228" customFormat="1" ht="12">
      <c r="A108" s="240"/>
      <c r="C108" s="241"/>
      <c r="D108" s="241"/>
      <c r="E108" s="242"/>
      <c r="F108" s="242"/>
      <c r="G108" s="314"/>
      <c r="H108" s="242"/>
      <c r="I108" s="314"/>
      <c r="J108" s="242"/>
      <c r="K108" s="242"/>
    </row>
    <row r="109" spans="1:11" s="228" customFormat="1" ht="12">
      <c r="A109" s="240"/>
      <c r="C109" s="241"/>
      <c r="D109" s="241"/>
      <c r="E109" s="242"/>
      <c r="F109" s="242"/>
      <c r="G109" s="314"/>
      <c r="H109" s="242"/>
      <c r="I109" s="314"/>
      <c r="J109" s="242"/>
      <c r="K109" s="242"/>
    </row>
    <row r="110" spans="1:11" s="228" customFormat="1" ht="12">
      <c r="A110" s="240"/>
      <c r="C110" s="241"/>
      <c r="D110" s="241"/>
      <c r="E110" s="242"/>
      <c r="F110" s="242"/>
      <c r="G110" s="314"/>
      <c r="H110" s="242"/>
      <c r="I110" s="314"/>
      <c r="J110" s="242"/>
      <c r="K110" s="242"/>
    </row>
    <row r="111" spans="1:11" s="228" customFormat="1" ht="12">
      <c r="A111" s="240"/>
      <c r="C111" s="241"/>
      <c r="D111" s="241"/>
      <c r="E111" s="242"/>
      <c r="F111" s="242"/>
      <c r="G111" s="314"/>
      <c r="H111" s="242"/>
      <c r="I111" s="314"/>
      <c r="J111" s="242"/>
      <c r="K111" s="242"/>
    </row>
    <row r="112" spans="1:11" s="228" customFormat="1" ht="12">
      <c r="A112" s="240"/>
      <c r="C112" s="241"/>
      <c r="D112" s="241"/>
      <c r="E112" s="242"/>
      <c r="F112" s="242"/>
      <c r="G112" s="314"/>
      <c r="H112" s="242"/>
      <c r="I112" s="314"/>
      <c r="J112" s="242"/>
      <c r="K112" s="242"/>
    </row>
    <row r="113" spans="1:11" s="228" customFormat="1" ht="12">
      <c r="A113" s="240"/>
      <c r="C113" s="241"/>
      <c r="D113" s="241"/>
      <c r="E113" s="242"/>
      <c r="F113" s="242"/>
      <c r="G113" s="314"/>
      <c r="H113" s="242"/>
      <c r="I113" s="314"/>
      <c r="J113" s="242"/>
      <c r="K113" s="242"/>
    </row>
    <row r="114" spans="1:11" s="228" customFormat="1" ht="12">
      <c r="A114" s="240"/>
      <c r="C114" s="241"/>
      <c r="D114" s="241"/>
      <c r="E114" s="242"/>
      <c r="F114" s="242"/>
      <c r="G114" s="314"/>
      <c r="H114" s="242"/>
      <c r="I114" s="314"/>
      <c r="J114" s="242"/>
      <c r="K114" s="242"/>
    </row>
    <row r="115" spans="1:11" s="228" customFormat="1" ht="12">
      <c r="A115" s="240"/>
      <c r="C115" s="241"/>
      <c r="D115" s="241"/>
      <c r="E115" s="242"/>
      <c r="F115" s="242"/>
      <c r="G115" s="314"/>
      <c r="H115" s="242"/>
      <c r="I115" s="314"/>
      <c r="J115" s="242"/>
      <c r="K115" s="242"/>
    </row>
    <row r="116" spans="1:11" s="228" customFormat="1" ht="12">
      <c r="A116" s="240"/>
      <c r="C116" s="241"/>
      <c r="D116" s="241"/>
      <c r="E116" s="242"/>
      <c r="F116" s="242"/>
      <c r="G116" s="314"/>
      <c r="H116" s="242"/>
      <c r="I116" s="314"/>
      <c r="J116" s="242"/>
      <c r="K116" s="242"/>
    </row>
    <row r="117" spans="1:11" s="228" customFormat="1" ht="12">
      <c r="A117" s="240"/>
      <c r="C117" s="241"/>
      <c r="D117" s="241"/>
      <c r="E117" s="242"/>
      <c r="F117" s="242"/>
      <c r="G117" s="314"/>
      <c r="H117" s="242"/>
      <c r="I117" s="314"/>
      <c r="J117" s="242"/>
      <c r="K117" s="242"/>
    </row>
    <row r="118" spans="1:11" s="228" customFormat="1" ht="12">
      <c r="A118" s="240"/>
      <c r="C118" s="241"/>
      <c r="D118" s="241"/>
      <c r="E118" s="242"/>
      <c r="F118" s="242"/>
      <c r="G118" s="314"/>
      <c r="H118" s="242"/>
      <c r="I118" s="314"/>
      <c r="J118" s="242"/>
      <c r="K118" s="242"/>
    </row>
    <row r="119" spans="1:11" s="228" customFormat="1" ht="12">
      <c r="A119" s="240"/>
      <c r="C119" s="241"/>
      <c r="D119" s="241"/>
      <c r="E119" s="242"/>
      <c r="F119" s="242"/>
      <c r="G119" s="314"/>
      <c r="H119" s="242"/>
      <c r="I119" s="314"/>
      <c r="J119" s="242"/>
      <c r="K119" s="242"/>
    </row>
    <row r="120" spans="1:11" s="228" customFormat="1" ht="12">
      <c r="A120" s="240"/>
      <c r="C120" s="241"/>
      <c r="D120" s="241"/>
      <c r="E120" s="242"/>
      <c r="F120" s="242"/>
      <c r="G120" s="314"/>
      <c r="H120" s="242"/>
      <c r="I120" s="314"/>
      <c r="J120" s="242"/>
      <c r="K120" s="242"/>
    </row>
    <row r="121" spans="1:11" s="228" customFormat="1" ht="12">
      <c r="A121" s="240"/>
      <c r="C121" s="241"/>
      <c r="D121" s="241"/>
      <c r="E121" s="242"/>
      <c r="F121" s="242"/>
      <c r="G121" s="314"/>
      <c r="H121" s="242"/>
      <c r="I121" s="314"/>
      <c r="J121" s="242"/>
      <c r="K121" s="242"/>
    </row>
    <row r="122" spans="1:11" s="228" customFormat="1" ht="12">
      <c r="A122" s="240"/>
      <c r="C122" s="241"/>
      <c r="D122" s="241"/>
      <c r="E122" s="242"/>
      <c r="F122" s="242"/>
      <c r="G122" s="314"/>
      <c r="H122" s="242"/>
      <c r="I122" s="314"/>
      <c r="J122" s="242"/>
      <c r="K122" s="242"/>
    </row>
    <row r="123" spans="1:11" s="228" customFormat="1" ht="12">
      <c r="A123" s="240"/>
      <c r="C123" s="241"/>
      <c r="D123" s="241"/>
      <c r="E123" s="242"/>
      <c r="F123" s="242"/>
      <c r="G123" s="314"/>
      <c r="H123" s="242"/>
      <c r="I123" s="314"/>
      <c r="J123" s="242"/>
      <c r="K123" s="242"/>
    </row>
    <row r="124" spans="1:11" s="228" customFormat="1" ht="12">
      <c r="A124" s="240"/>
      <c r="C124" s="241"/>
      <c r="D124" s="241"/>
      <c r="E124" s="242"/>
      <c r="F124" s="242"/>
      <c r="G124" s="314"/>
      <c r="H124" s="242"/>
      <c r="I124" s="314"/>
      <c r="J124" s="242"/>
      <c r="K124" s="242"/>
    </row>
    <row r="125" spans="1:11" s="228" customFormat="1" ht="12">
      <c r="A125" s="240"/>
      <c r="C125" s="241"/>
      <c r="D125" s="241"/>
      <c r="E125" s="242"/>
      <c r="F125" s="242"/>
      <c r="G125" s="314"/>
      <c r="H125" s="242"/>
      <c r="I125" s="314"/>
      <c r="J125" s="242"/>
      <c r="K125" s="242"/>
    </row>
    <row r="126" spans="1:11" s="228" customFormat="1" ht="12">
      <c r="A126" s="240"/>
      <c r="C126" s="241"/>
      <c r="D126" s="241"/>
      <c r="E126" s="242"/>
      <c r="F126" s="242"/>
      <c r="G126" s="314"/>
      <c r="H126" s="242"/>
      <c r="I126" s="314"/>
      <c r="J126" s="242"/>
      <c r="K126" s="242"/>
    </row>
    <row r="127" spans="1:11" s="228" customFormat="1" ht="12">
      <c r="A127" s="240"/>
      <c r="C127" s="241"/>
      <c r="D127" s="241"/>
      <c r="E127" s="242"/>
      <c r="F127" s="242"/>
      <c r="G127" s="314"/>
      <c r="H127" s="242"/>
      <c r="I127" s="314"/>
      <c r="J127" s="242"/>
      <c r="K127" s="242"/>
    </row>
    <row r="128" spans="1:11" s="228" customFormat="1" ht="12">
      <c r="A128" s="240"/>
      <c r="C128" s="241"/>
      <c r="D128" s="241"/>
      <c r="E128" s="242"/>
      <c r="F128" s="242"/>
      <c r="G128" s="314"/>
      <c r="H128" s="242"/>
      <c r="I128" s="314"/>
      <c r="J128" s="242"/>
      <c r="K128" s="242"/>
    </row>
    <row r="129" spans="1:11" s="228" customFormat="1" ht="12">
      <c r="A129" s="240"/>
      <c r="C129" s="241"/>
      <c r="D129" s="241"/>
      <c r="E129" s="242"/>
      <c r="F129" s="242"/>
      <c r="G129" s="314"/>
      <c r="H129" s="242"/>
      <c r="I129" s="314"/>
      <c r="J129" s="242"/>
      <c r="K129" s="242"/>
    </row>
    <row r="130" spans="1:11" s="228" customFormat="1" ht="12">
      <c r="A130" s="240"/>
      <c r="C130" s="241"/>
      <c r="D130" s="241"/>
      <c r="E130" s="242"/>
      <c r="F130" s="242"/>
      <c r="G130" s="314"/>
      <c r="H130" s="242"/>
      <c r="I130" s="314"/>
      <c r="J130" s="242"/>
      <c r="K130" s="242"/>
    </row>
    <row r="131" spans="1:11" s="228" customFormat="1" ht="12">
      <c r="A131" s="240"/>
      <c r="C131" s="241"/>
      <c r="D131" s="241"/>
      <c r="E131" s="242"/>
      <c r="F131" s="242"/>
      <c r="G131" s="314"/>
      <c r="H131" s="242"/>
      <c r="I131" s="314"/>
      <c r="J131" s="242"/>
      <c r="K131" s="242"/>
    </row>
    <row r="132" spans="1:11" s="228" customFormat="1" ht="12">
      <c r="A132" s="240"/>
      <c r="C132" s="241"/>
      <c r="D132" s="241"/>
      <c r="E132" s="242"/>
      <c r="F132" s="242"/>
      <c r="G132" s="314"/>
      <c r="H132" s="242"/>
      <c r="I132" s="314"/>
      <c r="J132" s="242"/>
      <c r="K132" s="242"/>
    </row>
    <row r="133" spans="1:11" s="228" customFormat="1" ht="12">
      <c r="A133" s="240"/>
      <c r="C133" s="241"/>
      <c r="D133" s="241"/>
      <c r="E133" s="242"/>
      <c r="F133" s="242"/>
      <c r="G133" s="314"/>
      <c r="H133" s="242"/>
      <c r="I133" s="314"/>
      <c r="J133" s="242"/>
      <c r="K133" s="242"/>
    </row>
    <row r="134" spans="1:11" s="228" customFormat="1" ht="12">
      <c r="A134" s="240"/>
      <c r="C134" s="241"/>
      <c r="D134" s="241"/>
      <c r="E134" s="242"/>
      <c r="F134" s="242"/>
      <c r="G134" s="314"/>
      <c r="H134" s="242"/>
      <c r="I134" s="314"/>
      <c r="J134" s="242"/>
      <c r="K134" s="242"/>
    </row>
    <row r="135" spans="1:11" s="228" customFormat="1" ht="12">
      <c r="A135" s="240"/>
      <c r="C135" s="241"/>
      <c r="D135" s="241"/>
      <c r="E135" s="242"/>
      <c r="F135" s="242"/>
      <c r="G135" s="314"/>
      <c r="H135" s="242"/>
      <c r="I135" s="314"/>
      <c r="J135" s="242"/>
      <c r="K135" s="242"/>
    </row>
    <row r="136" spans="1:11" s="228" customFormat="1" ht="12">
      <c r="A136" s="240"/>
      <c r="C136" s="241"/>
      <c r="D136" s="241"/>
      <c r="E136" s="242"/>
      <c r="F136" s="242"/>
      <c r="G136" s="314"/>
      <c r="H136" s="242"/>
      <c r="I136" s="314"/>
      <c r="J136" s="242"/>
      <c r="K136" s="242"/>
    </row>
    <row r="137" spans="1:11" s="228" customFormat="1" ht="12">
      <c r="A137" s="240"/>
      <c r="C137" s="241"/>
      <c r="D137" s="241"/>
      <c r="E137" s="242"/>
      <c r="F137" s="242"/>
      <c r="G137" s="314"/>
      <c r="H137" s="242"/>
      <c r="I137" s="314"/>
      <c r="J137" s="242"/>
      <c r="K137" s="242"/>
    </row>
    <row r="138" spans="1:11" s="228" customFormat="1" ht="12">
      <c r="A138" s="240"/>
      <c r="C138" s="241"/>
      <c r="D138" s="241"/>
      <c r="E138" s="242"/>
      <c r="F138" s="242"/>
      <c r="G138" s="314"/>
      <c r="H138" s="242"/>
      <c r="I138" s="314"/>
      <c r="J138" s="242"/>
      <c r="K138" s="242"/>
    </row>
    <row r="139" spans="1:11" s="228" customFormat="1" ht="12">
      <c r="A139" s="240"/>
      <c r="C139" s="241"/>
      <c r="D139" s="241"/>
      <c r="E139" s="242"/>
      <c r="F139" s="242"/>
      <c r="G139" s="314"/>
      <c r="H139" s="242"/>
      <c r="I139" s="314"/>
      <c r="J139" s="242"/>
      <c r="K139" s="242"/>
    </row>
    <row r="140" spans="1:11" s="228" customFormat="1" ht="12">
      <c r="A140" s="240"/>
      <c r="C140" s="241"/>
      <c r="D140" s="241"/>
      <c r="E140" s="242"/>
      <c r="F140" s="242"/>
      <c r="G140" s="314"/>
      <c r="H140" s="242"/>
      <c r="I140" s="314"/>
      <c r="J140" s="242"/>
      <c r="K140" s="242"/>
    </row>
    <row r="141" spans="1:11" s="228" customFormat="1" ht="12">
      <c r="A141" s="240"/>
      <c r="C141" s="241"/>
      <c r="D141" s="241"/>
      <c r="E141" s="242"/>
      <c r="F141" s="242"/>
      <c r="G141" s="314"/>
      <c r="H141" s="242"/>
      <c r="I141" s="314"/>
      <c r="J141" s="242"/>
      <c r="K141" s="242"/>
    </row>
    <row r="142" spans="1:11" s="228" customFormat="1" ht="12">
      <c r="A142" s="240"/>
      <c r="C142" s="241"/>
      <c r="D142" s="241"/>
      <c r="E142" s="242"/>
      <c r="F142" s="242"/>
      <c r="G142" s="314"/>
      <c r="H142" s="242"/>
      <c r="I142" s="314"/>
      <c r="J142" s="242"/>
      <c r="K142" s="242"/>
    </row>
    <row r="143" spans="1:11" s="228" customFormat="1" ht="12">
      <c r="A143" s="240"/>
      <c r="C143" s="241"/>
      <c r="D143" s="241"/>
      <c r="E143" s="242"/>
      <c r="F143" s="242"/>
      <c r="G143" s="314"/>
      <c r="H143" s="242"/>
      <c r="I143" s="314"/>
      <c r="J143" s="242"/>
      <c r="K143" s="242"/>
    </row>
    <row r="144" spans="1:11" s="228" customFormat="1" ht="12">
      <c r="A144" s="240"/>
      <c r="C144" s="241"/>
      <c r="D144" s="241"/>
      <c r="E144" s="242"/>
      <c r="F144" s="242"/>
      <c r="G144" s="314"/>
      <c r="H144" s="242"/>
      <c r="I144" s="314"/>
      <c r="J144" s="242"/>
      <c r="K144" s="242"/>
    </row>
    <row r="145" spans="1:11" s="228" customFormat="1" ht="12">
      <c r="A145" s="240"/>
      <c r="C145" s="241"/>
      <c r="D145" s="241"/>
      <c r="E145" s="242"/>
      <c r="F145" s="242"/>
      <c r="G145" s="314"/>
      <c r="H145" s="242"/>
      <c r="I145" s="314"/>
      <c r="J145" s="242"/>
      <c r="K145" s="242"/>
    </row>
    <row r="146" spans="1:11" s="228" customFormat="1" ht="12">
      <c r="A146" s="240"/>
      <c r="C146" s="241"/>
      <c r="D146" s="241"/>
      <c r="E146" s="242"/>
      <c r="F146" s="242"/>
      <c r="G146" s="314"/>
      <c r="H146" s="242"/>
      <c r="I146" s="314"/>
      <c r="J146" s="242"/>
      <c r="K146" s="242"/>
    </row>
    <row r="147" spans="1:11" s="228" customFormat="1" ht="12">
      <c r="A147" s="240"/>
      <c r="C147" s="241"/>
      <c r="D147" s="241"/>
      <c r="E147" s="242"/>
      <c r="F147" s="242"/>
      <c r="G147" s="314"/>
      <c r="H147" s="242"/>
      <c r="I147" s="314"/>
      <c r="J147" s="242"/>
      <c r="K147" s="242"/>
    </row>
    <row r="148" spans="1:11" s="228" customFormat="1" ht="12">
      <c r="A148" s="240"/>
      <c r="C148" s="241"/>
      <c r="D148" s="241"/>
      <c r="E148" s="242"/>
      <c r="F148" s="242"/>
      <c r="G148" s="314"/>
      <c r="H148" s="242"/>
      <c r="I148" s="314"/>
      <c r="J148" s="242"/>
      <c r="K148" s="242"/>
    </row>
    <row r="149" spans="1:11" s="228" customFormat="1" ht="12">
      <c r="A149" s="240"/>
      <c r="C149" s="241"/>
      <c r="D149" s="241"/>
      <c r="E149" s="242"/>
      <c r="F149" s="242"/>
      <c r="G149" s="314"/>
      <c r="H149" s="242"/>
      <c r="I149" s="314"/>
      <c r="J149" s="242"/>
      <c r="K149" s="242"/>
    </row>
    <row r="150" spans="1:11" s="228" customFormat="1" ht="12">
      <c r="A150" s="240"/>
      <c r="C150" s="241"/>
      <c r="D150" s="241"/>
      <c r="E150" s="242"/>
      <c r="F150" s="242"/>
      <c r="G150" s="314"/>
      <c r="H150" s="242"/>
      <c r="I150" s="314"/>
      <c r="J150" s="242"/>
      <c r="K150" s="242"/>
    </row>
    <row r="151" spans="1:11" s="228" customFormat="1" ht="12">
      <c r="A151" s="240"/>
      <c r="C151" s="241"/>
      <c r="D151" s="241"/>
      <c r="E151" s="242"/>
      <c r="F151" s="242"/>
      <c r="G151" s="314"/>
      <c r="H151" s="242"/>
      <c r="I151" s="314"/>
      <c r="J151" s="242"/>
      <c r="K151" s="242"/>
    </row>
    <row r="152" spans="1:11" s="228" customFormat="1" ht="12">
      <c r="A152" s="240"/>
      <c r="C152" s="241"/>
      <c r="D152" s="241"/>
      <c r="E152" s="242"/>
      <c r="F152" s="242"/>
      <c r="G152" s="314"/>
      <c r="H152" s="242"/>
      <c r="I152" s="314"/>
      <c r="J152" s="242"/>
      <c r="K152" s="242"/>
    </row>
    <row r="153" spans="1:11" s="228" customFormat="1" ht="12">
      <c r="A153" s="240"/>
      <c r="C153" s="241"/>
      <c r="D153" s="241"/>
      <c r="E153" s="242"/>
      <c r="F153" s="242"/>
      <c r="G153" s="314"/>
      <c r="H153" s="242"/>
      <c r="I153" s="314"/>
      <c r="J153" s="242"/>
      <c r="K153" s="242"/>
    </row>
    <row r="154" spans="1:11" s="228" customFormat="1" ht="12">
      <c r="A154" s="240"/>
      <c r="C154" s="241"/>
      <c r="D154" s="241"/>
      <c r="E154" s="242"/>
      <c r="F154" s="242"/>
      <c r="G154" s="314"/>
      <c r="H154" s="242"/>
      <c r="I154" s="314"/>
      <c r="J154" s="242"/>
      <c r="K154" s="242"/>
    </row>
    <row r="155" spans="1:11" s="228" customFormat="1" ht="12">
      <c r="A155" s="240"/>
      <c r="C155" s="241"/>
      <c r="D155" s="241"/>
      <c r="E155" s="242"/>
      <c r="F155" s="242"/>
      <c r="G155" s="314"/>
      <c r="H155" s="242"/>
      <c r="I155" s="314"/>
      <c r="J155" s="242"/>
      <c r="K155" s="242"/>
    </row>
    <row r="156" spans="1:11" s="228" customFormat="1" ht="12">
      <c r="A156" s="240"/>
      <c r="C156" s="241"/>
      <c r="D156" s="241"/>
      <c r="E156" s="242"/>
      <c r="F156" s="242"/>
      <c r="G156" s="314"/>
      <c r="H156" s="242"/>
      <c r="I156" s="314"/>
      <c r="J156" s="242"/>
      <c r="K156" s="242"/>
    </row>
    <row r="157" spans="1:11" s="228" customFormat="1" ht="12">
      <c r="A157" s="240"/>
      <c r="C157" s="241"/>
      <c r="D157" s="241"/>
      <c r="E157" s="242"/>
      <c r="F157" s="242"/>
      <c r="G157" s="314"/>
      <c r="H157" s="242"/>
      <c r="I157" s="314"/>
      <c r="J157" s="242"/>
      <c r="K157" s="242"/>
    </row>
    <row r="158" spans="1:11" s="228" customFormat="1" ht="12">
      <c r="A158" s="240"/>
      <c r="C158" s="241"/>
      <c r="D158" s="241"/>
      <c r="E158" s="242"/>
      <c r="F158" s="242"/>
      <c r="G158" s="314"/>
      <c r="H158" s="242"/>
      <c r="I158" s="314"/>
      <c r="J158" s="242"/>
      <c r="K158" s="242"/>
    </row>
    <row r="159" spans="1:11" s="228" customFormat="1" ht="12">
      <c r="A159" s="240"/>
      <c r="C159" s="241"/>
      <c r="D159" s="241"/>
      <c r="E159" s="242"/>
      <c r="F159" s="242"/>
      <c r="G159" s="314"/>
      <c r="H159" s="242"/>
      <c r="I159" s="314"/>
      <c r="J159" s="242"/>
      <c r="K159" s="242"/>
    </row>
    <row r="160" spans="1:11" s="228" customFormat="1" ht="12">
      <c r="A160" s="240"/>
      <c r="C160" s="241"/>
      <c r="D160" s="241"/>
      <c r="E160" s="242"/>
      <c r="F160" s="242"/>
      <c r="G160" s="314"/>
      <c r="H160" s="242"/>
      <c r="I160" s="314"/>
      <c r="J160" s="242"/>
      <c r="K160" s="242"/>
    </row>
    <row r="161" spans="1:11" s="228" customFormat="1" ht="12">
      <c r="A161" s="240"/>
      <c r="C161" s="241"/>
      <c r="D161" s="241"/>
      <c r="E161" s="242"/>
      <c r="F161" s="242"/>
      <c r="G161" s="314"/>
      <c r="H161" s="242"/>
      <c r="I161" s="314"/>
      <c r="J161" s="242"/>
      <c r="K161" s="242"/>
    </row>
    <row r="162" spans="1:11" s="228" customFormat="1" ht="12">
      <c r="A162" s="240"/>
      <c r="C162" s="241"/>
      <c r="D162" s="241"/>
      <c r="E162" s="243"/>
      <c r="F162" s="243"/>
      <c r="G162" s="315"/>
      <c r="H162" s="243"/>
      <c r="I162" s="315"/>
      <c r="J162" s="243"/>
      <c r="K162" s="243"/>
    </row>
    <row r="163" spans="1:11" s="228" customFormat="1" ht="12">
      <c r="A163" s="240"/>
      <c r="C163" s="241"/>
      <c r="D163" s="241"/>
      <c r="E163" s="243"/>
      <c r="F163" s="243"/>
      <c r="G163" s="315"/>
      <c r="H163" s="243"/>
      <c r="I163" s="315"/>
      <c r="J163" s="243"/>
      <c r="K163" s="243"/>
    </row>
    <row r="164" spans="1:11" s="228" customFormat="1" ht="12">
      <c r="A164" s="240"/>
      <c r="C164" s="241"/>
      <c r="D164" s="241"/>
      <c r="E164" s="243"/>
      <c r="F164" s="243"/>
      <c r="G164" s="315"/>
      <c r="H164" s="243"/>
      <c r="I164" s="315"/>
      <c r="J164" s="243"/>
      <c r="K164" s="243"/>
    </row>
    <row r="165" spans="1:11" s="228" customFormat="1" ht="12">
      <c r="A165" s="240"/>
      <c r="C165" s="241"/>
      <c r="D165" s="241"/>
      <c r="E165" s="243"/>
      <c r="F165" s="243"/>
      <c r="G165" s="315"/>
      <c r="H165" s="243"/>
      <c r="I165" s="315"/>
      <c r="J165" s="243"/>
      <c r="K165" s="243"/>
    </row>
    <row r="166" spans="1:11">
      <c r="A166" s="240"/>
      <c r="B166" s="228"/>
      <c r="C166" s="241"/>
      <c r="D166" s="241"/>
      <c r="E166" s="243"/>
      <c r="F166" s="243"/>
      <c r="G166" s="315"/>
      <c r="H166" s="243"/>
      <c r="I166" s="315"/>
      <c r="J166" s="243"/>
      <c r="K166" s="243"/>
    </row>
    <row r="167" spans="1:11">
      <c r="A167" s="240"/>
      <c r="B167" s="228"/>
      <c r="C167" s="241"/>
      <c r="D167" s="241"/>
      <c r="E167" s="243"/>
      <c r="F167" s="243"/>
      <c r="G167" s="315"/>
      <c r="H167" s="243"/>
      <c r="I167" s="315"/>
      <c r="J167" s="243"/>
      <c r="K167" s="243"/>
    </row>
    <row r="168" spans="1:11">
      <c r="A168" s="240"/>
      <c r="B168" s="228"/>
      <c r="C168" s="241"/>
      <c r="D168" s="241"/>
      <c r="E168" s="243"/>
      <c r="F168" s="243"/>
      <c r="G168" s="315"/>
      <c r="H168" s="243"/>
      <c r="I168" s="315"/>
      <c r="J168" s="243"/>
      <c r="K168" s="243"/>
    </row>
    <row r="169" spans="1:11">
      <c r="A169" s="240"/>
      <c r="B169" s="228"/>
      <c r="C169" s="241"/>
      <c r="D169" s="241"/>
      <c r="E169" s="243"/>
      <c r="F169" s="243"/>
      <c r="G169" s="315"/>
      <c r="H169" s="243"/>
      <c r="I169" s="315"/>
      <c r="J169" s="243"/>
      <c r="K169" s="243"/>
    </row>
    <row r="170" spans="1:11">
      <c r="A170" s="240"/>
      <c r="B170" s="228"/>
      <c r="C170" s="241"/>
      <c r="D170" s="241"/>
      <c r="E170" s="243"/>
      <c r="F170" s="243"/>
      <c r="G170" s="315"/>
      <c r="H170" s="243"/>
      <c r="I170" s="315"/>
      <c r="J170" s="243"/>
      <c r="K170" s="243"/>
    </row>
    <row r="171" spans="1:11">
      <c r="A171" s="240"/>
      <c r="B171" s="228"/>
      <c r="C171" s="241"/>
      <c r="D171" s="241"/>
      <c r="E171" s="243"/>
      <c r="F171" s="243"/>
      <c r="G171" s="315"/>
      <c r="H171" s="243"/>
      <c r="I171" s="315"/>
      <c r="J171" s="243"/>
      <c r="K171" s="243"/>
    </row>
    <row r="172" spans="1:11">
      <c r="A172" s="240"/>
      <c r="B172" s="228"/>
      <c r="C172" s="241"/>
      <c r="D172" s="241"/>
      <c r="E172" s="243"/>
      <c r="F172" s="243"/>
      <c r="G172" s="315"/>
      <c r="H172" s="243"/>
      <c r="I172" s="315"/>
      <c r="J172" s="243"/>
      <c r="K172" s="243"/>
    </row>
    <row r="173" spans="1:11">
      <c r="A173" s="240"/>
      <c r="B173" s="228"/>
      <c r="C173" s="241"/>
      <c r="D173" s="241"/>
      <c r="E173" s="243"/>
      <c r="F173" s="243"/>
      <c r="G173" s="315"/>
      <c r="H173" s="243"/>
      <c r="I173" s="315"/>
      <c r="J173" s="243"/>
      <c r="K173" s="243"/>
    </row>
    <row r="174" spans="1:11">
      <c r="A174" s="240"/>
      <c r="B174" s="228"/>
      <c r="C174" s="241"/>
      <c r="D174" s="241"/>
      <c r="E174" s="243"/>
      <c r="F174" s="243"/>
      <c r="G174" s="315"/>
      <c r="H174" s="243"/>
      <c r="I174" s="315"/>
      <c r="J174" s="243"/>
      <c r="K174" s="243"/>
    </row>
    <row r="175" spans="1:11">
      <c r="A175" s="240"/>
      <c r="B175" s="228"/>
      <c r="C175" s="241"/>
      <c r="D175" s="241"/>
      <c r="E175" s="243"/>
      <c r="F175" s="243"/>
      <c r="G175" s="315"/>
      <c r="H175" s="243"/>
      <c r="I175" s="315"/>
      <c r="J175" s="243"/>
      <c r="K175" s="243"/>
    </row>
    <row r="176" spans="1:11">
      <c r="A176" s="240"/>
      <c r="B176" s="228"/>
      <c r="C176" s="241"/>
      <c r="D176" s="241"/>
      <c r="E176" s="243"/>
      <c r="F176" s="243"/>
      <c r="G176" s="315"/>
      <c r="H176" s="243"/>
      <c r="I176" s="315"/>
      <c r="J176" s="243"/>
      <c r="K176" s="243"/>
    </row>
    <row r="177" spans="1:11">
      <c r="A177" s="240"/>
      <c r="B177" s="228"/>
      <c r="C177" s="241"/>
      <c r="D177" s="241"/>
      <c r="E177" s="243"/>
      <c r="F177" s="243"/>
      <c r="G177" s="315"/>
      <c r="H177" s="243"/>
      <c r="I177" s="315"/>
      <c r="J177" s="243"/>
      <c r="K177" s="243"/>
    </row>
    <row r="178" spans="1:11">
      <c r="A178" s="240"/>
      <c r="B178" s="228"/>
      <c r="C178" s="241"/>
      <c r="D178" s="241"/>
      <c r="E178" s="243"/>
      <c r="F178" s="243"/>
      <c r="G178" s="315"/>
      <c r="H178" s="243"/>
      <c r="I178" s="315"/>
      <c r="J178" s="243"/>
      <c r="K178" s="243"/>
    </row>
    <row r="179" spans="1:11">
      <c r="A179" s="240"/>
      <c r="B179" s="228"/>
      <c r="C179" s="241"/>
      <c r="D179" s="241"/>
      <c r="E179" s="243"/>
      <c r="F179" s="243"/>
      <c r="G179" s="315"/>
      <c r="H179" s="243"/>
      <c r="I179" s="315"/>
      <c r="J179" s="243"/>
      <c r="K179" s="243"/>
    </row>
    <row r="180" spans="1:11">
      <c r="A180" s="240"/>
      <c r="B180" s="228"/>
      <c r="C180" s="241"/>
      <c r="D180" s="241"/>
      <c r="E180" s="243"/>
      <c r="F180" s="243"/>
      <c r="G180" s="315"/>
      <c r="H180" s="243"/>
      <c r="I180" s="315"/>
      <c r="J180" s="243"/>
      <c r="K180" s="243"/>
    </row>
    <row r="181" spans="1:11">
      <c r="A181" s="240"/>
      <c r="B181" s="228"/>
      <c r="C181" s="241"/>
      <c r="D181" s="241"/>
      <c r="E181" s="243"/>
      <c r="F181" s="243"/>
      <c r="G181" s="315"/>
      <c r="H181" s="243"/>
      <c r="I181" s="315"/>
      <c r="J181" s="243"/>
      <c r="K181" s="243"/>
    </row>
    <row r="182" spans="1:11">
      <c r="A182" s="240"/>
      <c r="B182" s="228"/>
      <c r="C182" s="241"/>
      <c r="D182" s="241"/>
      <c r="E182" s="243"/>
      <c r="F182" s="243"/>
      <c r="G182" s="315"/>
      <c r="H182" s="243"/>
      <c r="I182" s="315"/>
      <c r="J182" s="243"/>
      <c r="K182" s="243"/>
    </row>
    <row r="183" spans="1:11">
      <c r="A183" s="240"/>
      <c r="B183" s="228"/>
      <c r="C183" s="241"/>
      <c r="D183" s="241"/>
      <c r="E183" s="243"/>
      <c r="F183" s="243"/>
      <c r="G183" s="315"/>
      <c r="H183" s="243"/>
      <c r="I183" s="315"/>
      <c r="J183" s="243"/>
      <c r="K183" s="243"/>
    </row>
    <row r="184" spans="1:11">
      <c r="A184" s="240"/>
      <c r="B184" s="228"/>
      <c r="C184" s="241"/>
      <c r="D184" s="241"/>
      <c r="E184" s="243"/>
      <c r="F184" s="243"/>
      <c r="G184" s="315"/>
      <c r="H184" s="243"/>
      <c r="I184" s="315"/>
      <c r="J184" s="243"/>
      <c r="K184" s="243"/>
    </row>
    <row r="185" spans="1:11">
      <c r="A185" s="240"/>
      <c r="B185" s="228"/>
      <c r="C185" s="241"/>
      <c r="D185" s="241"/>
      <c r="E185" s="243"/>
      <c r="F185" s="243"/>
      <c r="G185" s="315"/>
      <c r="H185" s="243"/>
      <c r="I185" s="315"/>
      <c r="J185" s="243"/>
      <c r="K185" s="243"/>
    </row>
  </sheetData>
  <mergeCells count="23">
    <mergeCell ref="A88:J88"/>
    <mergeCell ref="A89:J89"/>
    <mergeCell ref="B5:B7"/>
    <mergeCell ref="K6:K7"/>
    <mergeCell ref="C6:C7"/>
    <mergeCell ref="D6:D7"/>
    <mergeCell ref="E6:E7"/>
    <mergeCell ref="F6:F7"/>
    <mergeCell ref="A5:A7"/>
    <mergeCell ref="C5:F5"/>
    <mergeCell ref="G5:K5"/>
    <mergeCell ref="G6:H6"/>
    <mergeCell ref="I6:J6"/>
    <mergeCell ref="A75:D75"/>
    <mergeCell ref="A78:D78"/>
    <mergeCell ref="A86:D86"/>
    <mergeCell ref="A87:D87"/>
    <mergeCell ref="A12:D12"/>
    <mergeCell ref="A15:D15"/>
    <mergeCell ref="A18:D18"/>
    <mergeCell ref="A32:D32"/>
    <mergeCell ref="A57:D57"/>
    <mergeCell ref="A60:D60"/>
  </mergeCells>
  <printOptions horizontalCentered="1"/>
  <pageMargins left="0.51181102362204722" right="0.23622047244094491" top="0.74803149606299213" bottom="0.55118110236220474" header="0.51181102362204722" footer="0.11811023622047245"/>
  <pageSetup paperSize="9" scale="94" firstPageNumber="4" fitToHeight="2" orientation="landscape" useFirstPageNumber="1" r:id="rId1"/>
  <headerFooter alignWithMargins="0">
    <oddFooter xml:space="preserve">&amp;L&amp;"Arial,Bold"Fahim, Nanji &amp;&amp; deSouza (Pvt.) Ltd.
&amp;"Arial,Regular"Consulting Engineers&amp;R&amp;"Arial,Bold" Page - &amp;P
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"/>
  <sheetViews>
    <sheetView showGridLines="0" defaultGridColor="0" view="pageBreakPreview" topLeftCell="B56" colorId="8" zoomScaleNormal="100" zoomScaleSheetLayoutView="100" workbookViewId="0">
      <selection activeCell="M95" sqref="M95"/>
    </sheetView>
  </sheetViews>
  <sheetFormatPr defaultRowHeight="11.25"/>
  <cols>
    <col min="1" max="1" width="9.85546875" style="189" customWidth="1"/>
    <col min="2" max="2" width="23.5703125" style="190" customWidth="1"/>
    <col min="3" max="3" width="51.28515625" style="190" customWidth="1"/>
    <col min="4" max="4" width="7.5703125" style="189" customWidth="1"/>
    <col min="5" max="5" width="5.28515625" style="191" customWidth="1"/>
    <col min="6" max="7" width="12.140625" style="192" customWidth="1"/>
    <col min="8" max="8" width="8.5703125" style="317" customWidth="1"/>
    <col min="9" max="9" width="12.140625" style="192" customWidth="1"/>
    <col min="10" max="10" width="9.140625" style="375" customWidth="1"/>
    <col min="11" max="11" width="12.140625" style="192" customWidth="1"/>
    <col min="12" max="12" width="16.42578125" style="190" customWidth="1"/>
    <col min="13" max="14" width="9.140625" style="190"/>
    <col min="15" max="15" width="15" style="190" customWidth="1"/>
    <col min="16" max="16" width="15.28515625" style="190" customWidth="1"/>
    <col min="17" max="255" width="9.140625" style="190"/>
    <col min="256" max="256" width="9.85546875" style="190" customWidth="1"/>
    <col min="257" max="257" width="23.5703125" style="190" customWidth="1"/>
    <col min="258" max="258" width="57.85546875" style="190" customWidth="1"/>
    <col min="259" max="259" width="12.140625" style="190" customWidth="1"/>
    <col min="260" max="260" width="5.28515625" style="190" customWidth="1"/>
    <col min="261" max="266" width="12.140625" style="190" customWidth="1"/>
    <col min="267" max="511" width="9.140625" style="190"/>
    <col min="512" max="512" width="9.85546875" style="190" customWidth="1"/>
    <col min="513" max="513" width="23.5703125" style="190" customWidth="1"/>
    <col min="514" max="514" width="57.85546875" style="190" customWidth="1"/>
    <col min="515" max="515" width="12.140625" style="190" customWidth="1"/>
    <col min="516" max="516" width="5.28515625" style="190" customWidth="1"/>
    <col min="517" max="522" width="12.140625" style="190" customWidth="1"/>
    <col min="523" max="767" width="9.140625" style="190"/>
    <col min="768" max="768" width="9.85546875" style="190" customWidth="1"/>
    <col min="769" max="769" width="23.5703125" style="190" customWidth="1"/>
    <col min="770" max="770" width="57.85546875" style="190" customWidth="1"/>
    <col min="771" max="771" width="12.140625" style="190" customWidth="1"/>
    <col min="772" max="772" width="5.28515625" style="190" customWidth="1"/>
    <col min="773" max="778" width="12.140625" style="190" customWidth="1"/>
    <col min="779" max="1023" width="9.140625" style="190"/>
    <col min="1024" max="1024" width="9.85546875" style="190" customWidth="1"/>
    <col min="1025" max="1025" width="23.5703125" style="190" customWidth="1"/>
    <col min="1026" max="1026" width="57.85546875" style="190" customWidth="1"/>
    <col min="1027" max="1027" width="12.140625" style="190" customWidth="1"/>
    <col min="1028" max="1028" width="5.28515625" style="190" customWidth="1"/>
    <col min="1029" max="1034" width="12.140625" style="190" customWidth="1"/>
    <col min="1035" max="1279" width="9.140625" style="190"/>
    <col min="1280" max="1280" width="9.85546875" style="190" customWidth="1"/>
    <col min="1281" max="1281" width="23.5703125" style="190" customWidth="1"/>
    <col min="1282" max="1282" width="57.85546875" style="190" customWidth="1"/>
    <col min="1283" max="1283" width="12.140625" style="190" customWidth="1"/>
    <col min="1284" max="1284" width="5.28515625" style="190" customWidth="1"/>
    <col min="1285" max="1290" width="12.140625" style="190" customWidth="1"/>
    <col min="1291" max="1535" width="9.140625" style="190"/>
    <col min="1536" max="1536" width="9.85546875" style="190" customWidth="1"/>
    <col min="1537" max="1537" width="23.5703125" style="190" customWidth="1"/>
    <col min="1538" max="1538" width="57.85546875" style="190" customWidth="1"/>
    <col min="1539" max="1539" width="12.140625" style="190" customWidth="1"/>
    <col min="1540" max="1540" width="5.28515625" style="190" customWidth="1"/>
    <col min="1541" max="1546" width="12.140625" style="190" customWidth="1"/>
    <col min="1547" max="1791" width="9.140625" style="190"/>
    <col min="1792" max="1792" width="9.85546875" style="190" customWidth="1"/>
    <col min="1793" max="1793" width="23.5703125" style="190" customWidth="1"/>
    <col min="1794" max="1794" width="57.85546875" style="190" customWidth="1"/>
    <col min="1795" max="1795" width="12.140625" style="190" customWidth="1"/>
    <col min="1796" max="1796" width="5.28515625" style="190" customWidth="1"/>
    <col min="1797" max="1802" width="12.140625" style="190" customWidth="1"/>
    <col min="1803" max="2047" width="9.140625" style="190"/>
    <col min="2048" max="2048" width="9.85546875" style="190" customWidth="1"/>
    <col min="2049" max="2049" width="23.5703125" style="190" customWidth="1"/>
    <col min="2050" max="2050" width="57.85546875" style="190" customWidth="1"/>
    <col min="2051" max="2051" width="12.140625" style="190" customWidth="1"/>
    <col min="2052" max="2052" width="5.28515625" style="190" customWidth="1"/>
    <col min="2053" max="2058" width="12.140625" style="190" customWidth="1"/>
    <col min="2059" max="2303" width="9.140625" style="190"/>
    <col min="2304" max="2304" width="9.85546875" style="190" customWidth="1"/>
    <col min="2305" max="2305" width="23.5703125" style="190" customWidth="1"/>
    <col min="2306" max="2306" width="57.85546875" style="190" customWidth="1"/>
    <col min="2307" max="2307" width="12.140625" style="190" customWidth="1"/>
    <col min="2308" max="2308" width="5.28515625" style="190" customWidth="1"/>
    <col min="2309" max="2314" width="12.140625" style="190" customWidth="1"/>
    <col min="2315" max="2559" width="9.140625" style="190"/>
    <col min="2560" max="2560" width="9.85546875" style="190" customWidth="1"/>
    <col min="2561" max="2561" width="23.5703125" style="190" customWidth="1"/>
    <col min="2562" max="2562" width="57.85546875" style="190" customWidth="1"/>
    <col min="2563" max="2563" width="12.140625" style="190" customWidth="1"/>
    <col min="2564" max="2564" width="5.28515625" style="190" customWidth="1"/>
    <col min="2565" max="2570" width="12.140625" style="190" customWidth="1"/>
    <col min="2571" max="2815" width="9.140625" style="190"/>
    <col min="2816" max="2816" width="9.85546875" style="190" customWidth="1"/>
    <col min="2817" max="2817" width="23.5703125" style="190" customWidth="1"/>
    <col min="2818" max="2818" width="57.85546875" style="190" customWidth="1"/>
    <col min="2819" max="2819" width="12.140625" style="190" customWidth="1"/>
    <col min="2820" max="2820" width="5.28515625" style="190" customWidth="1"/>
    <col min="2821" max="2826" width="12.140625" style="190" customWidth="1"/>
    <col min="2827" max="3071" width="9.140625" style="190"/>
    <col min="3072" max="3072" width="9.85546875" style="190" customWidth="1"/>
    <col min="3073" max="3073" width="23.5703125" style="190" customWidth="1"/>
    <col min="3074" max="3074" width="57.85546875" style="190" customWidth="1"/>
    <col min="3075" max="3075" width="12.140625" style="190" customWidth="1"/>
    <col min="3076" max="3076" width="5.28515625" style="190" customWidth="1"/>
    <col min="3077" max="3082" width="12.140625" style="190" customWidth="1"/>
    <col min="3083" max="3327" width="9.140625" style="190"/>
    <col min="3328" max="3328" width="9.85546875" style="190" customWidth="1"/>
    <col min="3329" max="3329" width="23.5703125" style="190" customWidth="1"/>
    <col min="3330" max="3330" width="57.85546875" style="190" customWidth="1"/>
    <col min="3331" max="3331" width="12.140625" style="190" customWidth="1"/>
    <col min="3332" max="3332" width="5.28515625" style="190" customWidth="1"/>
    <col min="3333" max="3338" width="12.140625" style="190" customWidth="1"/>
    <col min="3339" max="3583" width="9.140625" style="190"/>
    <col min="3584" max="3584" width="9.85546875" style="190" customWidth="1"/>
    <col min="3585" max="3585" width="23.5703125" style="190" customWidth="1"/>
    <col min="3586" max="3586" width="57.85546875" style="190" customWidth="1"/>
    <col min="3587" max="3587" width="12.140625" style="190" customWidth="1"/>
    <col min="3588" max="3588" width="5.28515625" style="190" customWidth="1"/>
    <col min="3589" max="3594" width="12.140625" style="190" customWidth="1"/>
    <col min="3595" max="3839" width="9.140625" style="190"/>
    <col min="3840" max="3840" width="9.85546875" style="190" customWidth="1"/>
    <col min="3841" max="3841" width="23.5703125" style="190" customWidth="1"/>
    <col min="3842" max="3842" width="57.85546875" style="190" customWidth="1"/>
    <col min="3843" max="3843" width="12.140625" style="190" customWidth="1"/>
    <col min="3844" max="3844" width="5.28515625" style="190" customWidth="1"/>
    <col min="3845" max="3850" width="12.140625" style="190" customWidth="1"/>
    <col min="3851" max="4095" width="9.140625" style="190"/>
    <col min="4096" max="4096" width="9.85546875" style="190" customWidth="1"/>
    <col min="4097" max="4097" width="23.5703125" style="190" customWidth="1"/>
    <col min="4098" max="4098" width="57.85546875" style="190" customWidth="1"/>
    <col min="4099" max="4099" width="12.140625" style="190" customWidth="1"/>
    <col min="4100" max="4100" width="5.28515625" style="190" customWidth="1"/>
    <col min="4101" max="4106" width="12.140625" style="190" customWidth="1"/>
    <col min="4107" max="4351" width="9.140625" style="190"/>
    <col min="4352" max="4352" width="9.85546875" style="190" customWidth="1"/>
    <col min="4353" max="4353" width="23.5703125" style="190" customWidth="1"/>
    <col min="4354" max="4354" width="57.85546875" style="190" customWidth="1"/>
    <col min="4355" max="4355" width="12.140625" style="190" customWidth="1"/>
    <col min="4356" max="4356" width="5.28515625" style="190" customWidth="1"/>
    <col min="4357" max="4362" width="12.140625" style="190" customWidth="1"/>
    <col min="4363" max="4607" width="9.140625" style="190"/>
    <col min="4608" max="4608" width="9.85546875" style="190" customWidth="1"/>
    <col min="4609" max="4609" width="23.5703125" style="190" customWidth="1"/>
    <col min="4610" max="4610" width="57.85546875" style="190" customWidth="1"/>
    <col min="4611" max="4611" width="12.140625" style="190" customWidth="1"/>
    <col min="4612" max="4612" width="5.28515625" style="190" customWidth="1"/>
    <col min="4613" max="4618" width="12.140625" style="190" customWidth="1"/>
    <col min="4619" max="4863" width="9.140625" style="190"/>
    <col min="4864" max="4864" width="9.85546875" style="190" customWidth="1"/>
    <col min="4865" max="4865" width="23.5703125" style="190" customWidth="1"/>
    <col min="4866" max="4866" width="57.85546875" style="190" customWidth="1"/>
    <col min="4867" max="4867" width="12.140625" style="190" customWidth="1"/>
    <col min="4868" max="4868" width="5.28515625" style="190" customWidth="1"/>
    <col min="4869" max="4874" width="12.140625" style="190" customWidth="1"/>
    <col min="4875" max="5119" width="9.140625" style="190"/>
    <col min="5120" max="5120" width="9.85546875" style="190" customWidth="1"/>
    <col min="5121" max="5121" width="23.5703125" style="190" customWidth="1"/>
    <col min="5122" max="5122" width="57.85546875" style="190" customWidth="1"/>
    <col min="5123" max="5123" width="12.140625" style="190" customWidth="1"/>
    <col min="5124" max="5124" width="5.28515625" style="190" customWidth="1"/>
    <col min="5125" max="5130" width="12.140625" style="190" customWidth="1"/>
    <col min="5131" max="5375" width="9.140625" style="190"/>
    <col min="5376" max="5376" width="9.85546875" style="190" customWidth="1"/>
    <col min="5377" max="5377" width="23.5703125" style="190" customWidth="1"/>
    <col min="5378" max="5378" width="57.85546875" style="190" customWidth="1"/>
    <col min="5379" max="5379" width="12.140625" style="190" customWidth="1"/>
    <col min="5380" max="5380" width="5.28515625" style="190" customWidth="1"/>
    <col min="5381" max="5386" width="12.140625" style="190" customWidth="1"/>
    <col min="5387" max="5631" width="9.140625" style="190"/>
    <col min="5632" max="5632" width="9.85546875" style="190" customWidth="1"/>
    <col min="5633" max="5633" width="23.5703125" style="190" customWidth="1"/>
    <col min="5634" max="5634" width="57.85546875" style="190" customWidth="1"/>
    <col min="5635" max="5635" width="12.140625" style="190" customWidth="1"/>
    <col min="5636" max="5636" width="5.28515625" style="190" customWidth="1"/>
    <col min="5637" max="5642" width="12.140625" style="190" customWidth="1"/>
    <col min="5643" max="5887" width="9.140625" style="190"/>
    <col min="5888" max="5888" width="9.85546875" style="190" customWidth="1"/>
    <col min="5889" max="5889" width="23.5703125" style="190" customWidth="1"/>
    <col min="5890" max="5890" width="57.85546875" style="190" customWidth="1"/>
    <col min="5891" max="5891" width="12.140625" style="190" customWidth="1"/>
    <col min="5892" max="5892" width="5.28515625" style="190" customWidth="1"/>
    <col min="5893" max="5898" width="12.140625" style="190" customWidth="1"/>
    <col min="5899" max="6143" width="9.140625" style="190"/>
    <col min="6144" max="6144" width="9.85546875" style="190" customWidth="1"/>
    <col min="6145" max="6145" width="23.5703125" style="190" customWidth="1"/>
    <col min="6146" max="6146" width="57.85546875" style="190" customWidth="1"/>
    <col min="6147" max="6147" width="12.140625" style="190" customWidth="1"/>
    <col min="6148" max="6148" width="5.28515625" style="190" customWidth="1"/>
    <col min="6149" max="6154" width="12.140625" style="190" customWidth="1"/>
    <col min="6155" max="6399" width="9.140625" style="190"/>
    <col min="6400" max="6400" width="9.85546875" style="190" customWidth="1"/>
    <col min="6401" max="6401" width="23.5703125" style="190" customWidth="1"/>
    <col min="6402" max="6402" width="57.85546875" style="190" customWidth="1"/>
    <col min="6403" max="6403" width="12.140625" style="190" customWidth="1"/>
    <col min="6404" max="6404" width="5.28515625" style="190" customWidth="1"/>
    <col min="6405" max="6410" width="12.140625" style="190" customWidth="1"/>
    <col min="6411" max="6655" width="9.140625" style="190"/>
    <col min="6656" max="6656" width="9.85546875" style="190" customWidth="1"/>
    <col min="6657" max="6657" width="23.5703125" style="190" customWidth="1"/>
    <col min="6658" max="6658" width="57.85546875" style="190" customWidth="1"/>
    <col min="6659" max="6659" width="12.140625" style="190" customWidth="1"/>
    <col min="6660" max="6660" width="5.28515625" style="190" customWidth="1"/>
    <col min="6661" max="6666" width="12.140625" style="190" customWidth="1"/>
    <col min="6667" max="6911" width="9.140625" style="190"/>
    <col min="6912" max="6912" width="9.85546875" style="190" customWidth="1"/>
    <col min="6913" max="6913" width="23.5703125" style="190" customWidth="1"/>
    <col min="6914" max="6914" width="57.85546875" style="190" customWidth="1"/>
    <col min="6915" max="6915" width="12.140625" style="190" customWidth="1"/>
    <col min="6916" max="6916" width="5.28515625" style="190" customWidth="1"/>
    <col min="6917" max="6922" width="12.140625" style="190" customWidth="1"/>
    <col min="6923" max="7167" width="9.140625" style="190"/>
    <col min="7168" max="7168" width="9.85546875" style="190" customWidth="1"/>
    <col min="7169" max="7169" width="23.5703125" style="190" customWidth="1"/>
    <col min="7170" max="7170" width="57.85546875" style="190" customWidth="1"/>
    <col min="7171" max="7171" width="12.140625" style="190" customWidth="1"/>
    <col min="7172" max="7172" width="5.28515625" style="190" customWidth="1"/>
    <col min="7173" max="7178" width="12.140625" style="190" customWidth="1"/>
    <col min="7179" max="7423" width="9.140625" style="190"/>
    <col min="7424" max="7424" width="9.85546875" style="190" customWidth="1"/>
    <col min="7425" max="7425" width="23.5703125" style="190" customWidth="1"/>
    <col min="7426" max="7426" width="57.85546875" style="190" customWidth="1"/>
    <col min="7427" max="7427" width="12.140625" style="190" customWidth="1"/>
    <col min="7428" max="7428" width="5.28515625" style="190" customWidth="1"/>
    <col min="7429" max="7434" width="12.140625" style="190" customWidth="1"/>
    <col min="7435" max="7679" width="9.140625" style="190"/>
    <col min="7680" max="7680" width="9.85546875" style="190" customWidth="1"/>
    <col min="7681" max="7681" width="23.5703125" style="190" customWidth="1"/>
    <col min="7682" max="7682" width="57.85546875" style="190" customWidth="1"/>
    <col min="7683" max="7683" width="12.140625" style="190" customWidth="1"/>
    <col min="7684" max="7684" width="5.28515625" style="190" customWidth="1"/>
    <col min="7685" max="7690" width="12.140625" style="190" customWidth="1"/>
    <col min="7691" max="7935" width="9.140625" style="190"/>
    <col min="7936" max="7936" width="9.85546875" style="190" customWidth="1"/>
    <col min="7937" max="7937" width="23.5703125" style="190" customWidth="1"/>
    <col min="7938" max="7938" width="57.85546875" style="190" customWidth="1"/>
    <col min="7939" max="7939" width="12.140625" style="190" customWidth="1"/>
    <col min="7940" max="7940" width="5.28515625" style="190" customWidth="1"/>
    <col min="7941" max="7946" width="12.140625" style="190" customWidth="1"/>
    <col min="7947" max="8191" width="9.140625" style="190"/>
    <col min="8192" max="8192" width="9.85546875" style="190" customWidth="1"/>
    <col min="8193" max="8193" width="23.5703125" style="190" customWidth="1"/>
    <col min="8194" max="8194" width="57.85546875" style="190" customWidth="1"/>
    <col min="8195" max="8195" width="12.140625" style="190" customWidth="1"/>
    <col min="8196" max="8196" width="5.28515625" style="190" customWidth="1"/>
    <col min="8197" max="8202" width="12.140625" style="190" customWidth="1"/>
    <col min="8203" max="8447" width="9.140625" style="190"/>
    <col min="8448" max="8448" width="9.85546875" style="190" customWidth="1"/>
    <col min="8449" max="8449" width="23.5703125" style="190" customWidth="1"/>
    <col min="8450" max="8450" width="57.85546875" style="190" customWidth="1"/>
    <col min="8451" max="8451" width="12.140625" style="190" customWidth="1"/>
    <col min="8452" max="8452" width="5.28515625" style="190" customWidth="1"/>
    <col min="8453" max="8458" width="12.140625" style="190" customWidth="1"/>
    <col min="8459" max="8703" width="9.140625" style="190"/>
    <col min="8704" max="8704" width="9.85546875" style="190" customWidth="1"/>
    <col min="8705" max="8705" width="23.5703125" style="190" customWidth="1"/>
    <col min="8706" max="8706" width="57.85546875" style="190" customWidth="1"/>
    <col min="8707" max="8707" width="12.140625" style="190" customWidth="1"/>
    <col min="8708" max="8708" width="5.28515625" style="190" customWidth="1"/>
    <col min="8709" max="8714" width="12.140625" style="190" customWidth="1"/>
    <col min="8715" max="8959" width="9.140625" style="190"/>
    <col min="8960" max="8960" width="9.85546875" style="190" customWidth="1"/>
    <col min="8961" max="8961" width="23.5703125" style="190" customWidth="1"/>
    <col min="8962" max="8962" width="57.85546875" style="190" customWidth="1"/>
    <col min="8963" max="8963" width="12.140625" style="190" customWidth="1"/>
    <col min="8964" max="8964" width="5.28515625" style="190" customWidth="1"/>
    <col min="8965" max="8970" width="12.140625" style="190" customWidth="1"/>
    <col min="8971" max="9215" width="9.140625" style="190"/>
    <col min="9216" max="9216" width="9.85546875" style="190" customWidth="1"/>
    <col min="9217" max="9217" width="23.5703125" style="190" customWidth="1"/>
    <col min="9218" max="9218" width="57.85546875" style="190" customWidth="1"/>
    <col min="9219" max="9219" width="12.140625" style="190" customWidth="1"/>
    <col min="9220" max="9220" width="5.28515625" style="190" customWidth="1"/>
    <col min="9221" max="9226" width="12.140625" style="190" customWidth="1"/>
    <col min="9227" max="9471" width="9.140625" style="190"/>
    <col min="9472" max="9472" width="9.85546875" style="190" customWidth="1"/>
    <col min="9473" max="9473" width="23.5703125" style="190" customWidth="1"/>
    <col min="9474" max="9474" width="57.85546875" style="190" customWidth="1"/>
    <col min="9475" max="9475" width="12.140625" style="190" customWidth="1"/>
    <col min="9476" max="9476" width="5.28515625" style="190" customWidth="1"/>
    <col min="9477" max="9482" width="12.140625" style="190" customWidth="1"/>
    <col min="9483" max="9727" width="9.140625" style="190"/>
    <col min="9728" max="9728" width="9.85546875" style="190" customWidth="1"/>
    <col min="9729" max="9729" width="23.5703125" style="190" customWidth="1"/>
    <col min="9730" max="9730" width="57.85546875" style="190" customWidth="1"/>
    <col min="9731" max="9731" width="12.140625" style="190" customWidth="1"/>
    <col min="9732" max="9732" width="5.28515625" style="190" customWidth="1"/>
    <col min="9733" max="9738" width="12.140625" style="190" customWidth="1"/>
    <col min="9739" max="9983" width="9.140625" style="190"/>
    <col min="9984" max="9984" width="9.85546875" style="190" customWidth="1"/>
    <col min="9985" max="9985" width="23.5703125" style="190" customWidth="1"/>
    <col min="9986" max="9986" width="57.85546875" style="190" customWidth="1"/>
    <col min="9987" max="9987" width="12.140625" style="190" customWidth="1"/>
    <col min="9988" max="9988" width="5.28515625" style="190" customWidth="1"/>
    <col min="9989" max="9994" width="12.140625" style="190" customWidth="1"/>
    <col min="9995" max="10239" width="9.140625" style="190"/>
    <col min="10240" max="10240" width="9.85546875" style="190" customWidth="1"/>
    <col min="10241" max="10241" width="23.5703125" style="190" customWidth="1"/>
    <col min="10242" max="10242" width="57.85546875" style="190" customWidth="1"/>
    <col min="10243" max="10243" width="12.140625" style="190" customWidth="1"/>
    <col min="10244" max="10244" width="5.28515625" style="190" customWidth="1"/>
    <col min="10245" max="10250" width="12.140625" style="190" customWidth="1"/>
    <col min="10251" max="10495" width="9.140625" style="190"/>
    <col min="10496" max="10496" width="9.85546875" style="190" customWidth="1"/>
    <col min="10497" max="10497" width="23.5703125" style="190" customWidth="1"/>
    <col min="10498" max="10498" width="57.85546875" style="190" customWidth="1"/>
    <col min="10499" max="10499" width="12.140625" style="190" customWidth="1"/>
    <col min="10500" max="10500" width="5.28515625" style="190" customWidth="1"/>
    <col min="10501" max="10506" width="12.140625" style="190" customWidth="1"/>
    <col min="10507" max="10751" width="9.140625" style="190"/>
    <col min="10752" max="10752" width="9.85546875" style="190" customWidth="1"/>
    <col min="10753" max="10753" width="23.5703125" style="190" customWidth="1"/>
    <col min="10754" max="10754" width="57.85546875" style="190" customWidth="1"/>
    <col min="10755" max="10755" width="12.140625" style="190" customWidth="1"/>
    <col min="10756" max="10756" width="5.28515625" style="190" customWidth="1"/>
    <col min="10757" max="10762" width="12.140625" style="190" customWidth="1"/>
    <col min="10763" max="11007" width="9.140625" style="190"/>
    <col min="11008" max="11008" width="9.85546875" style="190" customWidth="1"/>
    <col min="11009" max="11009" width="23.5703125" style="190" customWidth="1"/>
    <col min="11010" max="11010" width="57.85546875" style="190" customWidth="1"/>
    <col min="11011" max="11011" width="12.140625" style="190" customWidth="1"/>
    <col min="11012" max="11012" width="5.28515625" style="190" customWidth="1"/>
    <col min="11013" max="11018" width="12.140625" style="190" customWidth="1"/>
    <col min="11019" max="11263" width="9.140625" style="190"/>
    <col min="11264" max="11264" width="9.85546875" style="190" customWidth="1"/>
    <col min="11265" max="11265" width="23.5703125" style="190" customWidth="1"/>
    <col min="11266" max="11266" width="57.85546875" style="190" customWidth="1"/>
    <col min="11267" max="11267" width="12.140625" style="190" customWidth="1"/>
    <col min="11268" max="11268" width="5.28515625" style="190" customWidth="1"/>
    <col min="11269" max="11274" width="12.140625" style="190" customWidth="1"/>
    <col min="11275" max="11519" width="9.140625" style="190"/>
    <col min="11520" max="11520" width="9.85546875" style="190" customWidth="1"/>
    <col min="11521" max="11521" width="23.5703125" style="190" customWidth="1"/>
    <col min="11522" max="11522" width="57.85546875" style="190" customWidth="1"/>
    <col min="11523" max="11523" width="12.140625" style="190" customWidth="1"/>
    <col min="11524" max="11524" width="5.28515625" style="190" customWidth="1"/>
    <col min="11525" max="11530" width="12.140625" style="190" customWidth="1"/>
    <col min="11531" max="11775" width="9.140625" style="190"/>
    <col min="11776" max="11776" width="9.85546875" style="190" customWidth="1"/>
    <col min="11777" max="11777" width="23.5703125" style="190" customWidth="1"/>
    <col min="11778" max="11778" width="57.85546875" style="190" customWidth="1"/>
    <col min="11779" max="11779" width="12.140625" style="190" customWidth="1"/>
    <col min="11780" max="11780" width="5.28515625" style="190" customWidth="1"/>
    <col min="11781" max="11786" width="12.140625" style="190" customWidth="1"/>
    <col min="11787" max="12031" width="9.140625" style="190"/>
    <col min="12032" max="12032" width="9.85546875" style="190" customWidth="1"/>
    <col min="12033" max="12033" width="23.5703125" style="190" customWidth="1"/>
    <col min="12034" max="12034" width="57.85546875" style="190" customWidth="1"/>
    <col min="12035" max="12035" width="12.140625" style="190" customWidth="1"/>
    <col min="12036" max="12036" width="5.28515625" style="190" customWidth="1"/>
    <col min="12037" max="12042" width="12.140625" style="190" customWidth="1"/>
    <col min="12043" max="12287" width="9.140625" style="190"/>
    <col min="12288" max="12288" width="9.85546875" style="190" customWidth="1"/>
    <col min="12289" max="12289" width="23.5703125" style="190" customWidth="1"/>
    <col min="12290" max="12290" width="57.85546875" style="190" customWidth="1"/>
    <col min="12291" max="12291" width="12.140625" style="190" customWidth="1"/>
    <col min="12292" max="12292" width="5.28515625" style="190" customWidth="1"/>
    <col min="12293" max="12298" width="12.140625" style="190" customWidth="1"/>
    <col min="12299" max="12543" width="9.140625" style="190"/>
    <col min="12544" max="12544" width="9.85546875" style="190" customWidth="1"/>
    <col min="12545" max="12545" width="23.5703125" style="190" customWidth="1"/>
    <col min="12546" max="12546" width="57.85546875" style="190" customWidth="1"/>
    <col min="12547" max="12547" width="12.140625" style="190" customWidth="1"/>
    <col min="12548" max="12548" width="5.28515625" style="190" customWidth="1"/>
    <col min="12549" max="12554" width="12.140625" style="190" customWidth="1"/>
    <col min="12555" max="12799" width="9.140625" style="190"/>
    <col min="12800" max="12800" width="9.85546875" style="190" customWidth="1"/>
    <col min="12801" max="12801" width="23.5703125" style="190" customWidth="1"/>
    <col min="12802" max="12802" width="57.85546875" style="190" customWidth="1"/>
    <col min="12803" max="12803" width="12.140625" style="190" customWidth="1"/>
    <col min="12804" max="12804" width="5.28515625" style="190" customWidth="1"/>
    <col min="12805" max="12810" width="12.140625" style="190" customWidth="1"/>
    <col min="12811" max="13055" width="9.140625" style="190"/>
    <col min="13056" max="13056" width="9.85546875" style="190" customWidth="1"/>
    <col min="13057" max="13057" width="23.5703125" style="190" customWidth="1"/>
    <col min="13058" max="13058" width="57.85546875" style="190" customWidth="1"/>
    <col min="13059" max="13059" width="12.140625" style="190" customWidth="1"/>
    <col min="13060" max="13060" width="5.28515625" style="190" customWidth="1"/>
    <col min="13061" max="13066" width="12.140625" style="190" customWidth="1"/>
    <col min="13067" max="13311" width="9.140625" style="190"/>
    <col min="13312" max="13312" width="9.85546875" style="190" customWidth="1"/>
    <col min="13313" max="13313" width="23.5703125" style="190" customWidth="1"/>
    <col min="13314" max="13314" width="57.85546875" style="190" customWidth="1"/>
    <col min="13315" max="13315" width="12.140625" style="190" customWidth="1"/>
    <col min="13316" max="13316" width="5.28515625" style="190" customWidth="1"/>
    <col min="13317" max="13322" width="12.140625" style="190" customWidth="1"/>
    <col min="13323" max="13567" width="9.140625" style="190"/>
    <col min="13568" max="13568" width="9.85546875" style="190" customWidth="1"/>
    <col min="13569" max="13569" width="23.5703125" style="190" customWidth="1"/>
    <col min="13570" max="13570" width="57.85546875" style="190" customWidth="1"/>
    <col min="13571" max="13571" width="12.140625" style="190" customWidth="1"/>
    <col min="13572" max="13572" width="5.28515625" style="190" customWidth="1"/>
    <col min="13573" max="13578" width="12.140625" style="190" customWidth="1"/>
    <col min="13579" max="13823" width="9.140625" style="190"/>
    <col min="13824" max="13824" width="9.85546875" style="190" customWidth="1"/>
    <col min="13825" max="13825" width="23.5703125" style="190" customWidth="1"/>
    <col min="13826" max="13826" width="57.85546875" style="190" customWidth="1"/>
    <col min="13827" max="13827" width="12.140625" style="190" customWidth="1"/>
    <col min="13828" max="13828" width="5.28515625" style="190" customWidth="1"/>
    <col min="13829" max="13834" width="12.140625" style="190" customWidth="1"/>
    <col min="13835" max="14079" width="9.140625" style="190"/>
    <col min="14080" max="14080" width="9.85546875" style="190" customWidth="1"/>
    <col min="14081" max="14081" width="23.5703125" style="190" customWidth="1"/>
    <col min="14082" max="14082" width="57.85546875" style="190" customWidth="1"/>
    <col min="14083" max="14083" width="12.140625" style="190" customWidth="1"/>
    <col min="14084" max="14084" width="5.28515625" style="190" customWidth="1"/>
    <col min="14085" max="14090" width="12.140625" style="190" customWidth="1"/>
    <col min="14091" max="14335" width="9.140625" style="190"/>
    <col min="14336" max="14336" width="9.85546875" style="190" customWidth="1"/>
    <col min="14337" max="14337" width="23.5703125" style="190" customWidth="1"/>
    <col min="14338" max="14338" width="57.85546875" style="190" customWidth="1"/>
    <col min="14339" max="14339" width="12.140625" style="190" customWidth="1"/>
    <col min="14340" max="14340" width="5.28515625" style="190" customWidth="1"/>
    <col min="14341" max="14346" width="12.140625" style="190" customWidth="1"/>
    <col min="14347" max="14591" width="9.140625" style="190"/>
    <col min="14592" max="14592" width="9.85546875" style="190" customWidth="1"/>
    <col min="14593" max="14593" width="23.5703125" style="190" customWidth="1"/>
    <col min="14594" max="14594" width="57.85546875" style="190" customWidth="1"/>
    <col min="14595" max="14595" width="12.140625" style="190" customWidth="1"/>
    <col min="14596" max="14596" width="5.28515625" style="190" customWidth="1"/>
    <col min="14597" max="14602" width="12.140625" style="190" customWidth="1"/>
    <col min="14603" max="14847" width="9.140625" style="190"/>
    <col min="14848" max="14848" width="9.85546875" style="190" customWidth="1"/>
    <col min="14849" max="14849" width="23.5703125" style="190" customWidth="1"/>
    <col min="14850" max="14850" width="57.85546875" style="190" customWidth="1"/>
    <col min="14851" max="14851" width="12.140625" style="190" customWidth="1"/>
    <col min="14852" max="14852" width="5.28515625" style="190" customWidth="1"/>
    <col min="14853" max="14858" width="12.140625" style="190" customWidth="1"/>
    <col min="14859" max="15103" width="9.140625" style="190"/>
    <col min="15104" max="15104" width="9.85546875" style="190" customWidth="1"/>
    <col min="15105" max="15105" width="23.5703125" style="190" customWidth="1"/>
    <col min="15106" max="15106" width="57.85546875" style="190" customWidth="1"/>
    <col min="15107" max="15107" width="12.140625" style="190" customWidth="1"/>
    <col min="15108" max="15108" width="5.28515625" style="190" customWidth="1"/>
    <col min="15109" max="15114" width="12.140625" style="190" customWidth="1"/>
    <col min="15115" max="15359" width="9.140625" style="190"/>
    <col min="15360" max="15360" width="9.85546875" style="190" customWidth="1"/>
    <col min="15361" max="15361" width="23.5703125" style="190" customWidth="1"/>
    <col min="15362" max="15362" width="57.85546875" style="190" customWidth="1"/>
    <col min="15363" max="15363" width="12.140625" style="190" customWidth="1"/>
    <col min="15364" max="15364" width="5.28515625" style="190" customWidth="1"/>
    <col min="15365" max="15370" width="12.140625" style="190" customWidth="1"/>
    <col min="15371" max="15615" width="9.140625" style="190"/>
    <col min="15616" max="15616" width="9.85546875" style="190" customWidth="1"/>
    <col min="15617" max="15617" width="23.5703125" style="190" customWidth="1"/>
    <col min="15618" max="15618" width="57.85546875" style="190" customWidth="1"/>
    <col min="15619" max="15619" width="12.140625" style="190" customWidth="1"/>
    <col min="15620" max="15620" width="5.28515625" style="190" customWidth="1"/>
    <col min="15621" max="15626" width="12.140625" style="190" customWidth="1"/>
    <col min="15627" max="15871" width="9.140625" style="190"/>
    <col min="15872" max="15872" width="9.85546875" style="190" customWidth="1"/>
    <col min="15873" max="15873" width="23.5703125" style="190" customWidth="1"/>
    <col min="15874" max="15874" width="57.85546875" style="190" customWidth="1"/>
    <col min="15875" max="15875" width="12.140625" style="190" customWidth="1"/>
    <col min="15876" max="15876" width="5.28515625" style="190" customWidth="1"/>
    <col min="15877" max="15882" width="12.140625" style="190" customWidth="1"/>
    <col min="15883" max="16127" width="9.140625" style="190"/>
    <col min="16128" max="16128" width="9.85546875" style="190" customWidth="1"/>
    <col min="16129" max="16129" width="23.5703125" style="190" customWidth="1"/>
    <col min="16130" max="16130" width="57.85546875" style="190" customWidth="1"/>
    <col min="16131" max="16131" width="12.140625" style="190" customWidth="1"/>
    <col min="16132" max="16132" width="5.28515625" style="190" customWidth="1"/>
    <col min="16133" max="16138" width="12.140625" style="190" customWidth="1"/>
    <col min="16139" max="16384" width="9.140625" style="190"/>
  </cols>
  <sheetData>
    <row r="1" spans="1:15" s="363" customFormat="1" ht="15">
      <c r="A1" s="511" t="s">
        <v>103</v>
      </c>
      <c r="B1" s="511"/>
      <c r="C1" s="511"/>
      <c r="F1" s="364"/>
      <c r="G1" s="365"/>
      <c r="H1" s="366"/>
      <c r="I1" s="366"/>
      <c r="J1" s="367"/>
      <c r="K1" s="366"/>
      <c r="L1" s="368" t="s">
        <v>285</v>
      </c>
    </row>
    <row r="2" spans="1:15" s="363" customFormat="1" ht="15">
      <c r="A2" s="369" t="s">
        <v>104</v>
      </c>
      <c r="F2" s="364"/>
      <c r="G2" s="370"/>
      <c r="H2" s="367"/>
      <c r="I2" s="367"/>
      <c r="J2" s="369"/>
      <c r="K2" s="366"/>
    </row>
    <row r="3" spans="1:15" s="371" customFormat="1" ht="15">
      <c r="A3" s="512"/>
      <c r="B3" s="512"/>
      <c r="C3" s="512"/>
      <c r="D3" s="512"/>
      <c r="E3" s="512"/>
      <c r="F3" s="512"/>
      <c r="G3" s="512"/>
      <c r="H3" s="512"/>
      <c r="I3" s="512"/>
      <c r="J3" s="512"/>
      <c r="K3" s="512"/>
    </row>
    <row r="4" spans="1:15" s="97" customFormat="1" ht="6.95" customHeight="1">
      <c r="A4" s="96"/>
      <c r="B4" s="96"/>
      <c r="C4" s="96"/>
      <c r="F4" s="98"/>
      <c r="G4" s="98"/>
      <c r="H4" s="98"/>
      <c r="I4" s="98"/>
      <c r="J4" s="98"/>
      <c r="K4" s="98"/>
    </row>
    <row r="5" spans="1:15" s="8" customFormat="1" ht="21.75" customHeight="1">
      <c r="A5" s="483" t="s">
        <v>1</v>
      </c>
      <c r="B5" s="546" t="s">
        <v>2</v>
      </c>
      <c r="C5" s="547"/>
      <c r="D5" s="485" t="s">
        <v>4</v>
      </c>
      <c r="E5" s="485"/>
      <c r="F5" s="485"/>
      <c r="G5" s="485"/>
      <c r="H5" s="486" t="s">
        <v>272</v>
      </c>
      <c r="I5" s="487"/>
      <c r="J5" s="487"/>
      <c r="K5" s="487"/>
      <c r="L5" s="488"/>
    </row>
    <row r="6" spans="1:15" s="8" customFormat="1" ht="21.75" customHeight="1">
      <c r="A6" s="483"/>
      <c r="B6" s="548"/>
      <c r="C6" s="549"/>
      <c r="D6" s="491" t="s">
        <v>269</v>
      </c>
      <c r="E6" s="493" t="s">
        <v>0</v>
      </c>
      <c r="F6" s="491" t="s">
        <v>270</v>
      </c>
      <c r="G6" s="491" t="s">
        <v>271</v>
      </c>
      <c r="H6" s="486" t="s">
        <v>265</v>
      </c>
      <c r="I6" s="488"/>
      <c r="J6" s="486" t="s">
        <v>266</v>
      </c>
      <c r="K6" s="488"/>
      <c r="L6" s="489" t="s">
        <v>267</v>
      </c>
    </row>
    <row r="7" spans="1:15" s="12" customFormat="1" ht="24.75" customHeight="1">
      <c r="A7" s="483"/>
      <c r="B7" s="550"/>
      <c r="C7" s="551"/>
      <c r="D7" s="492"/>
      <c r="E7" s="494"/>
      <c r="F7" s="492"/>
      <c r="G7" s="492"/>
      <c r="H7" s="318" t="s">
        <v>273</v>
      </c>
      <c r="I7" s="281" t="s">
        <v>268</v>
      </c>
      <c r="J7" s="318" t="s">
        <v>273</v>
      </c>
      <c r="K7" s="281" t="s">
        <v>268</v>
      </c>
      <c r="L7" s="490"/>
    </row>
    <row r="8" spans="1:15" s="99" customFormat="1" ht="15" customHeight="1">
      <c r="A8" s="100">
        <v>1</v>
      </c>
      <c r="B8" s="101" t="s">
        <v>105</v>
      </c>
      <c r="C8" s="102"/>
      <c r="D8" s="102"/>
      <c r="E8" s="103"/>
      <c r="F8" s="104"/>
      <c r="G8" s="104"/>
      <c r="H8" s="319"/>
      <c r="I8" s="104"/>
      <c r="J8" s="319"/>
      <c r="K8" s="105"/>
      <c r="L8" s="116"/>
    </row>
    <row r="9" spans="1:15" s="107" customFormat="1" ht="25.5" customHeight="1">
      <c r="A9" s="106">
        <v>1.1000000000000001</v>
      </c>
      <c r="B9" s="531" t="s">
        <v>106</v>
      </c>
      <c r="C9" s="532"/>
      <c r="D9" s="532"/>
      <c r="E9" s="532"/>
      <c r="F9" s="532"/>
      <c r="G9" s="532"/>
      <c r="H9" s="533"/>
      <c r="I9" s="532"/>
      <c r="J9" s="532"/>
      <c r="K9" s="534"/>
      <c r="L9" s="116"/>
    </row>
    <row r="10" spans="1:15" s="115" customFormat="1" ht="15" customHeight="1">
      <c r="A10" s="108" t="s">
        <v>76</v>
      </c>
      <c r="B10" s="109" t="s">
        <v>107</v>
      </c>
      <c r="C10" s="110"/>
      <c r="D10" s="111" t="s">
        <v>108</v>
      </c>
      <c r="E10" s="112" t="s">
        <v>73</v>
      </c>
      <c r="F10" s="113">
        <v>0</v>
      </c>
      <c r="G10" s="114" t="s">
        <v>109</v>
      </c>
      <c r="H10" s="320"/>
      <c r="I10" s="92">
        <f>H10*F10</f>
        <v>0</v>
      </c>
      <c r="J10" s="320">
        <f>H10</f>
        <v>0</v>
      </c>
      <c r="K10" s="93"/>
      <c r="L10" s="94">
        <f>K10+I10</f>
        <v>0</v>
      </c>
    </row>
    <row r="11" spans="1:15" s="115" customFormat="1" ht="15" customHeight="1">
      <c r="A11" s="108" t="s">
        <v>77</v>
      </c>
      <c r="B11" s="109" t="s">
        <v>110</v>
      </c>
      <c r="C11" s="110"/>
      <c r="D11" s="111">
        <v>7.5</v>
      </c>
      <c r="E11" s="112" t="s">
        <v>73</v>
      </c>
      <c r="F11" s="113">
        <v>5371</v>
      </c>
      <c r="G11" s="116">
        <v>413</v>
      </c>
      <c r="H11" s="320">
        <v>18.3</v>
      </c>
      <c r="I11" s="92">
        <f t="shared" ref="I11:I15" si="0">H11*F11</f>
        <v>98289.3</v>
      </c>
      <c r="J11" s="372">
        <f t="shared" ref="J11:J15" si="1">H11</f>
        <v>18.3</v>
      </c>
      <c r="K11" s="93">
        <f t="shared" ref="K11:K15" si="2">J11*G11</f>
        <v>7557.9000000000005</v>
      </c>
      <c r="L11" s="94">
        <f t="shared" ref="L11:L15" si="3">K11+I11</f>
        <v>105847.2</v>
      </c>
    </row>
    <row r="12" spans="1:15" s="115" customFormat="1" ht="15" customHeight="1">
      <c r="A12" s="108" t="s">
        <v>78</v>
      </c>
      <c r="B12" s="109" t="s">
        <v>111</v>
      </c>
      <c r="C12" s="110"/>
      <c r="D12" s="111">
        <v>4</v>
      </c>
      <c r="E12" s="112" t="s">
        <v>73</v>
      </c>
      <c r="F12" s="113">
        <v>3718</v>
      </c>
      <c r="G12" s="116">
        <v>372</v>
      </c>
      <c r="H12" s="320">
        <v>15.2</v>
      </c>
      <c r="I12" s="92">
        <f t="shared" si="0"/>
        <v>56513.599999999999</v>
      </c>
      <c r="J12" s="320">
        <f t="shared" si="1"/>
        <v>15.2</v>
      </c>
      <c r="K12" s="93">
        <f t="shared" si="2"/>
        <v>5654.4</v>
      </c>
      <c r="L12" s="94">
        <f t="shared" si="3"/>
        <v>62168</v>
      </c>
    </row>
    <row r="13" spans="1:15" s="115" customFormat="1" ht="15" customHeight="1">
      <c r="A13" s="108" t="s">
        <v>112</v>
      </c>
      <c r="B13" s="109" t="s">
        <v>113</v>
      </c>
      <c r="C13" s="110"/>
      <c r="D13" s="111">
        <v>13</v>
      </c>
      <c r="E13" s="112" t="s">
        <v>73</v>
      </c>
      <c r="F13" s="113">
        <v>2024</v>
      </c>
      <c r="G13" s="116">
        <v>331</v>
      </c>
      <c r="H13" s="320">
        <v>21.3</v>
      </c>
      <c r="I13" s="92">
        <f t="shared" si="0"/>
        <v>43111.200000000004</v>
      </c>
      <c r="J13" s="320">
        <f t="shared" si="1"/>
        <v>21.3</v>
      </c>
      <c r="K13" s="93">
        <f t="shared" si="2"/>
        <v>7050.3</v>
      </c>
      <c r="L13" s="94">
        <f t="shared" si="3"/>
        <v>50161.500000000007</v>
      </c>
    </row>
    <row r="14" spans="1:15" s="115" customFormat="1" ht="15" customHeight="1">
      <c r="A14" s="108" t="s">
        <v>114</v>
      </c>
      <c r="B14" s="117" t="s">
        <v>115</v>
      </c>
      <c r="C14" s="110"/>
      <c r="D14" s="111">
        <v>25</v>
      </c>
      <c r="E14" s="112" t="s">
        <v>73</v>
      </c>
      <c r="F14" s="113">
        <v>1570</v>
      </c>
      <c r="G14" s="116">
        <v>289</v>
      </c>
      <c r="H14" s="320">
        <v>36.6</v>
      </c>
      <c r="I14" s="92">
        <f t="shared" si="0"/>
        <v>57462</v>
      </c>
      <c r="J14" s="320">
        <f t="shared" si="1"/>
        <v>36.6</v>
      </c>
      <c r="K14" s="93">
        <f t="shared" si="2"/>
        <v>10577.4</v>
      </c>
      <c r="L14" s="94">
        <f t="shared" si="3"/>
        <v>68039.399999999994</v>
      </c>
    </row>
    <row r="15" spans="1:15" s="115" customFormat="1" ht="15" customHeight="1">
      <c r="A15" s="108" t="s">
        <v>116</v>
      </c>
      <c r="B15" s="117" t="s">
        <v>117</v>
      </c>
      <c r="C15" s="110"/>
      <c r="D15" s="111">
        <v>3</v>
      </c>
      <c r="E15" s="112" t="s">
        <v>73</v>
      </c>
      <c r="F15" s="113">
        <v>992</v>
      </c>
      <c r="G15" s="116">
        <v>248</v>
      </c>
      <c r="H15" s="320">
        <v>0</v>
      </c>
      <c r="I15" s="92">
        <f t="shared" si="0"/>
        <v>0</v>
      </c>
      <c r="J15" s="320">
        <f t="shared" si="1"/>
        <v>0</v>
      </c>
      <c r="K15" s="93">
        <f t="shared" si="2"/>
        <v>0</v>
      </c>
      <c r="L15" s="94">
        <f t="shared" si="3"/>
        <v>0</v>
      </c>
    </row>
    <row r="16" spans="1:15" s="107" customFormat="1" ht="15" customHeight="1">
      <c r="A16" s="118">
        <v>1.2</v>
      </c>
      <c r="B16" s="119" t="s">
        <v>118</v>
      </c>
      <c r="C16" s="120"/>
      <c r="D16" s="120"/>
      <c r="E16" s="121"/>
      <c r="F16" s="122"/>
      <c r="G16" s="122"/>
      <c r="H16" s="321"/>
      <c r="I16" s="122"/>
      <c r="J16" s="321"/>
      <c r="K16" s="123"/>
      <c r="L16" s="123"/>
      <c r="M16" s="115"/>
      <c r="N16" s="115"/>
      <c r="O16" s="115"/>
    </row>
    <row r="17" spans="1:15" s="107" customFormat="1" ht="15" customHeight="1">
      <c r="A17" s="106" t="s">
        <v>119</v>
      </c>
      <c r="B17" s="119" t="s">
        <v>120</v>
      </c>
      <c r="C17" s="120"/>
      <c r="D17" s="120"/>
      <c r="E17" s="121"/>
      <c r="F17" s="122"/>
      <c r="G17" s="122"/>
      <c r="H17" s="321"/>
      <c r="I17" s="122"/>
      <c r="J17" s="321"/>
      <c r="K17" s="123"/>
      <c r="L17" s="123"/>
      <c r="M17" s="115"/>
      <c r="N17" s="115"/>
      <c r="O17" s="115"/>
    </row>
    <row r="18" spans="1:15" s="115" customFormat="1" ht="15" customHeight="1">
      <c r="A18" s="108" t="s">
        <v>121</v>
      </c>
      <c r="B18" s="109" t="s">
        <v>110</v>
      </c>
      <c r="C18" s="110"/>
      <c r="D18" s="111" t="s">
        <v>108</v>
      </c>
      <c r="E18" s="112" t="s">
        <v>6</v>
      </c>
      <c r="F18" s="113">
        <v>0</v>
      </c>
      <c r="G18" s="114" t="s">
        <v>109</v>
      </c>
      <c r="H18" s="322">
        <v>0</v>
      </c>
      <c r="I18" s="114" t="s">
        <v>109</v>
      </c>
      <c r="J18" s="320">
        <f t="shared" ref="J18:J21" si="4">H18</f>
        <v>0</v>
      </c>
      <c r="K18" s="114" t="s">
        <v>109</v>
      </c>
      <c r="L18" s="114"/>
    </row>
    <row r="19" spans="1:15" s="115" customFormat="1" ht="15" customHeight="1">
      <c r="A19" s="108" t="s">
        <v>122</v>
      </c>
      <c r="B19" s="109" t="s">
        <v>111</v>
      </c>
      <c r="C19" s="110"/>
      <c r="D19" s="111" t="s">
        <v>108</v>
      </c>
      <c r="E19" s="112" t="s">
        <v>6</v>
      </c>
      <c r="F19" s="113">
        <v>0</v>
      </c>
      <c r="G19" s="114" t="s">
        <v>109</v>
      </c>
      <c r="H19" s="322">
        <v>0</v>
      </c>
      <c r="I19" s="114" t="s">
        <v>109</v>
      </c>
      <c r="J19" s="320">
        <f t="shared" si="4"/>
        <v>0</v>
      </c>
      <c r="K19" s="114" t="s">
        <v>109</v>
      </c>
      <c r="L19" s="114"/>
    </row>
    <row r="20" spans="1:15" s="107" customFormat="1" ht="15" customHeight="1">
      <c r="A20" s="108" t="s">
        <v>123</v>
      </c>
      <c r="B20" s="109" t="s">
        <v>113</v>
      </c>
      <c r="C20" s="110"/>
      <c r="D20" s="111">
        <v>3</v>
      </c>
      <c r="E20" s="112" t="s">
        <v>6</v>
      </c>
      <c r="F20" s="113">
        <v>9295</v>
      </c>
      <c r="G20" s="116">
        <v>826</v>
      </c>
      <c r="H20" s="320">
        <v>1</v>
      </c>
      <c r="I20" s="92">
        <f t="shared" ref="I20:I21" si="5">H20*F20</f>
        <v>9295</v>
      </c>
      <c r="J20" s="320">
        <f t="shared" si="4"/>
        <v>1</v>
      </c>
      <c r="K20" s="93">
        <f t="shared" ref="K20:K21" si="6">J20*G20</f>
        <v>826</v>
      </c>
      <c r="L20" s="94">
        <f t="shared" ref="L20:L21" si="7">K20+I20</f>
        <v>10121</v>
      </c>
      <c r="M20" s="115"/>
      <c r="N20" s="115"/>
      <c r="O20" s="115"/>
    </row>
    <row r="21" spans="1:15" s="127" customFormat="1" ht="15" customHeight="1">
      <c r="A21" s="108" t="s">
        <v>124</v>
      </c>
      <c r="B21" s="117" t="s">
        <v>115</v>
      </c>
      <c r="C21" s="124"/>
      <c r="D21" s="125">
        <v>6</v>
      </c>
      <c r="E21" s="126" t="s">
        <v>6</v>
      </c>
      <c r="F21" s="113">
        <v>7023</v>
      </c>
      <c r="G21" s="116">
        <v>826</v>
      </c>
      <c r="H21" s="320">
        <v>6</v>
      </c>
      <c r="I21" s="92">
        <f t="shared" si="5"/>
        <v>42138</v>
      </c>
      <c r="J21" s="320">
        <f t="shared" si="4"/>
        <v>6</v>
      </c>
      <c r="K21" s="93">
        <f t="shared" si="6"/>
        <v>4956</v>
      </c>
      <c r="L21" s="94">
        <f t="shared" si="7"/>
        <v>47094</v>
      </c>
      <c r="M21" s="115"/>
      <c r="N21" s="115"/>
      <c r="O21" s="115"/>
    </row>
    <row r="22" spans="1:15" s="107" customFormat="1" ht="15" customHeight="1">
      <c r="A22" s="106" t="s">
        <v>125</v>
      </c>
      <c r="B22" s="119" t="s">
        <v>126</v>
      </c>
      <c r="C22" s="120"/>
      <c r="D22" s="120"/>
      <c r="E22" s="121"/>
      <c r="F22" s="122"/>
      <c r="G22" s="122"/>
      <c r="H22" s="321"/>
      <c r="I22" s="122"/>
      <c r="J22" s="321"/>
      <c r="K22" s="123"/>
      <c r="L22" s="123"/>
      <c r="M22" s="115"/>
      <c r="N22" s="115"/>
      <c r="O22" s="115"/>
    </row>
    <row r="23" spans="1:15" s="107" customFormat="1" ht="15" customHeight="1">
      <c r="A23" s="108" t="s">
        <v>127</v>
      </c>
      <c r="B23" s="117" t="s">
        <v>115</v>
      </c>
      <c r="C23" s="110"/>
      <c r="D23" s="111">
        <v>1</v>
      </c>
      <c r="E23" s="112" t="s">
        <v>6</v>
      </c>
      <c r="F23" s="113">
        <v>7436</v>
      </c>
      <c r="G23" s="116">
        <v>826</v>
      </c>
      <c r="H23" s="320">
        <v>1</v>
      </c>
      <c r="I23" s="320">
        <f>H23*F23</f>
        <v>7436</v>
      </c>
      <c r="J23" s="320">
        <f>H23</f>
        <v>1</v>
      </c>
      <c r="K23" s="93">
        <f>J23*G23</f>
        <v>826</v>
      </c>
      <c r="L23" s="94">
        <f>K23+I23</f>
        <v>8262</v>
      </c>
      <c r="M23" s="115"/>
      <c r="N23" s="115"/>
      <c r="O23" s="115"/>
    </row>
    <row r="24" spans="1:15" s="107" customFormat="1" ht="15" customHeight="1">
      <c r="A24" s="106" t="s">
        <v>128</v>
      </c>
      <c r="B24" s="119" t="s">
        <v>129</v>
      </c>
      <c r="C24" s="128"/>
      <c r="D24" s="128"/>
      <c r="E24" s="121"/>
      <c r="F24" s="129"/>
      <c r="G24" s="129"/>
      <c r="H24" s="323"/>
      <c r="I24" s="323"/>
      <c r="J24" s="323"/>
      <c r="K24" s="130"/>
      <c r="L24" s="130"/>
      <c r="M24" s="115"/>
      <c r="N24" s="115"/>
      <c r="O24" s="115"/>
    </row>
    <row r="25" spans="1:15" s="107" customFormat="1" ht="15" customHeight="1">
      <c r="A25" s="108" t="s">
        <v>130</v>
      </c>
      <c r="B25" s="109" t="s">
        <v>110</v>
      </c>
      <c r="C25" s="131"/>
      <c r="D25" s="132">
        <v>1</v>
      </c>
      <c r="E25" s="112" t="s">
        <v>7</v>
      </c>
      <c r="F25" s="113">
        <v>122286</v>
      </c>
      <c r="G25" s="116">
        <v>2479</v>
      </c>
      <c r="H25" s="320">
        <v>1</v>
      </c>
      <c r="I25" s="320">
        <f t="shared" ref="I25:I30" si="8">H25*F25</f>
        <v>122286</v>
      </c>
      <c r="J25" s="320">
        <f t="shared" ref="J25:J30" si="9">H25</f>
        <v>1</v>
      </c>
      <c r="K25" s="93">
        <f t="shared" ref="K25:K30" si="10">J25*G25</f>
        <v>2479</v>
      </c>
      <c r="L25" s="94">
        <f t="shared" ref="L25:L30" si="11">K25+I25</f>
        <v>124765</v>
      </c>
      <c r="M25" s="115"/>
      <c r="N25" s="115"/>
      <c r="O25" s="115"/>
    </row>
    <row r="26" spans="1:15" s="107" customFormat="1" ht="24" customHeight="1">
      <c r="A26" s="133">
        <v>1.3</v>
      </c>
      <c r="B26" s="535" t="s">
        <v>131</v>
      </c>
      <c r="C26" s="536"/>
      <c r="D26" s="134">
        <v>1</v>
      </c>
      <c r="E26" s="112" t="s">
        <v>9</v>
      </c>
      <c r="F26" s="113">
        <v>37182</v>
      </c>
      <c r="G26" s="116">
        <v>6610</v>
      </c>
      <c r="H26" s="320">
        <v>1</v>
      </c>
      <c r="I26" s="92">
        <f t="shared" si="8"/>
        <v>37182</v>
      </c>
      <c r="J26" s="320">
        <f t="shared" si="9"/>
        <v>1</v>
      </c>
      <c r="K26" s="93">
        <f t="shared" si="10"/>
        <v>6610</v>
      </c>
      <c r="L26" s="94">
        <f t="shared" si="11"/>
        <v>43792</v>
      </c>
      <c r="M26" s="115"/>
      <c r="N26" s="115"/>
      <c r="O26" s="115"/>
    </row>
    <row r="27" spans="1:15" s="107" customFormat="1" ht="25.5" customHeight="1">
      <c r="A27" s="133">
        <v>1.4</v>
      </c>
      <c r="B27" s="537" t="s">
        <v>132</v>
      </c>
      <c r="C27" s="538"/>
      <c r="D27" s="134">
        <v>1</v>
      </c>
      <c r="E27" s="112" t="s">
        <v>9</v>
      </c>
      <c r="F27" s="113">
        <v>0</v>
      </c>
      <c r="G27" s="116">
        <v>20656</v>
      </c>
      <c r="H27" s="320">
        <v>1</v>
      </c>
      <c r="I27" s="92">
        <f t="shared" si="8"/>
        <v>0</v>
      </c>
      <c r="J27" s="320">
        <f t="shared" si="9"/>
        <v>1</v>
      </c>
      <c r="K27" s="93">
        <f t="shared" si="10"/>
        <v>20656</v>
      </c>
      <c r="L27" s="94">
        <f t="shared" si="11"/>
        <v>20656</v>
      </c>
      <c r="M27" s="115"/>
      <c r="N27" s="115"/>
      <c r="O27" s="115"/>
    </row>
    <row r="28" spans="1:15" s="107" customFormat="1" ht="15" customHeight="1">
      <c r="A28" s="135">
        <v>1.5</v>
      </c>
      <c r="B28" s="535" t="s">
        <v>133</v>
      </c>
      <c r="C28" s="536"/>
      <c r="D28" s="136">
        <v>5</v>
      </c>
      <c r="E28" s="137" t="s">
        <v>6</v>
      </c>
      <c r="F28" s="113">
        <v>7436</v>
      </c>
      <c r="G28" s="116">
        <v>826</v>
      </c>
      <c r="H28" s="320">
        <v>0</v>
      </c>
      <c r="I28" s="92">
        <f t="shared" si="8"/>
        <v>0</v>
      </c>
      <c r="J28" s="320">
        <f t="shared" si="9"/>
        <v>0</v>
      </c>
      <c r="K28" s="93">
        <f t="shared" si="10"/>
        <v>0</v>
      </c>
      <c r="L28" s="94">
        <f t="shared" si="11"/>
        <v>0</v>
      </c>
      <c r="M28" s="115"/>
      <c r="N28" s="115"/>
      <c r="O28" s="115"/>
    </row>
    <row r="29" spans="1:15" s="107" customFormat="1" ht="15" customHeight="1">
      <c r="A29" s="133">
        <v>1.6</v>
      </c>
      <c r="B29" s="535" t="s">
        <v>134</v>
      </c>
      <c r="C29" s="536"/>
      <c r="D29" s="136">
        <v>1</v>
      </c>
      <c r="E29" s="137" t="s">
        <v>7</v>
      </c>
      <c r="F29" s="113">
        <v>14873</v>
      </c>
      <c r="G29" s="116">
        <v>826</v>
      </c>
      <c r="H29" s="320">
        <v>0</v>
      </c>
      <c r="I29" s="92">
        <f t="shared" si="8"/>
        <v>0</v>
      </c>
      <c r="J29" s="320">
        <f t="shared" si="9"/>
        <v>0</v>
      </c>
      <c r="K29" s="93">
        <f t="shared" si="10"/>
        <v>0</v>
      </c>
      <c r="L29" s="94">
        <f t="shared" si="11"/>
        <v>0</v>
      </c>
      <c r="M29" s="115"/>
      <c r="N29" s="115"/>
      <c r="O29" s="115"/>
    </row>
    <row r="30" spans="1:15" s="107" customFormat="1" ht="15" customHeight="1" thickBot="1">
      <c r="A30" s="135">
        <v>1.7</v>
      </c>
      <c r="B30" s="535" t="s">
        <v>135</v>
      </c>
      <c r="C30" s="536"/>
      <c r="D30" s="136">
        <v>1</v>
      </c>
      <c r="E30" s="137" t="s">
        <v>7</v>
      </c>
      <c r="F30" s="113">
        <v>8263</v>
      </c>
      <c r="G30" s="116">
        <v>826</v>
      </c>
      <c r="H30" s="320">
        <v>1</v>
      </c>
      <c r="I30" s="92">
        <f t="shared" si="8"/>
        <v>8263</v>
      </c>
      <c r="J30" s="320">
        <f t="shared" si="9"/>
        <v>1</v>
      </c>
      <c r="K30" s="93">
        <f t="shared" si="10"/>
        <v>826</v>
      </c>
      <c r="L30" s="94">
        <f t="shared" si="11"/>
        <v>9089</v>
      </c>
      <c r="M30" s="115"/>
      <c r="N30" s="115"/>
      <c r="O30" s="115"/>
    </row>
    <row r="31" spans="1:15" s="107" customFormat="1" ht="15" customHeight="1" thickBot="1">
      <c r="A31" s="539" t="s">
        <v>13</v>
      </c>
      <c r="B31" s="540"/>
      <c r="C31" s="540"/>
      <c r="D31" s="540"/>
      <c r="E31" s="541"/>
      <c r="F31" s="138"/>
      <c r="G31" s="139">
        <f>SUM(G10:G30)</f>
        <v>36354</v>
      </c>
      <c r="H31" s="324"/>
      <c r="I31" s="139">
        <f>SUM(I10:I30)</f>
        <v>481976.1</v>
      </c>
      <c r="J31" s="355"/>
      <c r="K31" s="139">
        <f>SUM(K10:K30)</f>
        <v>68019</v>
      </c>
      <c r="L31" s="139">
        <f>SUM(L10:L30)</f>
        <v>549995.1</v>
      </c>
      <c r="M31" s="115"/>
      <c r="N31" s="115"/>
      <c r="O31" s="115"/>
    </row>
    <row r="32" spans="1:15" s="145" customFormat="1" ht="15" customHeight="1">
      <c r="A32" s="100">
        <v>2</v>
      </c>
      <c r="B32" s="101" t="s">
        <v>136</v>
      </c>
      <c r="C32" s="140"/>
      <c r="D32" s="141"/>
      <c r="E32" s="142"/>
      <c r="F32" s="143"/>
      <c r="G32" s="143"/>
      <c r="H32" s="325"/>
      <c r="I32" s="143"/>
      <c r="J32" s="325"/>
      <c r="K32" s="144"/>
      <c r="M32" s="115"/>
      <c r="N32" s="115"/>
      <c r="O32" s="115"/>
    </row>
    <row r="33" spans="1:17" s="152" customFormat="1" ht="15" customHeight="1">
      <c r="A33" s="146">
        <v>2.1</v>
      </c>
      <c r="B33" s="147" t="s">
        <v>106</v>
      </c>
      <c r="C33" s="148"/>
      <c r="D33" s="148"/>
      <c r="E33" s="149"/>
      <c r="F33" s="150"/>
      <c r="G33" s="150"/>
      <c r="H33" s="326"/>
      <c r="I33" s="150"/>
      <c r="J33" s="326"/>
      <c r="K33" s="151"/>
      <c r="M33" s="115"/>
      <c r="N33" s="115"/>
      <c r="O33" s="115"/>
    </row>
    <row r="34" spans="1:17" s="152" customFormat="1" ht="15" customHeight="1">
      <c r="A34" s="108" t="s">
        <v>137</v>
      </c>
      <c r="B34" s="109" t="s">
        <v>113</v>
      </c>
      <c r="C34" s="124"/>
      <c r="D34" s="153" t="s">
        <v>108</v>
      </c>
      <c r="E34" s="112" t="s">
        <v>73</v>
      </c>
      <c r="F34" s="113">
        <v>0</v>
      </c>
      <c r="G34" s="114" t="s">
        <v>109</v>
      </c>
      <c r="H34" s="322">
        <v>0</v>
      </c>
      <c r="I34" s="114" t="s">
        <v>109</v>
      </c>
      <c r="J34" s="320">
        <f t="shared" ref="J34:J36" si="12">H34</f>
        <v>0</v>
      </c>
      <c r="K34" s="114" t="s">
        <v>109</v>
      </c>
      <c r="L34" s="116"/>
      <c r="M34" s="115"/>
      <c r="N34" s="115" t="s">
        <v>275</v>
      </c>
      <c r="O34" s="115" t="s">
        <v>276</v>
      </c>
      <c r="Q34" s="152" t="s">
        <v>277</v>
      </c>
    </row>
    <row r="35" spans="1:17" s="152" customFormat="1" ht="15" customHeight="1">
      <c r="A35" s="108" t="s">
        <v>138</v>
      </c>
      <c r="B35" s="117" t="s">
        <v>115</v>
      </c>
      <c r="C35" s="124"/>
      <c r="D35" s="153">
        <v>32</v>
      </c>
      <c r="E35" s="112" t="s">
        <v>73</v>
      </c>
      <c r="F35" s="113">
        <v>1363</v>
      </c>
      <c r="G35" s="116">
        <v>331</v>
      </c>
      <c r="H35" s="320">
        <v>30.5</v>
      </c>
      <c r="I35" s="92">
        <f>H35*F35</f>
        <v>41571.5</v>
      </c>
      <c r="J35" s="320">
        <f t="shared" si="12"/>
        <v>30.5</v>
      </c>
      <c r="K35" s="93">
        <f>J35*G35</f>
        <v>10095.5</v>
      </c>
      <c r="L35" s="94">
        <f>K35+I35</f>
        <v>51667</v>
      </c>
      <c r="M35" s="115"/>
      <c r="N35" s="115"/>
      <c r="O35" s="115"/>
    </row>
    <row r="36" spans="1:17" s="152" customFormat="1" ht="15" customHeight="1">
      <c r="A36" s="108" t="s">
        <v>139</v>
      </c>
      <c r="B36" s="117" t="s">
        <v>117</v>
      </c>
      <c r="C36" s="124"/>
      <c r="D36" s="153" t="s">
        <v>108</v>
      </c>
      <c r="E36" s="112" t="s">
        <v>73</v>
      </c>
      <c r="F36" s="113">
        <v>0</v>
      </c>
      <c r="G36" s="114" t="s">
        <v>109</v>
      </c>
      <c r="H36" s="322">
        <v>0</v>
      </c>
      <c r="I36" s="114" t="s">
        <v>109</v>
      </c>
      <c r="J36" s="320">
        <f t="shared" si="12"/>
        <v>0</v>
      </c>
      <c r="K36" s="114" t="s">
        <v>109</v>
      </c>
      <c r="L36" s="116"/>
      <c r="M36" s="115"/>
      <c r="N36" s="115"/>
      <c r="O36" s="115"/>
    </row>
    <row r="37" spans="1:17" s="152" customFormat="1" ht="15" customHeight="1">
      <c r="A37" s="146">
        <v>2.2000000000000002</v>
      </c>
      <c r="B37" s="147" t="s">
        <v>118</v>
      </c>
      <c r="C37" s="154"/>
      <c r="D37" s="155"/>
      <c r="E37" s="155"/>
      <c r="F37" s="150"/>
      <c r="G37" s="150"/>
      <c r="H37" s="326"/>
      <c r="I37" s="150"/>
      <c r="J37" s="326"/>
      <c r="K37" s="151"/>
      <c r="L37" s="116"/>
      <c r="M37" s="115"/>
      <c r="N37" s="115"/>
      <c r="O37" s="115"/>
    </row>
    <row r="38" spans="1:17" s="152" customFormat="1" ht="15" customHeight="1">
      <c r="A38" s="156" t="s">
        <v>140</v>
      </c>
      <c r="B38" s="157" t="s">
        <v>141</v>
      </c>
      <c r="C38" s="148"/>
      <c r="D38" s="148"/>
      <c r="E38" s="158"/>
      <c r="F38" s="150"/>
      <c r="G38" s="150"/>
      <c r="H38" s="326"/>
      <c r="I38" s="150"/>
      <c r="J38" s="326"/>
      <c r="K38" s="159"/>
      <c r="L38" s="116"/>
      <c r="M38" s="115"/>
      <c r="N38" s="115"/>
      <c r="O38" s="115"/>
    </row>
    <row r="39" spans="1:17" s="127" customFormat="1" ht="15" customHeight="1">
      <c r="A39" s="108" t="s">
        <v>142</v>
      </c>
      <c r="B39" s="117" t="s">
        <v>115</v>
      </c>
      <c r="C39" s="124"/>
      <c r="D39" s="125">
        <v>2</v>
      </c>
      <c r="E39" s="126" t="s">
        <v>6</v>
      </c>
      <c r="F39" s="113">
        <v>71058</v>
      </c>
      <c r="G39" s="116">
        <v>1653</v>
      </c>
      <c r="H39" s="320">
        <v>0</v>
      </c>
      <c r="I39" s="92">
        <f>H39*F39</f>
        <v>0</v>
      </c>
      <c r="J39" s="320">
        <f t="shared" ref="J39" si="13">H39</f>
        <v>0</v>
      </c>
      <c r="K39" s="93">
        <f>J39*G39</f>
        <v>0</v>
      </c>
      <c r="L39" s="94">
        <f>K39+I39</f>
        <v>0</v>
      </c>
      <c r="M39" s="115"/>
      <c r="N39" s="115"/>
      <c r="O39" s="115"/>
    </row>
    <row r="40" spans="1:17" s="152" customFormat="1" ht="15" customHeight="1">
      <c r="A40" s="156" t="s">
        <v>143</v>
      </c>
      <c r="B40" s="119" t="s">
        <v>120</v>
      </c>
      <c r="C40" s="148"/>
      <c r="D40" s="148"/>
      <c r="E40" s="158"/>
      <c r="F40" s="150"/>
      <c r="G40" s="150"/>
      <c r="H40" s="326"/>
      <c r="I40" s="150"/>
      <c r="J40" s="326"/>
      <c r="K40" s="159"/>
      <c r="L40" s="116"/>
      <c r="M40" s="115"/>
      <c r="N40" s="115"/>
      <c r="O40" s="115"/>
    </row>
    <row r="41" spans="1:17" s="127" customFormat="1" ht="15" customHeight="1">
      <c r="A41" s="108" t="s">
        <v>144</v>
      </c>
      <c r="B41" s="109" t="s">
        <v>113</v>
      </c>
      <c r="C41" s="124"/>
      <c r="D41" s="125" t="s">
        <v>108</v>
      </c>
      <c r="E41" s="126" t="s">
        <v>7</v>
      </c>
      <c r="F41" s="113">
        <v>0</v>
      </c>
      <c r="G41" s="114" t="s">
        <v>109</v>
      </c>
      <c r="H41" s="322">
        <v>0</v>
      </c>
      <c r="I41" s="114" t="s">
        <v>109</v>
      </c>
      <c r="J41" s="320">
        <f t="shared" ref="J41:J43" si="14">H41</f>
        <v>0</v>
      </c>
      <c r="K41" s="114" t="s">
        <v>109</v>
      </c>
      <c r="L41" s="116"/>
      <c r="M41" s="115"/>
      <c r="N41" s="115"/>
      <c r="O41" s="115"/>
    </row>
    <row r="42" spans="1:17" s="127" customFormat="1" ht="15" customHeight="1">
      <c r="A42" s="108" t="s">
        <v>145</v>
      </c>
      <c r="B42" s="117" t="s">
        <v>115</v>
      </c>
      <c r="C42" s="124"/>
      <c r="D42" s="125">
        <f>3+3</f>
        <v>6</v>
      </c>
      <c r="E42" s="126" t="s">
        <v>6</v>
      </c>
      <c r="F42" s="113">
        <v>8263</v>
      </c>
      <c r="G42" s="116">
        <v>826</v>
      </c>
      <c r="H42" s="320">
        <v>5</v>
      </c>
      <c r="I42" s="92">
        <f>H42*F42</f>
        <v>41315</v>
      </c>
      <c r="J42" s="320">
        <f t="shared" si="14"/>
        <v>5</v>
      </c>
      <c r="K42" s="93">
        <f>J42*G42</f>
        <v>4130</v>
      </c>
      <c r="L42" s="94">
        <f>K42+I42</f>
        <v>45445</v>
      </c>
      <c r="M42" s="115"/>
      <c r="N42" s="115"/>
      <c r="O42" s="115"/>
    </row>
    <row r="43" spans="1:17" s="152" customFormat="1" ht="15" customHeight="1">
      <c r="A43" s="108" t="s">
        <v>146</v>
      </c>
      <c r="B43" s="117" t="s">
        <v>117</v>
      </c>
      <c r="C43" s="124"/>
      <c r="D43" s="153" t="s">
        <v>108</v>
      </c>
      <c r="E43" s="112" t="s">
        <v>6</v>
      </c>
      <c r="F43" s="113">
        <v>0</v>
      </c>
      <c r="G43" s="114" t="s">
        <v>109</v>
      </c>
      <c r="H43" s="322">
        <v>0</v>
      </c>
      <c r="I43" s="114" t="s">
        <v>109</v>
      </c>
      <c r="J43" s="320">
        <f t="shared" si="14"/>
        <v>0</v>
      </c>
      <c r="K43" s="114" t="s">
        <v>109</v>
      </c>
      <c r="L43" s="116"/>
      <c r="M43" s="115"/>
      <c r="N43" s="115"/>
      <c r="O43" s="115"/>
    </row>
    <row r="44" spans="1:17" s="107" customFormat="1" ht="15" customHeight="1">
      <c r="A44" s="106" t="s">
        <v>147</v>
      </c>
      <c r="B44" s="119" t="s">
        <v>126</v>
      </c>
      <c r="C44" s="120"/>
      <c r="D44" s="120"/>
      <c r="E44" s="121"/>
      <c r="F44" s="122"/>
      <c r="G44" s="122"/>
      <c r="H44" s="321"/>
      <c r="I44" s="122"/>
      <c r="J44" s="321"/>
      <c r="K44" s="123"/>
      <c r="L44" s="116"/>
      <c r="M44" s="115"/>
      <c r="N44" s="115"/>
      <c r="O44" s="115"/>
    </row>
    <row r="45" spans="1:17" s="107" customFormat="1" ht="15" customHeight="1">
      <c r="A45" s="108" t="s">
        <v>148</v>
      </c>
      <c r="B45" s="117" t="s">
        <v>115</v>
      </c>
      <c r="C45" s="110"/>
      <c r="D45" s="111">
        <v>3</v>
      </c>
      <c r="E45" s="112" t="s">
        <v>6</v>
      </c>
      <c r="F45" s="113">
        <v>7436</v>
      </c>
      <c r="G45" s="116">
        <v>826</v>
      </c>
      <c r="H45" s="320">
        <v>0</v>
      </c>
      <c r="I45" s="92">
        <f>H45*F45</f>
        <v>0</v>
      </c>
      <c r="J45" s="320">
        <f t="shared" ref="J45" si="15">H45</f>
        <v>0</v>
      </c>
      <c r="K45" s="93">
        <f>J45*G45</f>
        <v>0</v>
      </c>
      <c r="L45" s="94">
        <f>K45+I45</f>
        <v>0</v>
      </c>
      <c r="M45" s="115"/>
      <c r="N45" s="115"/>
      <c r="O45" s="115"/>
    </row>
    <row r="46" spans="1:17" s="165" customFormat="1" ht="15" customHeight="1">
      <c r="A46" s="160">
        <v>2.2999999999999998</v>
      </c>
      <c r="B46" s="161" t="s">
        <v>149</v>
      </c>
      <c r="C46" s="162"/>
      <c r="D46" s="162"/>
      <c r="E46" s="162"/>
      <c r="F46" s="301"/>
      <c r="G46" s="301"/>
      <c r="H46" s="327"/>
      <c r="I46" s="163"/>
      <c r="J46" s="327"/>
      <c r="K46" s="164"/>
      <c r="L46" s="116"/>
      <c r="M46" s="115"/>
      <c r="N46" s="115"/>
      <c r="O46" s="115"/>
    </row>
    <row r="47" spans="1:17" s="169" customFormat="1" ht="15" customHeight="1">
      <c r="A47" s="166" t="s">
        <v>150</v>
      </c>
      <c r="B47" s="109" t="s">
        <v>113</v>
      </c>
      <c r="C47" s="167"/>
      <c r="D47" s="168" t="s">
        <v>108</v>
      </c>
      <c r="E47" s="112" t="s">
        <v>73</v>
      </c>
      <c r="F47" s="113">
        <v>0</v>
      </c>
      <c r="G47" s="114" t="s">
        <v>109</v>
      </c>
      <c r="H47" s="322">
        <v>0</v>
      </c>
      <c r="I47" s="114" t="s">
        <v>109</v>
      </c>
      <c r="J47" s="320">
        <f t="shared" ref="J47:J51" si="16">H47</f>
        <v>0</v>
      </c>
      <c r="K47" s="114" t="s">
        <v>109</v>
      </c>
      <c r="L47" s="116"/>
      <c r="M47" s="115"/>
      <c r="N47" s="115" t="s">
        <v>275</v>
      </c>
      <c r="O47" s="115" t="s">
        <v>276</v>
      </c>
      <c r="P47" s="152"/>
      <c r="Q47" s="169" t="s">
        <v>278</v>
      </c>
    </row>
    <row r="48" spans="1:17" s="170" customFormat="1" ht="15" customHeight="1">
      <c r="A48" s="166" t="s">
        <v>151</v>
      </c>
      <c r="B48" s="117" t="s">
        <v>115</v>
      </c>
      <c r="C48" s="167"/>
      <c r="D48" s="168">
        <f>D35</f>
        <v>32</v>
      </c>
      <c r="E48" s="112" t="s">
        <v>73</v>
      </c>
      <c r="F48" s="113">
        <v>3512</v>
      </c>
      <c r="G48" s="116">
        <v>496</v>
      </c>
      <c r="H48" s="320">
        <v>30.5</v>
      </c>
      <c r="I48" s="92">
        <f>H48*F48</f>
        <v>107116</v>
      </c>
      <c r="J48" s="320">
        <f t="shared" si="16"/>
        <v>30.5</v>
      </c>
      <c r="K48" s="93">
        <f>J48*G48</f>
        <v>15128</v>
      </c>
      <c r="L48" s="94">
        <f>K48+I48</f>
        <v>122244</v>
      </c>
      <c r="M48" s="115"/>
      <c r="N48" s="115"/>
      <c r="O48" s="115"/>
    </row>
    <row r="49" spans="1:15" s="170" customFormat="1" ht="15" customHeight="1">
      <c r="A49" s="166" t="s">
        <v>152</v>
      </c>
      <c r="B49" s="117" t="s">
        <v>117</v>
      </c>
      <c r="C49" s="167"/>
      <c r="D49" s="168" t="str">
        <f>D36</f>
        <v>-</v>
      </c>
      <c r="E49" s="112" t="s">
        <v>73</v>
      </c>
      <c r="F49" s="113">
        <v>0</v>
      </c>
      <c r="G49" s="114" t="s">
        <v>109</v>
      </c>
      <c r="H49" s="322">
        <v>0</v>
      </c>
      <c r="I49" s="114" t="s">
        <v>109</v>
      </c>
      <c r="J49" s="320">
        <f t="shared" si="16"/>
        <v>0</v>
      </c>
      <c r="K49" s="114" t="s">
        <v>109</v>
      </c>
      <c r="L49" s="116"/>
      <c r="M49" s="115"/>
      <c r="N49" s="115"/>
      <c r="O49" s="115"/>
    </row>
    <row r="50" spans="1:15" s="152" customFormat="1" ht="36.75" customHeight="1">
      <c r="A50" s="171">
        <v>2.4</v>
      </c>
      <c r="B50" s="535" t="s">
        <v>153</v>
      </c>
      <c r="C50" s="536"/>
      <c r="D50" s="125">
        <v>1</v>
      </c>
      <c r="E50" s="126" t="s">
        <v>9</v>
      </c>
      <c r="F50" s="113">
        <v>39660</v>
      </c>
      <c r="G50" s="116">
        <v>9915</v>
      </c>
      <c r="H50" s="320">
        <v>1</v>
      </c>
      <c r="I50" s="92">
        <f t="shared" ref="I50:I51" si="17">H50*F50</f>
        <v>39660</v>
      </c>
      <c r="J50" s="320">
        <f t="shared" si="16"/>
        <v>1</v>
      </c>
      <c r="K50" s="93">
        <f t="shared" ref="K50:K51" si="18">J50*G50</f>
        <v>9915</v>
      </c>
      <c r="L50" s="94">
        <f t="shared" ref="L50:L51" si="19">K50+I50</f>
        <v>49575</v>
      </c>
      <c r="M50" s="115"/>
      <c r="N50" s="115"/>
      <c r="O50" s="115"/>
    </row>
    <row r="51" spans="1:15" s="152" customFormat="1" ht="35.25" customHeight="1">
      <c r="A51" s="171">
        <v>2.5</v>
      </c>
      <c r="B51" s="535" t="s">
        <v>154</v>
      </c>
      <c r="C51" s="536"/>
      <c r="D51" s="125">
        <v>1</v>
      </c>
      <c r="E51" s="126" t="s">
        <v>9</v>
      </c>
      <c r="F51" s="113">
        <v>0</v>
      </c>
      <c r="G51" s="116">
        <v>12394</v>
      </c>
      <c r="H51" s="320">
        <v>1</v>
      </c>
      <c r="I51" s="92">
        <f t="shared" si="17"/>
        <v>0</v>
      </c>
      <c r="J51" s="320">
        <f t="shared" si="16"/>
        <v>1</v>
      </c>
      <c r="K51" s="93">
        <f t="shared" si="18"/>
        <v>12394</v>
      </c>
      <c r="L51" s="94">
        <f t="shared" si="19"/>
        <v>12394</v>
      </c>
      <c r="M51" s="115"/>
      <c r="N51" s="115"/>
      <c r="O51" s="115"/>
    </row>
    <row r="52" spans="1:15" s="165" customFormat="1" ht="15" customHeight="1">
      <c r="A52" s="160">
        <v>2.6</v>
      </c>
      <c r="B52" s="147" t="s">
        <v>155</v>
      </c>
      <c r="C52" s="162"/>
      <c r="D52" s="162"/>
      <c r="E52" s="162"/>
      <c r="F52" s="301"/>
      <c r="G52" s="301"/>
      <c r="H52" s="327"/>
      <c r="I52" s="163"/>
      <c r="J52" s="327"/>
      <c r="K52" s="164"/>
      <c r="L52" s="116"/>
      <c r="M52" s="115"/>
      <c r="N52" s="115"/>
      <c r="O52" s="115"/>
    </row>
    <row r="53" spans="1:15" s="169" customFormat="1" ht="38.450000000000003" customHeight="1" thickBot="1">
      <c r="A53" s="166" t="s">
        <v>156</v>
      </c>
      <c r="B53" s="542" t="s">
        <v>157</v>
      </c>
      <c r="C53" s="543"/>
      <c r="D53" s="168">
        <v>2</v>
      </c>
      <c r="E53" s="112" t="s">
        <v>6</v>
      </c>
      <c r="F53" s="113">
        <v>65274</v>
      </c>
      <c r="G53" s="116">
        <v>2479</v>
      </c>
      <c r="H53" s="320">
        <v>1</v>
      </c>
      <c r="I53" s="92">
        <f>H53*F53</f>
        <v>65274</v>
      </c>
      <c r="J53" s="320">
        <f t="shared" ref="J53" si="20">H53</f>
        <v>1</v>
      </c>
      <c r="K53" s="93">
        <f>J53*G53</f>
        <v>2479</v>
      </c>
      <c r="L53" s="94">
        <f>K53+I53</f>
        <v>67753</v>
      </c>
      <c r="M53" s="115"/>
      <c r="N53" s="115"/>
      <c r="O53" s="115"/>
    </row>
    <row r="54" spans="1:15" s="107" customFormat="1" ht="15" customHeight="1" thickBot="1">
      <c r="A54" s="539" t="s">
        <v>13</v>
      </c>
      <c r="B54" s="540"/>
      <c r="C54" s="540"/>
      <c r="D54" s="540"/>
      <c r="E54" s="541"/>
      <c r="F54" s="138"/>
      <c r="G54" s="139">
        <f>SUM(G34:G53)</f>
        <v>28920</v>
      </c>
      <c r="H54" s="324"/>
      <c r="I54" s="139">
        <f>SUM(I34:I53)</f>
        <v>294936.5</v>
      </c>
      <c r="J54" s="355"/>
      <c r="K54" s="139">
        <f>SUM(K34:K53)</f>
        <v>54141.5</v>
      </c>
      <c r="L54" s="139">
        <f>SUM(L34:L53)</f>
        <v>349078</v>
      </c>
      <c r="M54" s="115"/>
      <c r="N54" s="115"/>
      <c r="O54" s="115"/>
    </row>
    <row r="55" spans="1:15" s="99" customFormat="1" ht="15" customHeight="1">
      <c r="A55" s="100">
        <v>3</v>
      </c>
      <c r="B55" s="101" t="s">
        <v>158</v>
      </c>
      <c r="C55" s="102"/>
      <c r="D55" s="102"/>
      <c r="E55" s="103"/>
      <c r="F55" s="104"/>
      <c r="G55" s="104"/>
      <c r="H55" s="319"/>
      <c r="I55" s="104"/>
      <c r="J55" s="319"/>
      <c r="K55" s="105"/>
      <c r="M55" s="115"/>
      <c r="N55" s="115"/>
      <c r="O55" s="115"/>
    </row>
    <row r="56" spans="1:15" s="172" customFormat="1" ht="45" customHeight="1">
      <c r="A56" s="146">
        <v>3.1</v>
      </c>
      <c r="B56" s="528" t="s">
        <v>159</v>
      </c>
      <c r="C56" s="529"/>
      <c r="D56" s="529"/>
      <c r="E56" s="529"/>
      <c r="F56" s="529"/>
      <c r="G56" s="529"/>
      <c r="H56" s="529"/>
      <c r="I56" s="529"/>
      <c r="J56" s="529"/>
      <c r="K56" s="530"/>
      <c r="L56" s="116"/>
      <c r="M56" s="115"/>
      <c r="N56" s="115"/>
      <c r="O56" s="115"/>
    </row>
    <row r="57" spans="1:15" s="115" customFormat="1" ht="15" customHeight="1">
      <c r="A57" s="108" t="s">
        <v>160</v>
      </c>
      <c r="B57" s="328" t="s">
        <v>161</v>
      </c>
      <c r="C57" s="329"/>
      <c r="D57" s="330">
        <v>18</v>
      </c>
      <c r="E57" s="331" t="s">
        <v>73</v>
      </c>
      <c r="F57" s="322">
        <v>4049</v>
      </c>
      <c r="G57" s="332">
        <v>826</v>
      </c>
      <c r="H57" s="320">
        <v>27.4</v>
      </c>
      <c r="I57" s="320">
        <f t="shared" ref="I57:I58" si="21">H57*F57</f>
        <v>110942.59999999999</v>
      </c>
      <c r="J57" s="320">
        <f t="shared" ref="J57:J61" si="22">H57</f>
        <v>27.4</v>
      </c>
      <c r="K57" s="333">
        <f t="shared" ref="K57:K58" si="23">J57*G57</f>
        <v>22632.399999999998</v>
      </c>
      <c r="L57" s="94">
        <f t="shared" ref="L57:L58" si="24">K57+I57</f>
        <v>133575</v>
      </c>
    </row>
    <row r="58" spans="1:15" s="115" customFormat="1" ht="15" customHeight="1">
      <c r="A58" s="108" t="s">
        <v>162</v>
      </c>
      <c r="B58" s="328" t="s">
        <v>163</v>
      </c>
      <c r="C58" s="329"/>
      <c r="D58" s="334">
        <v>5</v>
      </c>
      <c r="E58" s="331" t="s">
        <v>73</v>
      </c>
      <c r="F58" s="322">
        <v>3123</v>
      </c>
      <c r="G58" s="332">
        <v>826</v>
      </c>
      <c r="H58" s="320">
        <v>9.1</v>
      </c>
      <c r="I58" s="320">
        <f t="shared" si="21"/>
        <v>28419.3</v>
      </c>
      <c r="J58" s="320">
        <f t="shared" si="22"/>
        <v>9.1</v>
      </c>
      <c r="K58" s="333">
        <f t="shared" si="23"/>
        <v>7516.5999999999995</v>
      </c>
      <c r="L58" s="94">
        <f t="shared" si="24"/>
        <v>35935.9</v>
      </c>
    </row>
    <row r="59" spans="1:15" s="107" customFormat="1" ht="15" customHeight="1">
      <c r="A59" s="108" t="s">
        <v>164</v>
      </c>
      <c r="B59" s="335" t="s">
        <v>110</v>
      </c>
      <c r="C59" s="329"/>
      <c r="D59" s="334" t="s">
        <v>108</v>
      </c>
      <c r="E59" s="331" t="s">
        <v>73</v>
      </c>
      <c r="F59" s="322">
        <v>0</v>
      </c>
      <c r="G59" s="336" t="s">
        <v>109</v>
      </c>
      <c r="H59" s="322">
        <v>0</v>
      </c>
      <c r="I59" s="336" t="s">
        <v>109</v>
      </c>
      <c r="J59" s="320">
        <f t="shared" si="22"/>
        <v>0</v>
      </c>
      <c r="K59" s="336" t="s">
        <v>109</v>
      </c>
      <c r="L59" s="116"/>
      <c r="M59" s="115"/>
      <c r="N59" s="115"/>
      <c r="O59" s="115"/>
    </row>
    <row r="60" spans="1:15" s="115" customFormat="1" ht="15" customHeight="1">
      <c r="A60" s="108" t="s">
        <v>165</v>
      </c>
      <c r="B60" s="335" t="s">
        <v>111</v>
      </c>
      <c r="C60" s="329"/>
      <c r="D60" s="334">
        <v>29</v>
      </c>
      <c r="E60" s="331" t="s">
        <v>73</v>
      </c>
      <c r="F60" s="322">
        <v>1405</v>
      </c>
      <c r="G60" s="332">
        <v>496</v>
      </c>
      <c r="H60" s="320">
        <v>18.3</v>
      </c>
      <c r="I60" s="320">
        <f>H60*F60</f>
        <v>25711.5</v>
      </c>
      <c r="J60" s="320">
        <f t="shared" si="22"/>
        <v>18.3</v>
      </c>
      <c r="K60" s="333">
        <f>J60*G60</f>
        <v>9076.8000000000011</v>
      </c>
      <c r="L60" s="94">
        <f>K60+I60</f>
        <v>34788.300000000003</v>
      </c>
    </row>
    <row r="61" spans="1:15" s="107" customFormat="1" ht="15" customHeight="1">
      <c r="A61" s="108" t="s">
        <v>166</v>
      </c>
      <c r="B61" s="335" t="s">
        <v>113</v>
      </c>
      <c r="C61" s="329"/>
      <c r="D61" s="334" t="s">
        <v>108</v>
      </c>
      <c r="E61" s="331" t="s">
        <v>73</v>
      </c>
      <c r="F61" s="322">
        <v>0</v>
      </c>
      <c r="G61" s="336" t="s">
        <v>109</v>
      </c>
      <c r="H61" s="322">
        <v>0</v>
      </c>
      <c r="I61" s="336" t="s">
        <v>109</v>
      </c>
      <c r="J61" s="320">
        <f t="shared" si="22"/>
        <v>0</v>
      </c>
      <c r="K61" s="336" t="s">
        <v>109</v>
      </c>
      <c r="L61" s="116"/>
      <c r="M61" s="115"/>
      <c r="N61" s="115"/>
      <c r="O61" s="115"/>
    </row>
    <row r="62" spans="1:15" s="338" customFormat="1" ht="30.6" customHeight="1">
      <c r="A62" s="337">
        <v>3.2</v>
      </c>
      <c r="B62" s="518" t="s">
        <v>167</v>
      </c>
      <c r="C62" s="519"/>
      <c r="D62" s="519"/>
      <c r="E62" s="519"/>
      <c r="F62" s="519"/>
      <c r="G62" s="519"/>
      <c r="H62" s="519"/>
      <c r="I62" s="519"/>
      <c r="J62" s="519"/>
      <c r="K62" s="520"/>
      <c r="M62" s="339"/>
      <c r="N62" s="339"/>
      <c r="O62" s="339"/>
    </row>
    <row r="63" spans="1:15" s="341" customFormat="1" ht="15" customHeight="1">
      <c r="A63" s="340" t="s">
        <v>168</v>
      </c>
      <c r="B63" s="328" t="s">
        <v>163</v>
      </c>
      <c r="C63" s="329"/>
      <c r="D63" s="334" t="s">
        <v>108</v>
      </c>
      <c r="E63" s="331" t="s">
        <v>73</v>
      </c>
      <c r="F63" s="322">
        <v>0</v>
      </c>
      <c r="G63" s="336" t="s">
        <v>109</v>
      </c>
      <c r="H63" s="322">
        <v>0</v>
      </c>
      <c r="I63" s="336" t="s">
        <v>109</v>
      </c>
      <c r="J63" s="320">
        <f t="shared" ref="J63:J65" si="25">H63</f>
        <v>0</v>
      </c>
      <c r="K63" s="336" t="s">
        <v>109</v>
      </c>
      <c r="L63" s="332"/>
      <c r="M63" s="339"/>
      <c r="N63" s="339"/>
      <c r="O63" s="339"/>
    </row>
    <row r="64" spans="1:15" s="341" customFormat="1" ht="15" customHeight="1">
      <c r="A64" s="340" t="s">
        <v>169</v>
      </c>
      <c r="B64" s="335" t="s">
        <v>110</v>
      </c>
      <c r="C64" s="329"/>
      <c r="D64" s="334">
        <v>10</v>
      </c>
      <c r="E64" s="331" t="s">
        <v>73</v>
      </c>
      <c r="F64" s="322">
        <v>1900</v>
      </c>
      <c r="G64" s="332">
        <v>413</v>
      </c>
      <c r="H64" s="320">
        <v>15</v>
      </c>
      <c r="I64" s="320">
        <f>H64*F64</f>
        <v>28500</v>
      </c>
      <c r="J64" s="320">
        <f t="shared" si="25"/>
        <v>15</v>
      </c>
      <c r="K64" s="333">
        <f>J64*G64</f>
        <v>6195</v>
      </c>
      <c r="L64" s="342">
        <f>K64+I64</f>
        <v>34695</v>
      </c>
      <c r="M64" s="339"/>
      <c r="N64" s="339"/>
      <c r="O64" s="339"/>
    </row>
    <row r="65" spans="1:15" s="339" customFormat="1" ht="15" customHeight="1">
      <c r="A65" s="340" t="s">
        <v>170</v>
      </c>
      <c r="B65" s="335" t="s">
        <v>111</v>
      </c>
      <c r="C65" s="329"/>
      <c r="D65" s="334">
        <v>15</v>
      </c>
      <c r="E65" s="331" t="s">
        <v>73</v>
      </c>
      <c r="F65" s="322">
        <v>1405</v>
      </c>
      <c r="G65" s="332">
        <v>413</v>
      </c>
      <c r="H65" s="320">
        <v>0</v>
      </c>
      <c r="I65" s="320">
        <f>H65*F65</f>
        <v>0</v>
      </c>
      <c r="J65" s="320">
        <f t="shared" si="25"/>
        <v>0</v>
      </c>
      <c r="K65" s="333">
        <f>J65*G65</f>
        <v>0</v>
      </c>
      <c r="L65" s="342">
        <f>K65+I65</f>
        <v>0</v>
      </c>
    </row>
    <row r="66" spans="1:15" s="338" customFormat="1" ht="15" customHeight="1">
      <c r="A66" s="337">
        <v>3.3</v>
      </c>
      <c r="B66" s="518" t="s">
        <v>171</v>
      </c>
      <c r="C66" s="519"/>
      <c r="D66" s="519"/>
      <c r="E66" s="519"/>
      <c r="F66" s="519"/>
      <c r="G66" s="519"/>
      <c r="H66" s="519"/>
      <c r="I66" s="519"/>
      <c r="J66" s="519"/>
      <c r="K66" s="520"/>
      <c r="L66" s="332"/>
      <c r="M66" s="339"/>
      <c r="N66" s="339"/>
      <c r="O66" s="339"/>
    </row>
    <row r="67" spans="1:15" s="341" customFormat="1" ht="15" customHeight="1">
      <c r="A67" s="343" t="s">
        <v>172</v>
      </c>
      <c r="B67" s="344" t="s">
        <v>173</v>
      </c>
      <c r="C67" s="345"/>
      <c r="D67" s="346"/>
      <c r="E67" s="347"/>
      <c r="F67" s="321"/>
      <c r="G67" s="321"/>
      <c r="H67" s="321"/>
      <c r="I67" s="321"/>
      <c r="J67" s="321"/>
      <c r="K67" s="348" t="s">
        <v>174</v>
      </c>
      <c r="L67" s="332"/>
      <c r="M67" s="339"/>
      <c r="N67" s="339"/>
      <c r="O67" s="339"/>
    </row>
    <row r="68" spans="1:15" s="341" customFormat="1" ht="15" customHeight="1">
      <c r="A68" s="349" t="s">
        <v>175</v>
      </c>
      <c r="B68" s="328" t="s">
        <v>163</v>
      </c>
      <c r="C68" s="350"/>
      <c r="D68" s="351">
        <v>5</v>
      </c>
      <c r="E68" s="352" t="s">
        <v>6</v>
      </c>
      <c r="F68" s="322">
        <v>7436</v>
      </c>
      <c r="G68" s="332">
        <v>826</v>
      </c>
      <c r="H68" s="320">
        <v>3</v>
      </c>
      <c r="I68" s="320">
        <f>H68*F68</f>
        <v>22308</v>
      </c>
      <c r="J68" s="320">
        <f t="shared" ref="J68" si="26">H68</f>
        <v>3</v>
      </c>
      <c r="K68" s="333">
        <f>J68*G68</f>
        <v>2478</v>
      </c>
      <c r="L68" s="342">
        <f>K68+I68</f>
        <v>24786</v>
      </c>
      <c r="M68" s="339"/>
      <c r="N68" s="339"/>
      <c r="O68" s="339"/>
    </row>
    <row r="69" spans="1:15" s="341" customFormat="1" ht="15" customHeight="1">
      <c r="A69" s="343" t="s">
        <v>176</v>
      </c>
      <c r="B69" s="344" t="s">
        <v>177</v>
      </c>
      <c r="C69" s="345"/>
      <c r="D69" s="346"/>
      <c r="E69" s="347"/>
      <c r="F69" s="321"/>
      <c r="G69" s="321"/>
      <c r="H69" s="321"/>
      <c r="I69" s="321"/>
      <c r="J69" s="321"/>
      <c r="K69" s="348"/>
      <c r="L69" s="332"/>
      <c r="M69" s="339"/>
      <c r="N69" s="339"/>
      <c r="O69" s="339"/>
    </row>
    <row r="70" spans="1:15" s="341" customFormat="1" ht="15" customHeight="1">
      <c r="A70" s="349" t="s">
        <v>178</v>
      </c>
      <c r="B70" s="328" t="s">
        <v>161</v>
      </c>
      <c r="C70" s="350"/>
      <c r="D70" s="351">
        <v>2</v>
      </c>
      <c r="E70" s="352" t="s">
        <v>6</v>
      </c>
      <c r="F70" s="322">
        <v>5784</v>
      </c>
      <c r="G70" s="332">
        <v>826</v>
      </c>
      <c r="H70" s="320">
        <v>1</v>
      </c>
      <c r="I70" s="320">
        <f>H70*F70</f>
        <v>5784</v>
      </c>
      <c r="J70" s="320">
        <f t="shared" ref="J70" si="27">H70</f>
        <v>1</v>
      </c>
      <c r="K70" s="333">
        <f>J70*G70</f>
        <v>826</v>
      </c>
      <c r="L70" s="342">
        <f>K70+I70</f>
        <v>6610</v>
      </c>
      <c r="M70" s="339"/>
      <c r="N70" s="339"/>
      <c r="O70" s="339"/>
    </row>
    <row r="71" spans="1:15" s="341" customFormat="1" ht="15" customHeight="1">
      <c r="A71" s="343" t="s">
        <v>179</v>
      </c>
      <c r="B71" s="344" t="s">
        <v>180</v>
      </c>
      <c r="C71" s="345"/>
      <c r="D71" s="346"/>
      <c r="E71" s="347"/>
      <c r="F71" s="321"/>
      <c r="G71" s="321"/>
      <c r="H71" s="321"/>
      <c r="I71" s="321"/>
      <c r="J71" s="321"/>
      <c r="K71" s="348"/>
      <c r="L71" s="332"/>
      <c r="M71" s="339"/>
      <c r="N71" s="339"/>
      <c r="O71" s="339"/>
    </row>
    <row r="72" spans="1:15" s="341" customFormat="1" ht="15" customHeight="1">
      <c r="A72" s="349" t="s">
        <v>181</v>
      </c>
      <c r="B72" s="328" t="s">
        <v>161</v>
      </c>
      <c r="C72" s="350"/>
      <c r="D72" s="351">
        <v>1</v>
      </c>
      <c r="E72" s="352" t="s">
        <v>7</v>
      </c>
      <c r="F72" s="322">
        <v>6197</v>
      </c>
      <c r="G72" s="332">
        <v>826</v>
      </c>
      <c r="H72" s="320">
        <v>0</v>
      </c>
      <c r="I72" s="320">
        <f t="shared" ref="I72:I74" si="28">H72*F72</f>
        <v>0</v>
      </c>
      <c r="J72" s="320">
        <f t="shared" ref="J72:J74" si="29">H72</f>
        <v>0</v>
      </c>
      <c r="K72" s="333">
        <f t="shared" ref="K72:K74" si="30">J72*G72</f>
        <v>0</v>
      </c>
      <c r="L72" s="342">
        <f t="shared" ref="L72:L74" si="31">K72+I72</f>
        <v>0</v>
      </c>
      <c r="M72" s="339"/>
      <c r="N72" s="339"/>
      <c r="O72" s="339"/>
    </row>
    <row r="73" spans="1:15" s="341" customFormat="1" ht="25.5" customHeight="1">
      <c r="A73" s="353">
        <v>3.4</v>
      </c>
      <c r="B73" s="521" t="s">
        <v>182</v>
      </c>
      <c r="C73" s="522"/>
      <c r="D73" s="351">
        <v>1</v>
      </c>
      <c r="E73" s="331" t="s">
        <v>9</v>
      </c>
      <c r="F73" s="322">
        <v>26440</v>
      </c>
      <c r="G73" s="332">
        <v>6610</v>
      </c>
      <c r="H73" s="320"/>
      <c r="I73" s="320">
        <f t="shared" si="28"/>
        <v>0</v>
      </c>
      <c r="J73" s="320">
        <f t="shared" si="29"/>
        <v>0</v>
      </c>
      <c r="K73" s="333">
        <f t="shared" si="30"/>
        <v>0</v>
      </c>
      <c r="L73" s="342">
        <f t="shared" si="31"/>
        <v>0</v>
      </c>
      <c r="M73" s="339"/>
      <c r="N73" s="339"/>
      <c r="O73" s="339"/>
    </row>
    <row r="74" spans="1:15" s="341" customFormat="1" ht="25.5" customHeight="1" thickBot="1">
      <c r="A74" s="353">
        <v>3.5</v>
      </c>
      <c r="B74" s="521" t="s">
        <v>183</v>
      </c>
      <c r="C74" s="522"/>
      <c r="D74" s="351">
        <v>1</v>
      </c>
      <c r="E74" s="331" t="s">
        <v>9</v>
      </c>
      <c r="F74" s="322">
        <v>0</v>
      </c>
      <c r="G74" s="332">
        <v>12394</v>
      </c>
      <c r="H74" s="320"/>
      <c r="I74" s="320">
        <f t="shared" si="28"/>
        <v>0</v>
      </c>
      <c r="J74" s="320">
        <f t="shared" si="29"/>
        <v>0</v>
      </c>
      <c r="K74" s="333">
        <f t="shared" si="30"/>
        <v>0</v>
      </c>
      <c r="L74" s="342">
        <f t="shared" si="31"/>
        <v>0</v>
      </c>
      <c r="M74" s="339"/>
      <c r="N74" s="339"/>
      <c r="O74" s="339"/>
    </row>
    <row r="75" spans="1:15" s="341" customFormat="1" ht="15" customHeight="1" thickBot="1">
      <c r="A75" s="523" t="s">
        <v>13</v>
      </c>
      <c r="B75" s="524"/>
      <c r="C75" s="524"/>
      <c r="D75" s="524"/>
      <c r="E75" s="525"/>
      <c r="F75" s="324"/>
      <c r="G75" s="354">
        <f>SUM(G57:G74)</f>
        <v>24456</v>
      </c>
      <c r="H75" s="324"/>
      <c r="I75" s="354">
        <f>SUM(I57:I74)</f>
        <v>221665.4</v>
      </c>
      <c r="J75" s="355"/>
      <c r="K75" s="354">
        <f>SUM(K57:K74)</f>
        <v>48724.799999999996</v>
      </c>
      <c r="L75" s="354">
        <f>SUM(L57:L74)</f>
        <v>270390.2</v>
      </c>
      <c r="M75" s="339"/>
      <c r="N75" s="339"/>
      <c r="O75" s="339"/>
    </row>
    <row r="76" spans="1:15" s="341" customFormat="1" ht="14.45" customHeight="1">
      <c r="A76" s="356">
        <v>4</v>
      </c>
      <c r="B76" s="357" t="s">
        <v>184</v>
      </c>
      <c r="C76" s="358"/>
      <c r="D76" s="359"/>
      <c r="E76" s="360"/>
      <c r="F76" s="361"/>
      <c r="G76" s="361"/>
      <c r="H76" s="361"/>
      <c r="I76" s="361"/>
      <c r="J76" s="361"/>
      <c r="K76" s="362"/>
      <c r="M76" s="339"/>
      <c r="N76" s="339"/>
      <c r="O76" s="339"/>
    </row>
    <row r="77" spans="1:15" s="107" customFormat="1" ht="25.5" customHeight="1">
      <c r="A77" s="174">
        <v>4.0999999999999996</v>
      </c>
      <c r="B77" s="516" t="s">
        <v>185</v>
      </c>
      <c r="C77" s="517"/>
      <c r="D77" s="175">
        <v>3</v>
      </c>
      <c r="E77" s="175" t="s">
        <v>6</v>
      </c>
      <c r="F77" s="113">
        <v>133854</v>
      </c>
      <c r="G77" s="116">
        <v>8263</v>
      </c>
      <c r="H77" s="320"/>
      <c r="I77" s="92">
        <f t="shared" ref="I77:I85" si="32">H77*F77</f>
        <v>0</v>
      </c>
      <c r="J77" s="320">
        <f t="shared" ref="J77:J85" si="33">H77</f>
        <v>0</v>
      </c>
      <c r="K77" s="93">
        <f t="shared" ref="K77:K85" si="34">J77*G77</f>
        <v>0</v>
      </c>
      <c r="L77" s="94">
        <f t="shared" ref="L77:L85" si="35">K77+I77</f>
        <v>0</v>
      </c>
      <c r="M77" s="115"/>
      <c r="N77" s="115"/>
      <c r="O77" s="115"/>
    </row>
    <row r="78" spans="1:15" s="107" customFormat="1" ht="25.5" customHeight="1">
      <c r="A78" s="174">
        <v>4.2</v>
      </c>
      <c r="B78" s="516" t="s">
        <v>186</v>
      </c>
      <c r="C78" s="517"/>
      <c r="D78" s="175">
        <v>3</v>
      </c>
      <c r="E78" s="175" t="s">
        <v>6</v>
      </c>
      <c r="F78" s="113">
        <v>82626</v>
      </c>
      <c r="G78" s="116">
        <v>6610</v>
      </c>
      <c r="H78" s="320"/>
      <c r="I78" s="92">
        <f t="shared" si="32"/>
        <v>0</v>
      </c>
      <c r="J78" s="320">
        <f t="shared" si="33"/>
        <v>0</v>
      </c>
      <c r="K78" s="93">
        <f t="shared" si="34"/>
        <v>0</v>
      </c>
      <c r="L78" s="94">
        <f t="shared" si="35"/>
        <v>0</v>
      </c>
      <c r="M78" s="115"/>
      <c r="N78" s="115"/>
      <c r="O78" s="115"/>
    </row>
    <row r="79" spans="1:15" s="107" customFormat="1" ht="25.5" customHeight="1">
      <c r="A79" s="174">
        <v>4.3</v>
      </c>
      <c r="B79" s="516" t="s">
        <v>187</v>
      </c>
      <c r="C79" s="517"/>
      <c r="D79" s="175">
        <v>3</v>
      </c>
      <c r="E79" s="175" t="s">
        <v>6</v>
      </c>
      <c r="F79" s="113">
        <v>45444</v>
      </c>
      <c r="G79" s="116">
        <v>6610</v>
      </c>
      <c r="H79" s="320"/>
      <c r="I79" s="92">
        <f t="shared" si="32"/>
        <v>0</v>
      </c>
      <c r="J79" s="320">
        <f t="shared" si="33"/>
        <v>0</v>
      </c>
      <c r="K79" s="93">
        <f t="shared" si="34"/>
        <v>0</v>
      </c>
      <c r="L79" s="94">
        <f t="shared" si="35"/>
        <v>0</v>
      </c>
      <c r="M79" s="115"/>
      <c r="N79" s="115"/>
      <c r="O79" s="115"/>
    </row>
    <row r="80" spans="1:15" s="107" customFormat="1" ht="25.5" customHeight="1">
      <c r="A80" s="174">
        <v>4.4000000000000004</v>
      </c>
      <c r="B80" s="516" t="s">
        <v>188</v>
      </c>
      <c r="C80" s="517"/>
      <c r="D80" s="175">
        <v>1</v>
      </c>
      <c r="E80" s="175" t="s">
        <v>7</v>
      </c>
      <c r="F80" s="113">
        <v>59491</v>
      </c>
      <c r="G80" s="116">
        <v>4958</v>
      </c>
      <c r="H80" s="320"/>
      <c r="I80" s="92">
        <f t="shared" si="32"/>
        <v>0</v>
      </c>
      <c r="J80" s="320">
        <f t="shared" si="33"/>
        <v>0</v>
      </c>
      <c r="K80" s="93">
        <f t="shared" si="34"/>
        <v>0</v>
      </c>
      <c r="L80" s="94">
        <f t="shared" si="35"/>
        <v>0</v>
      </c>
      <c r="M80" s="115"/>
      <c r="N80" s="115"/>
      <c r="O80" s="115"/>
    </row>
    <row r="81" spans="1:15" s="107" customFormat="1" ht="25.5" customHeight="1">
      <c r="A81" s="174">
        <v>4.5</v>
      </c>
      <c r="B81" s="516" t="s">
        <v>189</v>
      </c>
      <c r="C81" s="517"/>
      <c r="D81" s="175">
        <v>3</v>
      </c>
      <c r="E81" s="175" t="s">
        <v>6</v>
      </c>
      <c r="F81" s="113">
        <v>11981</v>
      </c>
      <c r="G81" s="116">
        <v>826</v>
      </c>
      <c r="H81" s="320"/>
      <c r="I81" s="92">
        <f t="shared" si="32"/>
        <v>0</v>
      </c>
      <c r="J81" s="320">
        <f t="shared" si="33"/>
        <v>0</v>
      </c>
      <c r="K81" s="93">
        <f t="shared" si="34"/>
        <v>0</v>
      </c>
      <c r="L81" s="94">
        <f t="shared" si="35"/>
        <v>0</v>
      </c>
      <c r="M81" s="115"/>
      <c r="N81" s="115"/>
      <c r="O81" s="115"/>
    </row>
    <row r="82" spans="1:15" s="107" customFormat="1" ht="15" customHeight="1">
      <c r="A82" s="174">
        <v>4.5999999999999996</v>
      </c>
      <c r="B82" s="176" t="s">
        <v>190</v>
      </c>
      <c r="C82" s="177"/>
      <c r="D82" s="175">
        <v>3</v>
      </c>
      <c r="E82" s="175" t="s">
        <v>6</v>
      </c>
      <c r="F82" s="113">
        <v>6610</v>
      </c>
      <c r="G82" s="116">
        <v>413</v>
      </c>
      <c r="H82" s="320"/>
      <c r="I82" s="92">
        <f t="shared" si="32"/>
        <v>0</v>
      </c>
      <c r="J82" s="320">
        <f t="shared" si="33"/>
        <v>0</v>
      </c>
      <c r="K82" s="93">
        <f t="shared" si="34"/>
        <v>0</v>
      </c>
      <c r="L82" s="94">
        <f t="shared" si="35"/>
        <v>0</v>
      </c>
      <c r="M82" s="115"/>
      <c r="N82" s="115"/>
      <c r="O82" s="115"/>
    </row>
    <row r="83" spans="1:15" s="107" customFormat="1" ht="15" customHeight="1">
      <c r="A83" s="174">
        <v>4.7</v>
      </c>
      <c r="B83" s="176" t="s">
        <v>191</v>
      </c>
      <c r="C83" s="177"/>
      <c r="D83" s="175">
        <v>5</v>
      </c>
      <c r="E83" s="175" t="s">
        <v>6</v>
      </c>
      <c r="F83" s="113">
        <v>9089</v>
      </c>
      <c r="G83" s="116">
        <v>826</v>
      </c>
      <c r="H83" s="320"/>
      <c r="I83" s="92">
        <f t="shared" si="32"/>
        <v>0</v>
      </c>
      <c r="J83" s="320">
        <f t="shared" si="33"/>
        <v>0</v>
      </c>
      <c r="K83" s="93">
        <f t="shared" si="34"/>
        <v>0</v>
      </c>
      <c r="L83" s="94">
        <f t="shared" si="35"/>
        <v>0</v>
      </c>
      <c r="M83" s="115"/>
      <c r="N83" s="115"/>
      <c r="O83" s="115"/>
    </row>
    <row r="84" spans="1:15" s="107" customFormat="1" ht="25.5" customHeight="1">
      <c r="A84" s="174">
        <v>4.8</v>
      </c>
      <c r="B84" s="537" t="s">
        <v>192</v>
      </c>
      <c r="C84" s="538"/>
      <c r="D84" s="178">
        <v>1</v>
      </c>
      <c r="E84" s="179" t="s">
        <v>7</v>
      </c>
      <c r="F84" s="113">
        <v>8474</v>
      </c>
      <c r="G84" s="116">
        <v>826</v>
      </c>
      <c r="H84" s="320"/>
      <c r="I84" s="92">
        <f t="shared" si="32"/>
        <v>0</v>
      </c>
      <c r="J84" s="320">
        <f t="shared" si="33"/>
        <v>0</v>
      </c>
      <c r="K84" s="93">
        <f t="shared" si="34"/>
        <v>0</v>
      </c>
      <c r="L84" s="94">
        <f t="shared" si="35"/>
        <v>0</v>
      </c>
      <c r="M84" s="115"/>
      <c r="N84" s="115"/>
      <c r="O84" s="115"/>
    </row>
    <row r="85" spans="1:15" s="152" customFormat="1" ht="25.5" customHeight="1" thickBot="1">
      <c r="A85" s="174">
        <v>4.9000000000000004</v>
      </c>
      <c r="B85" s="516" t="s">
        <v>193</v>
      </c>
      <c r="C85" s="517"/>
      <c r="D85" s="175">
        <v>3</v>
      </c>
      <c r="E85" s="175" t="s">
        <v>6</v>
      </c>
      <c r="F85" s="113">
        <v>65274</v>
      </c>
      <c r="G85" s="116">
        <v>2479</v>
      </c>
      <c r="H85" s="320"/>
      <c r="I85" s="92">
        <f t="shared" si="32"/>
        <v>0</v>
      </c>
      <c r="J85" s="320">
        <f t="shared" si="33"/>
        <v>0</v>
      </c>
      <c r="K85" s="93">
        <f t="shared" si="34"/>
        <v>0</v>
      </c>
      <c r="L85" s="94">
        <f t="shared" si="35"/>
        <v>0</v>
      </c>
      <c r="M85" s="115"/>
      <c r="N85" s="115"/>
      <c r="O85" s="115"/>
    </row>
    <row r="86" spans="1:15" s="107" customFormat="1" ht="15" customHeight="1" thickBot="1">
      <c r="A86" s="539" t="s">
        <v>13</v>
      </c>
      <c r="B86" s="540"/>
      <c r="C86" s="540"/>
      <c r="D86" s="540"/>
      <c r="E86" s="541"/>
      <c r="F86" s="138"/>
      <c r="G86" s="139">
        <f>SUM(G77:G85)</f>
        <v>31811</v>
      </c>
      <c r="H86" s="324"/>
      <c r="I86" s="139">
        <f>SUM(I77:I85)</f>
        <v>0</v>
      </c>
      <c r="J86" s="355"/>
      <c r="K86" s="139">
        <f>SUM(K77:K85)</f>
        <v>0</v>
      </c>
      <c r="L86" s="139">
        <f>SUM(L77:L85)</f>
        <v>0</v>
      </c>
      <c r="M86" s="115"/>
      <c r="N86" s="115"/>
      <c r="O86" s="115"/>
    </row>
    <row r="87" spans="1:15" s="99" customFormat="1" ht="15" customHeight="1">
      <c r="A87" s="180">
        <v>5</v>
      </c>
      <c r="B87" s="181" t="s">
        <v>3</v>
      </c>
      <c r="C87" s="182"/>
      <c r="D87" s="182"/>
      <c r="E87" s="183"/>
      <c r="F87" s="184"/>
      <c r="G87" s="104"/>
      <c r="H87" s="373"/>
      <c r="I87" s="104"/>
      <c r="J87" s="373"/>
      <c r="K87" s="105"/>
      <c r="M87" s="115"/>
      <c r="N87" s="115"/>
      <c r="O87" s="115"/>
    </row>
    <row r="88" spans="1:15" s="107" customFormat="1" ht="15" customHeight="1">
      <c r="A88" s="185">
        <v>5.0999999999999996</v>
      </c>
      <c r="B88" s="186" t="s">
        <v>194</v>
      </c>
      <c r="C88" s="187"/>
      <c r="D88" s="173">
        <v>1</v>
      </c>
      <c r="E88" s="179" t="s">
        <v>9</v>
      </c>
      <c r="F88" s="113">
        <v>24788</v>
      </c>
      <c r="G88" s="116">
        <v>41313</v>
      </c>
      <c r="H88" s="320">
        <v>1</v>
      </c>
      <c r="I88" s="92">
        <f t="shared" ref="I88:I92" si="36">H88*F88</f>
        <v>24788</v>
      </c>
      <c r="J88" s="320">
        <f t="shared" ref="J88:J92" si="37">H88</f>
        <v>1</v>
      </c>
      <c r="K88" s="93">
        <f t="shared" ref="K88:K92" si="38">J88*G88</f>
        <v>41313</v>
      </c>
      <c r="L88" s="94">
        <f t="shared" ref="L88:L92" si="39">K88+I88</f>
        <v>66101</v>
      </c>
      <c r="M88" s="115"/>
      <c r="N88" s="115"/>
      <c r="O88" s="115"/>
    </row>
    <row r="89" spans="1:15" s="107" customFormat="1" ht="15" customHeight="1">
      <c r="A89" s="185">
        <v>5.2</v>
      </c>
      <c r="B89" s="186" t="s">
        <v>10</v>
      </c>
      <c r="C89" s="187"/>
      <c r="D89" s="173">
        <v>1</v>
      </c>
      <c r="E89" s="179" t="s">
        <v>9</v>
      </c>
      <c r="F89" s="113">
        <v>0</v>
      </c>
      <c r="G89" s="116">
        <v>12394</v>
      </c>
      <c r="H89" s="320">
        <v>1</v>
      </c>
      <c r="I89" s="92">
        <f t="shared" si="36"/>
        <v>0</v>
      </c>
      <c r="J89" s="320">
        <f t="shared" si="37"/>
        <v>1</v>
      </c>
      <c r="K89" s="93">
        <f t="shared" si="38"/>
        <v>12394</v>
      </c>
      <c r="L89" s="94">
        <f t="shared" si="39"/>
        <v>12394</v>
      </c>
      <c r="M89" s="115"/>
      <c r="N89" s="115"/>
      <c r="O89" s="115"/>
    </row>
    <row r="90" spans="1:15" s="107" customFormat="1" ht="15" customHeight="1">
      <c r="A90" s="185">
        <v>5.3</v>
      </c>
      <c r="B90" s="186" t="s">
        <v>11</v>
      </c>
      <c r="C90" s="187"/>
      <c r="D90" s="173">
        <v>1</v>
      </c>
      <c r="E90" s="179" t="s">
        <v>9</v>
      </c>
      <c r="F90" s="113">
        <v>0</v>
      </c>
      <c r="G90" s="116">
        <v>8263</v>
      </c>
      <c r="H90" s="320"/>
      <c r="I90" s="92">
        <f t="shared" si="36"/>
        <v>0</v>
      </c>
      <c r="J90" s="320">
        <f t="shared" si="37"/>
        <v>0</v>
      </c>
      <c r="K90" s="93">
        <f t="shared" si="38"/>
        <v>0</v>
      </c>
      <c r="L90" s="94">
        <f t="shared" si="39"/>
        <v>0</v>
      </c>
      <c r="M90" s="115"/>
      <c r="N90" s="115"/>
      <c r="O90" s="115"/>
    </row>
    <row r="91" spans="1:15" s="107" customFormat="1" ht="25.35" customHeight="1">
      <c r="A91" s="185">
        <v>5.4</v>
      </c>
      <c r="B91" s="526" t="s">
        <v>195</v>
      </c>
      <c r="C91" s="527"/>
      <c r="D91" s="173">
        <v>1</v>
      </c>
      <c r="E91" s="179" t="s">
        <v>174</v>
      </c>
      <c r="F91" s="113">
        <v>16525</v>
      </c>
      <c r="G91" s="116">
        <v>2479</v>
      </c>
      <c r="H91" s="320"/>
      <c r="I91" s="92">
        <f t="shared" si="36"/>
        <v>0</v>
      </c>
      <c r="J91" s="320">
        <f t="shared" si="37"/>
        <v>0</v>
      </c>
      <c r="K91" s="93">
        <f t="shared" si="38"/>
        <v>0</v>
      </c>
      <c r="L91" s="94">
        <f t="shared" si="39"/>
        <v>0</v>
      </c>
      <c r="M91" s="115"/>
      <c r="N91" s="115"/>
      <c r="O91" s="115"/>
    </row>
    <row r="92" spans="1:15" s="107" customFormat="1" ht="25.35" customHeight="1" thickBot="1">
      <c r="A92" s="185">
        <v>5.5</v>
      </c>
      <c r="B92" s="526" t="s">
        <v>196</v>
      </c>
      <c r="C92" s="527"/>
      <c r="D92" s="173">
        <v>1</v>
      </c>
      <c r="E92" s="179" t="s">
        <v>9</v>
      </c>
      <c r="F92" s="113">
        <v>0</v>
      </c>
      <c r="G92" s="116">
        <v>9915</v>
      </c>
      <c r="H92" s="320">
        <v>1</v>
      </c>
      <c r="I92" s="92">
        <f t="shared" si="36"/>
        <v>0</v>
      </c>
      <c r="J92" s="320">
        <f t="shared" si="37"/>
        <v>1</v>
      </c>
      <c r="K92" s="93">
        <f t="shared" si="38"/>
        <v>9915</v>
      </c>
      <c r="L92" s="94">
        <f t="shared" si="39"/>
        <v>9915</v>
      </c>
      <c r="M92" s="115"/>
      <c r="N92" s="115"/>
      <c r="O92" s="115"/>
    </row>
    <row r="93" spans="1:15" s="107" customFormat="1" ht="15" customHeight="1" thickBot="1">
      <c r="A93" s="513" t="s">
        <v>13</v>
      </c>
      <c r="B93" s="514"/>
      <c r="C93" s="514"/>
      <c r="D93" s="514"/>
      <c r="E93" s="515"/>
      <c r="F93" s="188"/>
      <c r="G93" s="139"/>
      <c r="H93" s="376"/>
      <c r="I93" s="139">
        <f>SUM(I88:I92)</f>
        <v>24788</v>
      </c>
      <c r="J93" s="374"/>
      <c r="K93" s="139">
        <f>SUM(K88:K92)</f>
        <v>63622</v>
      </c>
      <c r="L93" s="139">
        <f>SUM(L88:L92)</f>
        <v>88410</v>
      </c>
      <c r="M93" s="115"/>
      <c r="N93" s="115"/>
      <c r="O93" s="115"/>
    </row>
    <row r="94" spans="1:15" s="107" customFormat="1" ht="15" customHeight="1" thickBot="1">
      <c r="A94" s="513" t="s">
        <v>102</v>
      </c>
      <c r="B94" s="514"/>
      <c r="C94" s="514"/>
      <c r="D94" s="514"/>
      <c r="E94" s="515"/>
      <c r="F94" s="188"/>
      <c r="G94" s="139"/>
      <c r="H94" s="376"/>
      <c r="I94" s="139">
        <f>I93+I86+I75+I54+I31</f>
        <v>1023366</v>
      </c>
      <c r="J94" s="374"/>
      <c r="K94" s="139">
        <f>K93+K86+K75+K54+K31</f>
        <v>234507.3</v>
      </c>
      <c r="L94" s="139">
        <f>L93+L86+L75+L54+L31</f>
        <v>1257873.2999999998</v>
      </c>
    </row>
    <row r="95" spans="1:15" ht="13.5" thickBot="1">
      <c r="A95" s="504" t="s">
        <v>280</v>
      </c>
      <c r="B95" s="505"/>
      <c r="C95" s="505"/>
      <c r="D95" s="505"/>
      <c r="E95" s="505"/>
      <c r="F95" s="505"/>
      <c r="G95" s="505"/>
      <c r="H95" s="505"/>
      <c r="I95" s="505"/>
      <c r="J95" s="505"/>
      <c r="K95" s="544"/>
      <c r="L95" s="286">
        <f>ROUND(L96-L94,0)</f>
        <v>116476</v>
      </c>
    </row>
    <row r="96" spans="1:15" ht="13.5" customHeight="1" thickBot="1">
      <c r="A96" s="481" t="s">
        <v>281</v>
      </c>
      <c r="B96" s="482"/>
      <c r="C96" s="482"/>
      <c r="D96" s="482"/>
      <c r="E96" s="482"/>
      <c r="F96" s="482"/>
      <c r="G96" s="482"/>
      <c r="H96" s="482"/>
      <c r="I96" s="482"/>
      <c r="J96" s="482"/>
      <c r="K96" s="545"/>
      <c r="L96" s="287">
        <f>ROUND(L94/0.91525,0)</f>
        <v>1374349</v>
      </c>
    </row>
    <row r="100" spans="11:11">
      <c r="K100" s="285"/>
    </row>
  </sheetData>
  <mergeCells count="44">
    <mergeCell ref="A95:K95"/>
    <mergeCell ref="A96:K96"/>
    <mergeCell ref="B84:C84"/>
    <mergeCell ref="H5:L5"/>
    <mergeCell ref="H6:I6"/>
    <mergeCell ref="J6:K6"/>
    <mergeCell ref="L6:L7"/>
    <mergeCell ref="B5:C7"/>
    <mergeCell ref="D6:D7"/>
    <mergeCell ref="E6:E7"/>
    <mergeCell ref="F6:F7"/>
    <mergeCell ref="G6:G7"/>
    <mergeCell ref="D5:G5"/>
    <mergeCell ref="A86:E86"/>
    <mergeCell ref="B91:C91"/>
    <mergeCell ref="A54:E54"/>
    <mergeCell ref="B92:C92"/>
    <mergeCell ref="B56:K56"/>
    <mergeCell ref="B9:K9"/>
    <mergeCell ref="B26:C26"/>
    <mergeCell ref="B27:C27"/>
    <mergeCell ref="B28:C28"/>
    <mergeCell ref="B29:C29"/>
    <mergeCell ref="B30:C30"/>
    <mergeCell ref="A31:E31"/>
    <mergeCell ref="B50:C50"/>
    <mergeCell ref="B51:C51"/>
    <mergeCell ref="B53:C53"/>
    <mergeCell ref="A1:C1"/>
    <mergeCell ref="A3:K3"/>
    <mergeCell ref="A93:E93"/>
    <mergeCell ref="A94:E94"/>
    <mergeCell ref="B85:C85"/>
    <mergeCell ref="B62:K62"/>
    <mergeCell ref="B66:K66"/>
    <mergeCell ref="B73:C73"/>
    <mergeCell ref="B74:C74"/>
    <mergeCell ref="A75:E75"/>
    <mergeCell ref="B77:C77"/>
    <mergeCell ref="B78:C78"/>
    <mergeCell ref="B79:C79"/>
    <mergeCell ref="B80:C80"/>
    <mergeCell ref="B81:C81"/>
    <mergeCell ref="A5:A7"/>
  </mergeCells>
  <printOptions horizontalCentered="1" gridLinesSet="0"/>
  <pageMargins left="0.27559055118110237" right="0.23622047244094491" top="0.74803149606299213" bottom="0.43307086614173229" header="0.31496062992125984" footer="0.15748031496062992"/>
  <pageSetup paperSize="9" scale="80" firstPageNumber="4" fitToWidth="0" orientation="landscape" useFirstPageNumber="1" r:id="rId1"/>
  <headerFooter alignWithMargins="0">
    <oddFooter xml:space="preserve">&amp;L&amp;"Arial,Bold"Fahim, Nanji &amp;&amp; deSouza (Pvt.) Ltd.
&amp;"Arial,Regular"Consulting Engineers&amp;R&amp;"Arial,Bold"Page-&amp;P
</oddFooter>
  </headerFooter>
  <rowBreaks count="2" manualBreakCount="2">
    <brk id="36" max="11" man="1"/>
    <brk id="86" max="11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073187-0C8A-43EF-8616-04D61733CC70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SUMM</vt:lpstr>
      <vt:lpstr>HVAC</vt:lpstr>
      <vt:lpstr>Fire</vt:lpstr>
      <vt:lpstr>Plumbing</vt:lpstr>
      <vt:lpstr>Fire!Print_Area</vt:lpstr>
      <vt:lpstr>HVAC!Print_Area</vt:lpstr>
      <vt:lpstr>Plumbing!Print_Area</vt:lpstr>
      <vt:lpstr>SUMM!Print_Area</vt:lpstr>
      <vt:lpstr>Fire!Print_Titles</vt:lpstr>
      <vt:lpstr>HVAC!Print_Titles</vt:lpstr>
      <vt:lpstr>Plumbing!Print_Titles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ASIM</dc:creator>
  <cp:lastModifiedBy>Muhammad Danish</cp:lastModifiedBy>
  <cp:lastPrinted>2024-04-29T09:58:25Z</cp:lastPrinted>
  <dcterms:created xsi:type="dcterms:W3CDTF">1996-06-15T06:21:35Z</dcterms:created>
  <dcterms:modified xsi:type="dcterms:W3CDTF">2024-08-07T15:26:34Z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{8C073187-0C8A-43EF-8616-04D61733CC70}</vt:lpwstr>
  </property>
</Properties>
</file>